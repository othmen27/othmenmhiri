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D:\travaux\ISET\Reforme\2018\documents\version finale Juillet 2018 Validé par CNSET\4. SEM\"/>
    </mc:Choice>
  </mc:AlternateContent>
  <bookViews>
    <workbookView xWindow="0" yWindow="0" windowWidth="19200" windowHeight="6945" tabRatio="760"/>
  </bookViews>
  <sheets>
    <sheet name="Page de garde" sheetId="11" r:id="rId1"/>
    <sheet name="Contributeurs" sheetId="1" r:id="rId2"/>
    <sheet name="Métiers visés " sheetId="2" r:id="rId3"/>
    <sheet name="Comptétences adressées" sheetId="3" r:id="rId4"/>
    <sheet name="Schéma d'enseignement" sheetId="4" r:id="rId5"/>
    <sheet name="Cohérence" sheetId="8" r:id="rId6"/>
    <sheet name="Matières optionnelles" sheetId="10" r:id="rId7"/>
    <sheet name="Semestre 3 " sheetId="7" r:id="rId8"/>
    <sheet name="SE pour l'embarqué" sheetId="22" r:id="rId9"/>
    <sheet name="Atelier SE pour l'embarqué" sheetId="23" r:id="rId10"/>
    <sheet name="Atelier systèmes électroniques" sheetId="24" r:id="rId11"/>
    <sheet name="Protocoles et services réseaux" sheetId="25" r:id="rId12"/>
    <sheet name="AT protocoles &amp; services réseau" sheetId="26" r:id="rId13"/>
    <sheet name="Base de données" sheetId="27" r:id="rId14"/>
    <sheet name="Atelier base de données" sheetId="28" r:id="rId15"/>
    <sheet name="Programmation objet" sheetId="29" r:id="rId16"/>
    <sheet name="AT programmation objet" sheetId="30" r:id="rId17"/>
    <sheet name="Communication en entreprise" sheetId="14" r:id="rId18"/>
    <sheet name="High tech english" sheetId="15" r:id="rId19"/>
    <sheet name="Semestre 4" sheetId="20" r:id="rId20"/>
    <sheet name="Circuits numériques" sheetId="32" r:id="rId21"/>
    <sheet name="Atelier Circuits numériques" sheetId="31" r:id="rId22"/>
    <sheet name="Atelier microcontroleur" sheetId="33" r:id="rId23"/>
    <sheet name="Modélisation objet (UML 2.0)" sheetId="34" r:id="rId24"/>
    <sheet name="Développement web coté serveur" sheetId="35" r:id="rId25"/>
    <sheet name="AT Dév web coté serveur" sheetId="36" r:id="rId26"/>
    <sheet name="Dév d'applis mobiles natives" sheetId="37" r:id="rId27"/>
    <sheet name="AT dév d'applis mob natives" sheetId="38" r:id="rId28"/>
    <sheet name="Etude et management des proj" sheetId="16" r:id="rId29"/>
    <sheet name="Busniess English" sheetId="17" r:id="rId30"/>
    <sheet name="Semestre 5" sheetId="21" r:id="rId31"/>
    <sheet name="AT Prot rapide des applis EMB" sheetId="39" r:id="rId32"/>
    <sheet name="Dév mobile avancé" sheetId="40" r:id="rId33"/>
    <sheet name="AT dév mobile avancé" sheetId="41" r:id="rId34"/>
    <sheet name="Atelier SoC" sheetId="42" r:id="rId35"/>
    <sheet name="Fondements IoT" sheetId="43" r:id="rId36"/>
    <sheet name="Atelier IoT" sheetId="44" r:id="rId37"/>
    <sheet name="Atelier services web" sheetId="45" r:id="rId38"/>
    <sheet name="AT intégrat. &amp; déploiement web" sheetId="46" r:id="rId39"/>
    <sheet name="TRE" sheetId="18" r:id="rId40"/>
    <sheet name="TOEIC" sheetId="19" r:id="rId41"/>
    <sheet name="EC Optionnelles" sheetId="47" r:id="rId42"/>
    <sheet name="Mini Projet" sheetId="12" r:id="rId43"/>
    <sheet name="Système Mgmt Qualité" sheetId="13" r:id="rId44"/>
  </sheets>
  <definedNames>
    <definedName name="_xlnm._FilterDatabase" localSheetId="2" hidden="1">'Métiers visés '!$B$4:$E$8</definedName>
    <definedName name="_xlnm.Print_Area" localSheetId="42">'Mini Projet'!$A$1:$G$72</definedName>
    <definedName name="_xlnm.Print_Area" localSheetId="43">'Système Mgmt Qualité'!$A$1:$G$68</definedName>
    <definedName name="_xlnm.Print_Area" localSheetId="39">TRE!$A$3:$I$58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4" i="4" l="1"/>
  <c r="F32" i="4"/>
  <c r="F7" i="4"/>
  <c r="I43" i="4" l="1"/>
  <c r="I31" i="4" l="1"/>
  <c r="I19" i="4"/>
  <c r="K43" i="4"/>
  <c r="J43" i="4"/>
  <c r="K31" i="4"/>
  <c r="J31" i="4"/>
  <c r="K19" i="4"/>
  <c r="J19" i="4"/>
  <c r="I47" i="4" l="1"/>
  <c r="I49" i="4"/>
  <c r="I48" i="4"/>
  <c r="M43" i="4"/>
  <c r="N43" i="4"/>
  <c r="O43" i="4"/>
  <c r="L43" i="4"/>
  <c r="M31" i="4"/>
  <c r="N31" i="4"/>
  <c r="O31" i="4"/>
  <c r="L31" i="4"/>
  <c r="M19" i="4"/>
  <c r="N19" i="4"/>
  <c r="O19" i="4"/>
  <c r="L19" i="4"/>
  <c r="F40" i="4" l="1"/>
  <c r="F38" i="4"/>
  <c r="F36" i="4"/>
  <c r="F34" i="4"/>
  <c r="F30" i="4"/>
  <c r="F28" i="4"/>
  <c r="F26" i="4"/>
  <c r="F23" i="4"/>
  <c r="F22" i="4"/>
  <c r="F20" i="4"/>
  <c r="H19" i="4"/>
  <c r="H47" i="4" s="1"/>
  <c r="F18" i="4"/>
  <c r="F16" i="4"/>
  <c r="F14" i="4"/>
  <c r="H43" i="4" l="1"/>
  <c r="H49" i="4" s="1"/>
  <c r="H31" i="4"/>
  <c r="H48" i="4" s="1"/>
  <c r="F43" i="4"/>
  <c r="F31" i="4"/>
  <c r="F10" i="4" l="1"/>
  <c r="F12" i="4"/>
  <c r="H44" i="4"/>
  <c r="F19" i="4" l="1"/>
</calcChain>
</file>

<file path=xl/sharedStrings.xml><?xml version="1.0" encoding="utf-8"?>
<sst xmlns="http://schemas.openxmlformats.org/spreadsheetml/2006/main" count="2343" uniqueCount="702">
  <si>
    <t xml:space="preserve">Partcipation </t>
  </si>
  <si>
    <t xml:space="preserve">Parcours </t>
  </si>
  <si>
    <t>#</t>
  </si>
  <si>
    <t>Nom</t>
  </si>
  <si>
    <t xml:space="preserve">Organisme </t>
  </si>
  <si>
    <t xml:space="preserve">Poste </t>
  </si>
  <si>
    <t xml:space="preserve">Description </t>
  </si>
  <si>
    <t>Amélioration des processus</t>
  </si>
  <si>
    <t>Assurance qualité informatique</t>
  </si>
  <si>
    <t>Conception des applications</t>
  </si>
  <si>
    <t>Gestion des problèmes</t>
  </si>
  <si>
    <t>Ingénierie système</t>
  </si>
  <si>
    <t>Intégration des systèmes</t>
  </si>
  <si>
    <t>Gestion du changement</t>
  </si>
  <si>
    <t>Orientation client</t>
  </si>
  <si>
    <t>Prise de décision</t>
  </si>
  <si>
    <t>Orientation résultats</t>
  </si>
  <si>
    <t>Initiative et proactivité</t>
  </si>
  <si>
    <t>Networking</t>
  </si>
  <si>
    <t>Versatilité</t>
  </si>
  <si>
    <t xml:space="preserve">Compétences techniques </t>
  </si>
  <si>
    <t xml:space="preserve">Compétences non techniques / soft skills </t>
  </si>
  <si>
    <t xml:space="preserve">Éléments constitutifs </t>
  </si>
  <si>
    <t>Unités d'enseignement</t>
  </si>
  <si>
    <t xml:space="preserve">Appelation </t>
  </si>
  <si>
    <t xml:space="preserve">Volume horaire </t>
  </si>
  <si>
    <t>Bases de Données</t>
  </si>
  <si>
    <t>Programmation Objet</t>
  </si>
  <si>
    <t>total</t>
  </si>
  <si>
    <t xml:space="preserve">total </t>
  </si>
  <si>
    <t xml:space="preserve">Type </t>
  </si>
  <si>
    <t>Fondamentale</t>
  </si>
  <si>
    <t xml:space="preserve">Transversale </t>
  </si>
  <si>
    <t>Optionnelle</t>
  </si>
  <si>
    <t>Est ce que le pré-requis est couvert dans le parcours lui même ?</t>
  </si>
  <si>
    <t>Matières du tronc commun : quelles matières permettent de répondre au pré-requis</t>
  </si>
  <si>
    <t>Semestre 3</t>
  </si>
  <si>
    <t>Semestre 4</t>
  </si>
  <si>
    <t>Semestre 5</t>
  </si>
  <si>
    <t>Semestre 1</t>
  </si>
  <si>
    <t>Semestre 2</t>
  </si>
  <si>
    <t>mathématique appliquée 1</t>
  </si>
  <si>
    <t>Algorithmique et  Programmation I</t>
  </si>
  <si>
    <t xml:space="preserve">Architecture et système </t>
  </si>
  <si>
    <t>Développement web et multimédia I</t>
  </si>
  <si>
    <t>mathématique appliquée II</t>
  </si>
  <si>
    <t xml:space="preserve">Système I </t>
  </si>
  <si>
    <t>Algorithmique et  Programmation II</t>
  </si>
  <si>
    <t>Développement web et multimédia II</t>
  </si>
  <si>
    <t>Mathématique Appliquée (42)</t>
  </si>
  <si>
    <t>Atelier Mathématiques Appliquées (21)</t>
  </si>
  <si>
    <t>Algorithmique et programmation (63)</t>
  </si>
  <si>
    <t>Atelier Programmation  (42)</t>
  </si>
  <si>
    <t>Architecture des Ordinateurs (21)</t>
  </si>
  <si>
    <t>Systèmes Logiques (21)</t>
  </si>
  <si>
    <t>Atelier Systèmes Logiques (21)</t>
  </si>
  <si>
    <t>Développement web et multimédia I (21)</t>
  </si>
  <si>
    <t>Atelier Développement Web et Multimédia I (42)</t>
  </si>
  <si>
    <t>Recherche Opérationnelle (21)</t>
  </si>
  <si>
    <t>Statistiques &amp; Probabilités (21)</t>
  </si>
  <si>
    <t>Systèmes d'Exploitation (42)</t>
  </si>
  <si>
    <t>Atelier Systèmes I (21)</t>
  </si>
  <si>
    <t>Algorithmique &amp; Programmation II (42)</t>
  </si>
  <si>
    <t>Atelier programmation II (42)</t>
  </si>
  <si>
    <t>Développement web et multimédia II (21)</t>
  </si>
  <si>
    <t>Atelier Développement Web et Multimédia II (42)</t>
  </si>
  <si>
    <t>Fondement des Réseaux (42)</t>
  </si>
  <si>
    <t>Etude et management de projets innovants</t>
  </si>
  <si>
    <t>Communication en entreprise</t>
  </si>
  <si>
    <t>X</t>
  </si>
  <si>
    <t>x</t>
  </si>
  <si>
    <t>Non</t>
  </si>
  <si>
    <t>Réforme 2018</t>
  </si>
  <si>
    <t xml:space="preserve">Expérience minimum </t>
  </si>
  <si>
    <t>0 à 2 ans</t>
  </si>
  <si>
    <t>-</t>
  </si>
  <si>
    <t xml:space="preserve">Spécificité </t>
  </si>
  <si>
    <t>*nouveau métier non défini par le REM.REC</t>
  </si>
  <si>
    <t xml:space="preserve">Semestre </t>
  </si>
  <si>
    <t xml:space="preserve">Semestre 3 </t>
  </si>
  <si>
    <t xml:space="preserve">Semestre 4 </t>
  </si>
  <si>
    <t xml:space="preserve">Semestre 5 </t>
  </si>
  <si>
    <t xml:space="preserve">Unité d'enseignement </t>
  </si>
  <si>
    <t xml:space="preserve">Contributeurs académiques et professionnels </t>
  </si>
  <si>
    <t>Abdelkader Saadaoui</t>
  </si>
  <si>
    <t>Abdelaziz Kilani</t>
  </si>
  <si>
    <t>Habib Smei</t>
  </si>
  <si>
    <t>Saida Helali</t>
  </si>
  <si>
    <t xml:space="preserve">Jihene Dhiab </t>
  </si>
  <si>
    <t>Lamia Mansouri</t>
  </si>
  <si>
    <t>Eya Echikh</t>
  </si>
  <si>
    <t xml:space="preserve">Kaouther Djebi </t>
  </si>
  <si>
    <t>Asma ben Salem</t>
  </si>
  <si>
    <t>Walid Bayaoui</t>
  </si>
  <si>
    <t xml:space="preserve">Sami Hadhri </t>
  </si>
  <si>
    <t>Imen Ammari</t>
  </si>
  <si>
    <t>Fateh Bejaoui</t>
  </si>
  <si>
    <t>Asma Grine</t>
  </si>
  <si>
    <t>Safa Mahouachi</t>
  </si>
  <si>
    <t>Imen Bouallegui</t>
  </si>
  <si>
    <t>Hazar Chtioui</t>
  </si>
  <si>
    <t>Samar Abdelhak</t>
  </si>
  <si>
    <t>Ines Mezghani</t>
  </si>
  <si>
    <t>Saloua Bani</t>
  </si>
  <si>
    <t>ISET Radès</t>
  </si>
  <si>
    <t>Directeur de département</t>
  </si>
  <si>
    <t>Enseignant</t>
  </si>
  <si>
    <t>ISET Mahdia</t>
  </si>
  <si>
    <t>Directrice 4C</t>
  </si>
  <si>
    <t>ISET Kelibia</t>
  </si>
  <si>
    <t>ISET Kairouan</t>
  </si>
  <si>
    <t>ISET Djerba</t>
  </si>
  <si>
    <t>ISET'Com</t>
  </si>
  <si>
    <t>Maitre assistante</t>
  </si>
  <si>
    <t>Chef de département</t>
  </si>
  <si>
    <t>ISET Ksar Hellal</t>
  </si>
  <si>
    <t>Nesrine Boussada Taieb</t>
  </si>
  <si>
    <t>ISET Nabeul</t>
  </si>
  <si>
    <t>Mohamed Khadhraoui</t>
  </si>
  <si>
    <t>Sagemcom</t>
  </si>
  <si>
    <t>Campus manager</t>
  </si>
  <si>
    <t>Ahmed Zaki Jenhani</t>
  </si>
  <si>
    <t>Business &amp; Decision</t>
  </si>
  <si>
    <t>Responsable practice</t>
  </si>
  <si>
    <t>Iot chief officer*</t>
  </si>
  <si>
    <t>Testeur</t>
  </si>
  <si>
    <t>Il exécute les plans de tests afin de garantir la qualité d’un programme informatique et de ses fonctionnalités.</t>
  </si>
  <si>
    <t>Il est chargé de valoriser les données pertinentes collectées à partir de l'Internet des objets en les faisant analyser pour les transformer en valeur d'affaires, en avantage concurrentiel ou pour améliorer la prise de décision.</t>
  </si>
  <si>
    <t>3 à 5 ans</t>
  </si>
  <si>
    <t>Métiers visés par le parcours SEM</t>
  </si>
  <si>
    <t>Matières du parcours SEM : dans quelles matières le pré-requis est demandé ?</t>
  </si>
  <si>
    <t>Prérequis pour le parcours SEM</t>
  </si>
  <si>
    <t>Développeur</t>
  </si>
  <si>
    <t>Développeur mobile</t>
  </si>
  <si>
    <t>Il assure le développement, l’amélioration et la mise en œuvre des applications informatiques. Il analyse les besoins des utilisateurs afin de construire des programmes sur mesure en fonction des supports et des outils de développement utilisés.</t>
  </si>
  <si>
    <t>Technicien support utilisateur</t>
  </si>
  <si>
    <t>Il assure le premier niveau de support technique aux clients/utilisateurs ou les oriente vers les ressources compétentes pouvant y apporter une solution.</t>
  </si>
  <si>
    <t>Test</t>
  </si>
  <si>
    <t>Production de la documentation</t>
  </si>
  <si>
    <t>Identification des besoins</t>
  </si>
  <si>
    <t>Réseau et protocoles</t>
  </si>
  <si>
    <t>Architecture système IOT</t>
  </si>
  <si>
    <t>Interfacage capteur</t>
  </si>
  <si>
    <t>Kit de développement embarqué</t>
  </si>
  <si>
    <t>SOA</t>
  </si>
  <si>
    <t>Développement</t>
  </si>
  <si>
    <t>Travail en équipe</t>
  </si>
  <si>
    <t>Présentation et communication</t>
  </si>
  <si>
    <t>Systèmes d'exploitation embarqué</t>
  </si>
  <si>
    <t>Atelier Systèmes d'exploitation embarqué</t>
  </si>
  <si>
    <t>Atelier Systèmes électroniques</t>
  </si>
  <si>
    <t>Protocoles  et services réseaux</t>
  </si>
  <si>
    <t>Atelier protocoles et services réseaux</t>
  </si>
  <si>
    <t>Atelier Bases de Données</t>
  </si>
  <si>
    <t>Atelier de Programmation Objet</t>
  </si>
  <si>
    <t>Projet embarqué 1 (atelier)</t>
  </si>
  <si>
    <t>Sécurité informatique</t>
  </si>
  <si>
    <t>Atelier systèmes d'exploitation temps réel</t>
  </si>
  <si>
    <t>Systèmes II</t>
  </si>
  <si>
    <t>Systèmes électroniques</t>
  </si>
  <si>
    <t>Réseaux et services</t>
  </si>
  <si>
    <t>Base de données</t>
  </si>
  <si>
    <t>Culture et Langues III</t>
  </si>
  <si>
    <t>Matières optionnelles</t>
  </si>
  <si>
    <t xml:space="preserve">Programmation orientée objet </t>
  </si>
  <si>
    <t>Circuits numériques</t>
  </si>
  <si>
    <t>Atelier Circuits numériques</t>
  </si>
  <si>
    <t>Atelier microcontroleur</t>
  </si>
  <si>
    <t>Modélisation Objet (UML2.0)</t>
  </si>
  <si>
    <t>Développement Web Coté serveur</t>
  </si>
  <si>
    <t>Atelier Développement Web Coté serveur</t>
  </si>
  <si>
    <t>Développement d'applications mobiles natives</t>
  </si>
  <si>
    <t>Atelier Développementd'applications mobiles natives</t>
  </si>
  <si>
    <t>Projet embarqué 2 (atelier)</t>
  </si>
  <si>
    <t xml:space="preserve">Gestion de projet </t>
  </si>
  <si>
    <t>Systèmes numériques</t>
  </si>
  <si>
    <t>Microcontroleur</t>
  </si>
  <si>
    <t>Développement Coté Serveur</t>
  </si>
  <si>
    <t>Développement Mobile I</t>
  </si>
  <si>
    <t>Culture et Langues IV</t>
  </si>
  <si>
    <t>Atelier Prototypage Rapides des Applications Embarqués</t>
  </si>
  <si>
    <t>Développement Mobile avancé</t>
  </si>
  <si>
    <t>Atelier Développement Mobile avancé</t>
  </si>
  <si>
    <t>Fondements IOT</t>
  </si>
  <si>
    <t>Atelier IoT</t>
  </si>
  <si>
    <t>Atelier SoC</t>
  </si>
  <si>
    <t>Atelier Intégration et déploiement web</t>
  </si>
  <si>
    <t>Projet embarqué 3 (atelier)</t>
  </si>
  <si>
    <t>Système de managment de la qualité</t>
  </si>
  <si>
    <t>Projet d'application embarquée</t>
  </si>
  <si>
    <t>Développement Mobile II</t>
  </si>
  <si>
    <t>IoT</t>
  </si>
  <si>
    <t>SoC</t>
  </si>
  <si>
    <t xml:space="preserve">Modélisation et programmation web </t>
  </si>
  <si>
    <t xml:space="preserve">Technologie réseaux </t>
  </si>
  <si>
    <t>Systèmes d'exploitation embarqué (21)</t>
  </si>
  <si>
    <t>Atelier Systèmes d'exploitation embarqué (21)</t>
  </si>
  <si>
    <t>Atelier Systèmes électroniques (42)</t>
  </si>
  <si>
    <t>Protocoles  et services réseaux (21)</t>
  </si>
  <si>
    <t>Atelier protocoles et services réseaux (21)</t>
  </si>
  <si>
    <t>Bases de Données (21)</t>
  </si>
  <si>
    <t>Atelier Bases de Données (21)</t>
  </si>
  <si>
    <t>Programmation Objet (21)</t>
  </si>
  <si>
    <t>Atelier de Programmation Objet (42)</t>
  </si>
  <si>
    <t>Circuits numériques (21)</t>
  </si>
  <si>
    <t>Atelier Circuits numériques (42)</t>
  </si>
  <si>
    <t>Atelier microcontroleur (42)</t>
  </si>
  <si>
    <t>Modélisation Objet (UML2.0) (21)</t>
  </si>
  <si>
    <t>Développement Web Coté serveur (21)</t>
  </si>
  <si>
    <t>Atelier Développement Web Coté serveur (21)</t>
  </si>
  <si>
    <t>Développement d'applications mobiles natives (21)</t>
  </si>
  <si>
    <t>Atelier Développementd'applications mobiles natives (42)</t>
  </si>
  <si>
    <t>Atelier Prototypage Rapides des Applications Embarqués (42)</t>
  </si>
  <si>
    <t>Développement Mobile avancé (21)</t>
  </si>
  <si>
    <t>Atelier Développement Mobile avancé (42)</t>
  </si>
  <si>
    <t>Fondements IOT (21)</t>
  </si>
  <si>
    <t>Atelier IoT (42)</t>
  </si>
  <si>
    <t>Atelier SoC (42)</t>
  </si>
  <si>
    <t>Atelier service web (21)</t>
  </si>
  <si>
    <t>Atelier Projet d'Intégration et déploiement web (21)</t>
  </si>
  <si>
    <t>Systèmes</t>
  </si>
  <si>
    <t>Architecture</t>
  </si>
  <si>
    <t xml:space="preserve">Système logique </t>
  </si>
  <si>
    <t>Réseaux</t>
  </si>
  <si>
    <t>Algorithmique et structure de données</t>
  </si>
  <si>
    <t>Programmation structurée</t>
  </si>
  <si>
    <t xml:space="preserve">Mathématiques </t>
  </si>
  <si>
    <t>Trimestre 3</t>
  </si>
  <si>
    <t xml:space="preserve">Développement web </t>
  </si>
  <si>
    <t>POO</t>
  </si>
  <si>
    <t xml:space="preserve">Microcontroleur </t>
  </si>
  <si>
    <t>Trimestre 4</t>
  </si>
  <si>
    <t>LINUX Embarqué</t>
  </si>
  <si>
    <t>Systèmes 
numériques</t>
  </si>
  <si>
    <t>Modélisation et programmation web</t>
  </si>
  <si>
    <r>
      <rPr>
        <b/>
        <sz val="11"/>
        <rFont val="Calibri"/>
        <family val="2"/>
        <scheme val="minor"/>
      </rPr>
      <t>NB</t>
    </r>
    <r>
      <rPr>
        <sz val="11"/>
        <rFont val="Calibri"/>
        <family val="2"/>
        <scheme val="minor"/>
      </rPr>
      <t xml:space="preserve"> : la première référence pour la définition des métiers du parcours est le référentiel tunisien REM.REC, disponible sur le lien (digitaltalent.tn)</t>
    </r>
  </si>
  <si>
    <t>Systèmes Embarqués</t>
  </si>
  <si>
    <t>Mounira Jemni</t>
  </si>
  <si>
    <t>Enseignante</t>
  </si>
  <si>
    <t>Chiraz Elayed</t>
  </si>
  <si>
    <t>Participation aux ateliers</t>
  </si>
  <si>
    <t xml:space="preserve">Élaboration des fiches matières techniques </t>
  </si>
  <si>
    <t xml:space="preserve">Élaboration des fiches matières transversales </t>
  </si>
  <si>
    <t>Business english</t>
  </si>
  <si>
    <t>Technique de Recherche d’emploi et Marketing de soi</t>
  </si>
  <si>
    <r>
      <rPr>
        <b/>
        <sz val="11"/>
        <rFont val="Calibri"/>
        <family val="2"/>
        <scheme val="minor"/>
      </rPr>
      <t>N.B</t>
    </r>
    <r>
      <rPr>
        <sz val="11"/>
        <rFont val="Calibri"/>
        <family val="2"/>
        <scheme val="minor"/>
      </rPr>
      <t xml:space="preserve"> : Les matières optionnelles sont proposées dans le présent plan d'études à titre indicatif, chaque ISET aura le soin de choisir les matières optionnelles selon ses besoins et priorités. Certaines matières listées ci-dessous disposent de propositions de fiches matières dans le présent plan</t>
    </r>
  </si>
  <si>
    <t>Fiche matière proposée</t>
  </si>
  <si>
    <t>Oui</t>
  </si>
  <si>
    <t xml:space="preserve">Systèmes embarqués </t>
  </si>
  <si>
    <t>ISET Kssar Hlel</t>
  </si>
  <si>
    <t>Conseillère 4c</t>
  </si>
  <si>
    <t>Walid Zaouali</t>
  </si>
  <si>
    <t>Matière optionelle</t>
  </si>
  <si>
    <t>Matière transversale</t>
  </si>
  <si>
    <t>Matière fondamentale</t>
  </si>
  <si>
    <t>Ce pack contient les sections suivantes :</t>
  </si>
  <si>
    <r>
      <rPr>
        <b/>
        <sz val="12"/>
        <color theme="1"/>
        <rFont val="Calibri"/>
        <family val="2"/>
        <scheme val="minor"/>
      </rPr>
      <t xml:space="preserve">Animation d’ateliers d’assistance entre le secteur privé TIC et les ISETs pour l’élaboration 
du nouveau plan d’études TIC des ISETs
</t>
    </r>
    <r>
      <rPr>
        <b/>
        <sz val="12"/>
        <color rgb="FF009999"/>
        <rFont val="Calibri"/>
        <family val="2"/>
        <scheme val="minor"/>
      </rPr>
      <t>Pack plan d'études parcours SEM</t>
    </r>
    <r>
      <rPr>
        <sz val="12"/>
        <color rgb="FF009999"/>
        <rFont val="Calibri"/>
        <family val="2"/>
        <scheme val="minor"/>
      </rPr>
      <t xml:space="preserve">
</t>
    </r>
    <r>
      <rPr>
        <sz val="12"/>
        <color theme="1"/>
        <rFont val="Calibri"/>
        <family val="2"/>
        <scheme val="minor"/>
      </rPr>
      <t xml:space="preserve">
</t>
    </r>
  </si>
  <si>
    <r>
      <rPr>
        <b/>
        <sz val="11"/>
        <rFont val="Calibri"/>
        <family val="2"/>
        <scheme val="minor"/>
      </rPr>
      <t xml:space="preserve">Contributeurs : </t>
    </r>
    <r>
      <rPr>
        <sz val="11"/>
        <rFont val="Calibri"/>
        <family val="2"/>
        <scheme val="minor"/>
      </rPr>
      <t>représente l'ensemble des intervenants qui ont contribué à l'élaboration des fiches matières</t>
    </r>
  </si>
  <si>
    <r>
      <rPr>
        <b/>
        <sz val="11"/>
        <rFont val="Calibri"/>
        <family val="2"/>
        <scheme val="minor"/>
      </rPr>
      <t>Métiers visés :</t>
    </r>
    <r>
      <rPr>
        <sz val="11"/>
        <rFont val="Calibri"/>
        <family val="2"/>
        <scheme val="minor"/>
      </rPr>
      <t xml:space="preserve"> représente les métiers auxquels les parcours prépare (couverture totale ou partielle)</t>
    </r>
  </si>
  <si>
    <r>
      <rPr>
        <b/>
        <sz val="11"/>
        <rFont val="Calibri"/>
        <family val="2"/>
        <scheme val="minor"/>
      </rPr>
      <t xml:space="preserve">Compétences adressées : </t>
    </r>
    <r>
      <rPr>
        <sz val="11"/>
        <rFont val="Calibri"/>
        <family val="2"/>
        <scheme val="minor"/>
      </rPr>
      <t>représente les compétences que le parcours couvre</t>
    </r>
  </si>
  <si>
    <r>
      <rPr>
        <b/>
        <sz val="11"/>
        <rFont val="Calibri"/>
        <family val="2"/>
        <scheme val="minor"/>
      </rPr>
      <t>Schéma d'enseignement :</t>
    </r>
    <r>
      <rPr>
        <sz val="11"/>
        <rFont val="Calibri"/>
        <family val="2"/>
        <scheme val="minor"/>
      </rPr>
      <t xml:space="preserve"> représente les matières du parcours, leur nature (fondamentale, transversale, optionelle) et le volume horaire pour les différents semestres</t>
    </r>
  </si>
  <si>
    <r>
      <rPr>
        <b/>
        <sz val="11"/>
        <rFont val="Calibri"/>
        <family val="2"/>
        <scheme val="minor"/>
      </rPr>
      <t xml:space="preserve">Cohérence : </t>
    </r>
    <r>
      <rPr>
        <sz val="11"/>
        <rFont val="Calibri"/>
        <family val="2"/>
        <scheme val="minor"/>
      </rPr>
      <t>représente les prérequis demandés par le parcours (par matière) et leur couverture (par le parcours lui meme ou par le tronc commun)</t>
    </r>
  </si>
  <si>
    <r>
      <rPr>
        <b/>
        <sz val="11"/>
        <rFont val="Calibri"/>
        <family val="2"/>
        <scheme val="minor"/>
      </rPr>
      <t>Matières optionnelles :</t>
    </r>
    <r>
      <rPr>
        <sz val="11"/>
        <rFont val="Calibri"/>
        <family val="2"/>
        <scheme val="minor"/>
      </rPr>
      <t xml:space="preserve"> représente les différentes matières optionnelles à sélectionner par l'ISET pour chaque semestre</t>
    </r>
  </si>
  <si>
    <r>
      <rPr>
        <b/>
        <sz val="11"/>
        <rFont val="Calibri"/>
        <family val="2"/>
        <scheme val="minor"/>
      </rPr>
      <t xml:space="preserve">Semestre : </t>
    </r>
    <r>
      <rPr>
        <sz val="11"/>
        <rFont val="Calibri"/>
        <family val="2"/>
        <scheme val="minor"/>
      </rPr>
      <t xml:space="preserve">regroupe les différentes matières pour chaque semestre </t>
    </r>
  </si>
  <si>
    <t>ISET Sfax</t>
  </si>
  <si>
    <t xml:space="preserve">à choisir par l'ISET </t>
  </si>
  <si>
    <t>Benchmark et références similaires</t>
  </si>
  <si>
    <t>Évaluer les étudiant</t>
  </si>
  <si>
    <t>Professionnel</t>
  </si>
  <si>
    <t>Réferent technique / chef de projet</t>
  </si>
  <si>
    <t>Apporter les cahiers des charges</t>
  </si>
  <si>
    <t>Contribution</t>
  </si>
  <si>
    <t>Catégorie</t>
  </si>
  <si>
    <t>Contributeur</t>
  </si>
  <si>
    <t>Participants / contributeurs à la formation en dehors de l'établissement (spécifier l'intervention et le cadre)</t>
  </si>
  <si>
    <t>Langages de programmation</t>
  </si>
  <si>
    <t>Pré-requis</t>
  </si>
  <si>
    <t>TP</t>
  </si>
  <si>
    <t>TD</t>
  </si>
  <si>
    <t>Cours</t>
  </si>
  <si>
    <t>Orientations et moyens pédagogiques par canal pédagogique</t>
  </si>
  <si>
    <t>• Atelier 1 :  Syntaxe du langage Python.                                                                                                                                                                     • Atelier 2 : Approche Orientée Objet et Programmation Objet en Python
• Atelier 3 :  Utilisation StdLib et Outils QA
• Atelier 4 : Création IHM TkInter et Interfaçage Python/C
• Atelier 5 : Spécification et  déploiement d’un projet sur la plateforme et composition des équipes de travail.
• Atelier 6 : Analyse de la qualité du projet et application des règles de codage.
• Atelier 7 : Mise en œuvre de tests logiciels en Python.
• Atelier 8 : Teste et validation des applications
• Atelier 9 : Documentation et procédure de livraison</t>
  </si>
  <si>
    <t>Contenu de la formation</t>
  </si>
  <si>
    <t>Gestion de la relation client</t>
  </si>
  <si>
    <t>Définir et mettre en œuvre une approche de gestion des risques dans les solutions TIC</t>
  </si>
  <si>
    <t>Veille technologique</t>
  </si>
  <si>
    <t>Analyses qualitatives et quantitatives</t>
  </si>
  <si>
    <t>Planification des produits ou des services</t>
  </si>
  <si>
    <t>Concevoir et exécuter les tests de pénétration</t>
  </si>
  <si>
    <t>Conception et développement</t>
  </si>
  <si>
    <t>Mots clés en lien avec les débouchés professionnelles</t>
  </si>
  <si>
    <t>Mots clés académiques</t>
  </si>
  <si>
    <t>Objectifs spécifiques</t>
  </si>
  <si>
    <t>Objectifs généraux</t>
  </si>
  <si>
    <t>Contrôle
continu + Mini projet</t>
  </si>
  <si>
    <t>Mini projet</t>
  </si>
  <si>
    <t>Système d'évaluation</t>
  </si>
  <si>
    <t>Crédit</t>
  </si>
  <si>
    <t>Coefficient</t>
  </si>
  <si>
    <t>Volume horaire</t>
  </si>
  <si>
    <t>Elément constitutif</t>
  </si>
  <si>
    <t>Fethi Troudi</t>
  </si>
  <si>
    <t>Amine SHARED</t>
  </si>
  <si>
    <t>Taher Chebbi</t>
  </si>
  <si>
    <t>Date</t>
  </si>
  <si>
    <t>Prénom et Nom</t>
  </si>
  <si>
    <t>Liste de dernière validatation</t>
  </si>
  <si>
    <t>Présentation de l'objectif de cette formation, des compétences techniques et des soft skills visées ainsi que le contenu de la formation.</t>
  </si>
  <si>
    <t>Nature du changement</t>
  </si>
  <si>
    <t>Historique des mise à jour</t>
  </si>
  <si>
    <t>Semestre</t>
  </si>
  <si>
    <t>La qualité logicielle</t>
  </si>
  <si>
    <t>Unité optionnelle</t>
  </si>
  <si>
    <t>Systèmes Embarqués et Mobiles</t>
  </si>
  <si>
    <t>Parcours</t>
  </si>
  <si>
    <t>Technologies de l'Informatique</t>
  </si>
  <si>
    <t>Mention</t>
  </si>
  <si>
    <t>Sciences et Technologie</t>
  </si>
  <si>
    <t>Domaine de formation</t>
  </si>
  <si>
    <t>Mise à jour à partir du plan d'études</t>
  </si>
  <si>
    <t>Statut</t>
  </si>
  <si>
    <t>Audit interne</t>
  </si>
  <si>
    <t>Auditeur interne entreprise</t>
  </si>
  <si>
    <t>Langages de développement: Python,TCL</t>
  </si>
  <si>
    <t>Gestion des contrôles</t>
  </si>
  <si>
    <t>Gestion de la qualité</t>
  </si>
  <si>
    <t>Identifier les risques et saisir les opportunités</t>
  </si>
  <si>
    <t>Résolution de problèmes complexes</t>
  </si>
  <si>
    <t>Gestion de l'information</t>
  </si>
  <si>
    <t>Rigueur d'organisation, de planification des tâches et de reporting</t>
  </si>
  <si>
    <t>Maîtrise des méthodes de validation.</t>
  </si>
  <si>
    <t>Maîtrise du développement informatique.</t>
  </si>
  <si>
    <t>Gouvernance informatique</t>
  </si>
  <si>
    <t>Gestion des risques</t>
  </si>
  <si>
    <t>Tests de pénétration</t>
  </si>
  <si>
    <t xml:space="preserve"> - Préparer la rédaction des manuels et des procédures qualité des plans de validation.
 - Savoir organiser des tests, des audits internes en vue d'analyser les points de non-conformité et de mettre en place des actions correctives et préventives adaptées. 
 - Capable de vérifier et valider le soft embarqué via  test manuels et logiciel TestLink/TCL et de suivi des anomalies
 - Respect de la qualité et des délais.  
 - Développement d'environnement de tests automatiques et validation logicielle via python</t>
  </si>
  <si>
    <t>Etre capable d'assurer des validations de procédés et des qualifications des équipements dans le respect des processus internes</t>
  </si>
  <si>
    <t>Contrôle continu  + Examen TP</t>
  </si>
  <si>
    <t>Système de management de la qualité</t>
  </si>
  <si>
    <t>Présentation de l'objectif de cette formation, des compétences techniques et des soft skills visés ainsi que le contenu de la formation.</t>
  </si>
  <si>
    <t xml:space="preserve">Unité optionnelle </t>
  </si>
  <si>
    <t>Safia Jallouli</t>
  </si>
  <si>
    <t>Preparing TOEIC</t>
  </si>
  <si>
    <t>High tech english</t>
  </si>
  <si>
    <t xml:space="preserve">Fiche élément constitutif </t>
  </si>
  <si>
    <t>Nouvelle création</t>
  </si>
  <si>
    <t>Technologies de l'informlatique</t>
  </si>
  <si>
    <t>DSI/MDW/RSI/SEM</t>
  </si>
  <si>
    <t>Unité d'enseignenement</t>
  </si>
  <si>
    <t>Transversale</t>
  </si>
  <si>
    <t>Historique des mises à jour</t>
  </si>
  <si>
    <t>Acquérir des compétences en communication dans un milieu professionnel.</t>
  </si>
  <si>
    <t xml:space="preserve"> Au terme du module, l’étudiant est capable de : 
-  favoriser la communication non violente
- participer positivement à une réunion de travail
- mettre en pratique les étapes de gestion d’un conflit
- maitriser les techniques de communication interne orale, écrite et de présentation
- appliquer les techniques de négociation
- comprendre la  gestion du changement
</t>
  </si>
  <si>
    <t>Mots clés</t>
  </si>
  <si>
    <t>Dynamique de groupe / communication interne/communication externe/conduite du changement/communication 
non violente</t>
  </si>
  <si>
    <t>Compétences cibles</t>
  </si>
  <si>
    <t>Gestion des conlits</t>
  </si>
  <si>
    <t>Communication écrite et orale en milieu professionnel</t>
  </si>
  <si>
    <t>apatation aux changements</t>
  </si>
  <si>
    <t xml:space="preserve">Négociation </t>
  </si>
  <si>
    <r>
      <rPr>
        <b/>
        <sz val="10"/>
        <rFont val="Calibri"/>
        <family val="2"/>
      </rPr>
      <t xml:space="preserve">Thème 1  : DYNAMIQUE DE GROUPE </t>
    </r>
    <r>
      <rPr>
        <sz val="10"/>
        <rFont val="Calibri"/>
        <family val="2"/>
      </rPr>
      <t xml:space="preserve">
• Travail d’équipe
• Fonctionnement des membres de l’équipe
• Organisation  des réunions
• L’animation des ateliers
</t>
    </r>
    <r>
      <rPr>
        <b/>
        <sz val="10"/>
        <rFont val="Calibri"/>
        <family val="2"/>
      </rPr>
      <t>Thème 2 : GESTION DE CONFLIT</t>
    </r>
    <r>
      <rPr>
        <sz val="10"/>
        <rFont val="Calibri"/>
        <family val="2"/>
      </rPr>
      <t xml:space="preserve">
• Sources du conflit
• Etapes pour résoudre un conflit
• Résoudre par la prévention
• La communication non violente 
</t>
    </r>
    <r>
      <rPr>
        <b/>
        <sz val="10"/>
        <rFont val="Calibri"/>
        <family val="2"/>
      </rPr>
      <t>Thème 3 : CONDUITE DU CHANGEMENT</t>
    </r>
    <r>
      <rPr>
        <sz val="10"/>
        <rFont val="Calibri"/>
        <family val="2"/>
      </rPr>
      <t xml:space="preserve">
• concepts du changement
• Style de personnalité face au changement
• La courbe du changement
• vaincre les résistances au changement
</t>
    </r>
    <r>
      <rPr>
        <b/>
        <sz val="10"/>
        <rFont val="Calibri"/>
        <family val="2"/>
      </rPr>
      <t xml:space="preserve">Thème 4 : COMMUNICATION INTERNE </t>
    </r>
    <r>
      <rPr>
        <sz val="10"/>
        <rFont val="Calibri"/>
        <family val="2"/>
      </rPr>
      <t xml:space="preserve">
• Communication écrite 
• Communication orale 
• Présentation des donnéesThème                                                                                                                                                                                      
</t>
    </r>
    <r>
      <rPr>
        <b/>
        <sz val="10"/>
        <rFont val="Calibri"/>
        <family val="2"/>
      </rPr>
      <t xml:space="preserve">Thème 5 : COMMUNICATION EXTERNE 
</t>
    </r>
    <r>
      <rPr>
        <sz val="10"/>
        <rFont val="Calibri"/>
        <family val="2"/>
      </rPr>
      <t xml:space="preserve">• Public cible
• Types de communication 
• Communication dans la relation commerciale                                                                                                                                                                   
• Outils de communication : 
- communication électronique
- communication téléphonique                                                                                                    
• Outils de communication : 
- communication électronique
- communication téléphonique
</t>
    </r>
  </si>
  <si>
    <t>Expérientielle</t>
  </si>
  <si>
    <t>jeux de rôle, mise en situation</t>
  </si>
  <si>
    <t>Magistrale</t>
  </si>
  <si>
    <t>Présentation power point</t>
  </si>
  <si>
    <t>Active</t>
  </si>
  <si>
    <t>Classe inversée, étude de cas</t>
  </si>
  <si>
    <t>Cette matière requiert que l'étudiant ait suivi les cours en techniques d'expression et en buniness culture</t>
  </si>
  <si>
    <t>Centre 4C</t>
  </si>
  <si>
    <t>Animation des ateliers en rapport avec les thèmes enseignées</t>
  </si>
  <si>
    <t>Moocs</t>
  </si>
  <si>
    <t>acquisition des notions théoriques en non présentiel</t>
  </si>
  <si>
    <t>Autres</t>
  </si>
  <si>
    <t>High Tech English</t>
  </si>
  <si>
    <t>DSI/MDW/RSI</t>
  </si>
  <si>
    <t>High Tech  English</t>
  </si>
  <si>
    <t>Mixte</t>
  </si>
  <si>
    <t>to improve students English communication skills in computing</t>
  </si>
  <si>
    <t>to understand English of Computing for study and work</t>
  </si>
  <si>
    <t>ICT-computers-network-web design</t>
  </si>
  <si>
    <t>Reading</t>
  </si>
  <si>
    <t>Listening</t>
  </si>
  <si>
    <t>Speaking and Writing</t>
  </si>
  <si>
    <t>Unit  1 : Toeic listening part 1 : Photographs
Focus: Using the photo to predict what you will hear
Unit 2: Listening test part 2: Questions-response
Focus: Thinking about the meaning of factual questions
Unit 3: Listening test part 3: Conversations
Focus: Skimming to predict the context before listening
Unit 4: Listening part 4: Talks
Focus: Skimming to predict the context before listening
Unit 5: Reading test part 5: Incomplete sentences 
Focus : Identifying the parts of speech+ Using your time wisely
Unit 6: Reading test Part 6: Text completion
Focus: Using context to choose the correct verb form and meaning
Unit 7: Reading Test part 7: Reading comprehension
Focus: Scanning the questions to decide which ones to answer first.
Unit 8: Listening test part1: Photographs
Focus: Listening for the correct verb
Unit 9: Listening test part 2: Question-response
Focus: Becoming familiar with different ways of answering direct questions.
Unit 10: Listening test part 3: Conversations
Focus: Be aware of same word distracters.</t>
  </si>
  <si>
    <t xml:space="preserve">Magistrale </t>
  </si>
  <si>
    <t>Démonstrative</t>
  </si>
  <si>
    <t xml:space="preserve">Fiche : Etude et Management de projets innovants </t>
  </si>
  <si>
    <t>Sciences et technologies</t>
  </si>
  <si>
    <t>TIC</t>
  </si>
  <si>
    <t>DSI/RSI/MDW/SEM</t>
  </si>
  <si>
    <t>Développer une culture de l’innovation et la création de projets innovants.
Développer une culture de l’innovation et la création de projets innovants.</t>
  </si>
  <si>
    <t>Identifier les enjeux de l’innovation ;                                                                                                                 
Connaitre les principes du management de l'innovation en organisation ;                                              
Comprendre et analyser les processus créatifs ;                                                                                            
Connaitre les rubriques d’un Business Model / Business plan ;                                                                                           
Intégrer l’innovation dans le Business Model/Business Plan.</t>
  </si>
  <si>
    <t xml:space="preserve">Entrepreunariat ; Management de l'innovation ; Projets innovants ; Business Model ; Business Plan </t>
  </si>
  <si>
    <t>Développer le sens de l'entreprenariat et la crétivité chez le jeune</t>
  </si>
  <si>
    <t>Initier les étudiants en innovation et management des connaissances</t>
  </si>
  <si>
    <t>Améliorer les compétences en étude et création de projet</t>
  </si>
  <si>
    <t>Appliquer les étapes d'elaboration du business model</t>
  </si>
  <si>
    <t xml:space="preserve">1) Fondements de l’Economie de la créativité et de l'innovation                                                                            
2) Innovation et Management des connaissances                                                                                                  
3) Du Management des connaissances au Management des talents pour la créativité                                         
4) Techniques et Processus créatifs - Design Thinking et La méthode C/K                                                              
5) La gestion des processus innovants - Du projet au Stage-Gate                                                                            
6) Elaboration d’un Business Model/plan                                                                                                                
7) Business Model/Plan de projets innovants. </t>
  </si>
  <si>
    <t>ateliers</t>
  </si>
  <si>
    <t>jeux de simulations</t>
  </si>
  <si>
    <t>travail de groupe</t>
  </si>
  <si>
    <t>jeux de roles</t>
  </si>
  <si>
    <t>génération des idées</t>
  </si>
  <si>
    <t>Cette matière requiert que l'étudiant ait suivi le module business culture</t>
  </si>
  <si>
    <t>promoteur d'un nouveau projet</t>
  </si>
  <si>
    <t>citer son expérience aux jeunes pour les encourager à prendre l'initiative</t>
  </si>
  <si>
    <t>Business English</t>
  </si>
  <si>
    <t>to be able to get a job</t>
  </si>
  <si>
    <t>to be able to find a job- to write a CV in English -  to write a covering letter in English- to prepare for a job interview</t>
  </si>
  <si>
    <t>graduation-job-CV-covering letter-Job interview</t>
  </si>
  <si>
    <t xml:space="preserve">Maitriser les techniques et les outils de recherche d'emploi </t>
  </si>
  <si>
    <t>Faire une recherche d'emploi orientée résultat -  Rédiger un CV gagnant et maîtriser les paramètres d'un entretien d'embauche -  Elaborer une stratégie gagnante pour réussir son embauche et établir son plan carrière</t>
  </si>
  <si>
    <t>CV - Lettre de motivation - Entretien d'embauche</t>
  </si>
  <si>
    <t>Initiative et Proactivité</t>
  </si>
  <si>
    <t>Prise de décisions</t>
  </si>
  <si>
    <t>Négociation</t>
  </si>
  <si>
    <t>Versalité</t>
  </si>
  <si>
    <r>
      <rPr>
        <b/>
        <sz val="12"/>
        <rFont val="Calibri"/>
        <family val="2"/>
      </rPr>
      <t>Atelier 1 : Outils de recherche et de sélection d’un emploi</t>
    </r>
    <r>
      <rPr>
        <sz val="12"/>
        <rFont val="Calibri"/>
        <family val="2"/>
      </rPr>
      <t xml:space="preserve">
- Le marché de l’emploi
- Types de recherches d’emploi
         - Réponse à des offres
         - Candidature spontanée
         - Recherches en réseau
- Organisation d’une recherche d’emploi
- Sources d’information
</t>
    </r>
    <r>
      <rPr>
        <b/>
        <sz val="12"/>
        <rFont val="Calibri"/>
        <family val="2"/>
      </rPr>
      <t>Atelier 2 : Rédaction d’un CV</t>
    </r>
    <r>
      <rPr>
        <sz val="12"/>
        <rFont val="Calibri"/>
        <family val="2"/>
      </rPr>
      <t xml:space="preserve">
- Rubriques
- Types de CV
- Techniques de rédaction d’un CV gagnant
- Erreurs à éviter 
</t>
    </r>
    <r>
      <rPr>
        <b/>
        <sz val="12"/>
        <rFont val="Calibri"/>
        <family val="2"/>
      </rPr>
      <t>Atelier 3 : Lettre de motivation</t>
    </r>
    <r>
      <rPr>
        <sz val="12"/>
        <rFont val="Calibri"/>
        <family val="2"/>
      </rPr>
      <t xml:space="preserve">
- Techniques de rédaction et de présentation
- types de lettre de motivation
- Caractéristiques
</t>
    </r>
    <r>
      <rPr>
        <b/>
        <sz val="12"/>
        <rFont val="Calibri"/>
        <family val="2"/>
      </rPr>
      <t>Atelier 4 : Entretien d’embauche</t>
    </r>
    <r>
      <rPr>
        <sz val="12"/>
        <rFont val="Calibri"/>
        <family val="2"/>
      </rPr>
      <t xml:space="preserve">
- Types d’entretien d’embauche
- Les différents profils de recruteurs
- Les éléments de préparation d'un entretien (avant, pendant et après)
- Simulation d'un entretien d’embauche
</t>
    </r>
  </si>
  <si>
    <t>Présentation Power Point</t>
  </si>
  <si>
    <t xml:space="preserve">Exercices, recherche et travail de synthèse par groupe, </t>
  </si>
  <si>
    <t>Simulation, jeux de rôle</t>
  </si>
  <si>
    <t>Préparation aux métiers - Techniques d'expression - Techniques de communication en groupe</t>
  </si>
  <si>
    <t>preparation for TOEIC</t>
  </si>
  <si>
    <t>to be ready to take the toeic exam</t>
  </si>
  <si>
    <t>toeic- listening- reading-incomplete sentences</t>
  </si>
  <si>
    <t>Speaking + Writing</t>
  </si>
  <si>
    <t>Unit 11: Listening test part 4: Talks
Focus: Becoming familiar with different kinds of ‘what’ questions
Unit 12: Reading test part5: Incomplete sentences
Focus: Choosing gerunds and infinitives correctly + improving your knowledge of phrasal verbs.
Unit 13: Reading test part6: Text completion
Focus: Choosing the correct part of speech: adjectives and adverbs.
Unit 14: Reading test Part 7: Reading comprehension
Focus: Using context to answer vocabulary questions + using what you have learnt to help infer meaning.
Unit 15: Listening test part1: Photographs
Focus: Listening carefully to every detail.
Unit 16: Listening part 2: Questions response.
Focus: Becoming familiar with time and location structures.
Unit 17: Listening test part 3: Conversations
Focus: Using vocabulary clues to infer meaning
Unit 18: Listening test part4: Talks
Focus: Becoming familiar with re-statements+ being aware of questions involving numbers and quantities.
Unit 19: Reading Test part 5: Incomplete sentences 
Focus: Improving your knowledge of suffixes and prefixes
Unit 20: Reading test part 6: Text completion
Focus: Using clues in the question to help you choose the correct verb form: future perfect
Unit 21: Reading test Part 6: Reading comprehension
Focus: Learning how to answer ‘NOT’ questions, and questions with names, numbers, dates or times.
Unit 22: Listening test part 1: Photographs
Focus: Listening for the correct prepositions +being aware of similar sounding words.
Unit 23: Listening Test part 3: Question-response
Focus: Becoming familiar with language used in offers, requests and opinions.
Unit 24: Listening Part 3: Conversations
Focus: Becoming familiar with polite ways of saying ‘no’ + listening carefully to the first exchange
Unit 25: Listening Test Part 4: Talks
Focus: Becoming familiar with re-statements involving ‘how’ and ‘why’ questions.
Unit 26: Reading test part 5: Incomplete sentences
Focus: Improving your knowledge of pronouns.
Unit 27: Reading Part 6: Text completion 
Focus: Choosing the correct word prepositions and conjunctions
Unit 28: Reading Test Part 7: Reading comprehension
Focus: Learning how to answer questions dealing with charts, tables, forms and double passages.</t>
  </si>
  <si>
    <t>labo</t>
  </si>
  <si>
    <t>Maîtriser la syntaxe du langage Python
Acquérir les notions essentielles de la programmation objet
Connaître et mettre en oeuvre les différents modules Python
Concevoir des interfaces graphiques
Mettre en oeuvre les outils de test et d'évaluation de la qualité d'un programme Python
Gérer les anomalies et les évolutions fonctionnelles d'une application
Mettre en oeuvre différents types de tests (tests unitaires, fonctionnels, de robustesse et de performance)
Établir un plan de tests et production de la documentation en Anglais</t>
  </si>
  <si>
    <t>Cet atelier vise à développer chez l’apprenant les capacités adéquates pour traduire un modèle objet avec un langage de programmation (Python) pour apprendre et appliquer les normes, les règles et les techniques pour développer des logiciels de test d’applications distribués</t>
  </si>
  <si>
    <t xml:space="preserve">Mots clés </t>
  </si>
  <si>
    <t xml:space="preserve">Compétences cibles </t>
  </si>
  <si>
    <t>Python, plans de tests, analyse des risques, Qualité, plan de validation, audits, TCL</t>
  </si>
  <si>
    <t>Convention de codage, documentation, couverture des tests,  travail collaboratif, qualité du logiciel, Python, Perl, TCL, Testeur, Recetteur, Responsable assurance qualité,  Développeur</t>
  </si>
  <si>
    <r>
      <t xml:space="preserve">Définir le champ d’application du système de management de la qualité
Identifier et prendre en considération les parties intéressées
Élaborer la politique qualité
</t>
    </r>
    <r>
      <rPr>
        <i/>
        <sz val="12"/>
        <rFont val="Calibri"/>
        <family val="2"/>
      </rPr>
      <t>Identification et sélection des exigences
Définition des objectifs de la politique</t>
    </r>
    <r>
      <rPr>
        <sz val="12"/>
        <rFont val="Calibri"/>
        <family val="2"/>
      </rPr>
      <t xml:space="preserve">
</t>
    </r>
    <r>
      <rPr>
        <b/>
        <sz val="12"/>
        <rFont val="Calibri"/>
        <family val="2"/>
      </rPr>
      <t xml:space="preserve">Mettre en oeuvre l’approche processus
</t>
    </r>
    <r>
      <rPr>
        <i/>
        <sz val="12"/>
        <rFont val="Calibri"/>
        <family val="2"/>
      </rPr>
      <t>Identification, recensement, compréhension, planification et surveillance des processus du système de management de la qualité
Recensement des activités
Identification des différents types de processus
Création de la cartographie des processus du système de management de la qualité</t>
    </r>
    <r>
      <rPr>
        <b/>
        <sz val="12"/>
        <rFont val="Calibri"/>
        <family val="2"/>
      </rPr>
      <t xml:space="preserve">
Planifier le système de management de la qualité
</t>
    </r>
    <r>
      <rPr>
        <i/>
        <sz val="12"/>
        <rFont val="Calibri"/>
        <family val="2"/>
      </rPr>
      <t>Les acteurs, le pilotage, la documentation, les ressources</t>
    </r>
    <r>
      <rPr>
        <b/>
        <sz val="12"/>
        <rFont val="Calibri"/>
        <family val="2"/>
      </rPr>
      <t xml:space="preserve">
Surveiller et mesurer la performance du système et des processus
Mettre en place l’amélioration
</t>
    </r>
    <r>
      <rPr>
        <i/>
        <sz val="12"/>
        <rFont val="Calibri"/>
        <family val="2"/>
      </rPr>
      <t>Utiliser les outils de l’amélioration
Accroître la satisfaction client
Surveiller efficacement le système</t>
    </r>
    <r>
      <rPr>
        <b/>
        <sz val="12"/>
        <rFont val="Calibri"/>
        <family val="2"/>
      </rPr>
      <t xml:space="preserve">
Appréhender les étapes du projet de certification
</t>
    </r>
    <r>
      <rPr>
        <i/>
        <sz val="12"/>
        <rFont val="Calibri"/>
        <family val="2"/>
      </rPr>
      <t>Pilotage de son projet de certification
Positionnement de la certification parmi les enjeux de l’entreprise</t>
    </r>
  </si>
  <si>
    <t xml:space="preserve">Orientations et moyens pédagogiques </t>
  </si>
  <si>
    <t>Orientations et moyens pédagogiques</t>
  </si>
  <si>
    <t>Création</t>
  </si>
  <si>
    <t>Systèmes d'Exploitatiuon pour l'Embarqué</t>
  </si>
  <si>
    <t>21 H</t>
  </si>
  <si>
    <t>Contrôle continu</t>
  </si>
  <si>
    <t xml:space="preserve">  - Maitriser les concepts de bases dans le domaine des systèmes d'exploitation
  - Avoir une idée précises des choix d'implémentations des systèmes d'exploitations pour l'embarqué actuels
  - Savoir concevoir un système d'exploitation pour l'embarqué (Linux)</t>
  </si>
  <si>
    <t xml:space="preserve"> - Connaître les contraintes liées à l'implémentation des systèmes d'exploitation pour l'embarqué et savoir les mettre en oeuvre
  - Apprendre à appréhender un système d'exploitation existant et en tirer les concepts de bases utilisés
  - Apprendre la méthodologie de conception pour créer un système d'exploitation pou l'embarqué
  - Maîtriser un ensemble d'outils liés au développement de systèmes d'exploitation pour l'embarqué</t>
  </si>
  <si>
    <t>Systèmes d'exploitation, Linux embarqué, Compilation croisée, compilation du noyau, systèmes de fichiers</t>
  </si>
  <si>
    <t xml:space="preserve">Développeur, Devops, Administrateur Système embarqué </t>
  </si>
  <si>
    <t>Devops</t>
  </si>
  <si>
    <t xml:space="preserve">Présentation générale des Systèmes d’exploitation embarqués
Architecture générale des Systèmes embarqués, Architecture d’un système d’exploitation embarqué, Classification des systèmes d’exploitation embarqués, Les systèmes d’exploitation embarqués les plus utilisés, Présentation du système linux embarqué
Présentation de Linux (Gestion de version, Les diverses licences utilisées par Linux, distributions Linux), Architecture et modularité de Linux, Les outils Linux pour l'embarqué : Les bootloaders (Uboot, Redboot, barebox), Les librairies adaptée à l'embarqué (eglibc, uClibc), Les IHM adaptées à l'embarqué, Busybox, Les chaînes de compilation croisée : Chaînes de compilation croisée pré-compilées, Outils de génération de chaînes de compilation croisée, Crosstool-ng, Buildroot, Compilation manuelle de chaîne de compilation croisée
Le chargeur de démarrage U-Boot
Introduction à U-Boot, Boot d’une carte à travers U-Boot, Variables d'environnement d'U-Boot, Variables définies par l'utilisateur, Variables prédéfinies, Substitution de variable, Le shell U-Boot minimal, Le boot de Linux, Paramètres du noyau Linux, La séquence de démarrage de Linux , Divers systèmes d'initialisation (busybox init, system V init, systemd), Démarrage automatique d’un système embarqué
Création d’ noyau Linux embarqué
Téléchargement un code source stable, Configuration le noyau, Compilation du noyau et ses modules, Modules internes aux sources de Linux (in-tree), Modules externes aux sources (out-of-tree), Installation du noyau et des modules, Le BSP Linux, Architecture du BSP Linux, le Flattened Device Tree
Création d’un système de fichiers racine
Paquetages, Divers systèmes de compilation de paquetages (autotools, CMake, …), Compilation d’un paquetage en croisée, Les applications tout-en-un, Busybox, les utilitaires basiques, Fichiers de périphérique, programmes et bibliothèques, Fichiers de configuration (réseau, udev, …), Installation des modules, Recherche et installation des bibliothèques nécessaires, Test de la cohérence et de la complétude du système de fichiers
Outils de construction d’un linux embarqué 
Buildroot, Systèmes de fichiers embarqués, Interfaces de stockage, Péripéhrique bloc, MTD, Mémoires flash et MTDs Linux, flash NOR, flash NAND, flash ONENAND, Les divers formats de système de fichiers pour flash, JFFS2, YAFFS2, UBIFS, Systèmes de fichiers en lecture seule, CRAMFS, SQUASHFS, Systèmes de fichier standards de Linux, Ext2/3/4, FAT, NFS, Ramdisks et initrd, Créer un initramfs, Booter à travers un initramfs, Choisir les bons formats de système de fichiers, Flasher le système de fichiers
Développement croisé
Préparation de la machine hôte, Services réseau (DHCP, TFTP), Partage du système de fichiers (NFS), Etude des outils de développement (gcc, gdb, les Makefiles), Préparation de la cible, Téléchargement d'un noyau par TFTP, Utilisation de gdbserver pour le debug distant, Utilisation de Qemu pour simuler une carte complète, Le système de gestion de sources distribué GIT, Installation et utilisation générale, Créer et utiliser un dépôt local Cloner un dépôt distant, Accéder à des dépôts distants à travers un proxy, Utiliser des branches, Création d'une nouvelle branche, Fusionner des branches, Fonctionnalités de travail par équipe, Créer, configurer et gérer un dépôt public, Utiliser des patch
</t>
  </si>
  <si>
    <t>x (mettre le volume horaire associé)</t>
  </si>
  <si>
    <t>Projet</t>
  </si>
  <si>
    <t>Exposés</t>
  </si>
  <si>
    <t>Développeur, Devops, Administrateur Système embarqué, Systèmes d'exploitation, Linux embarqué, Compilation croisée, compilation du noyau, systèmes de fichiers</t>
  </si>
  <si>
    <t>21h</t>
  </si>
  <si>
    <t>Systèmes, architecture</t>
  </si>
  <si>
    <t>Atelier Systèmes d'Exploitatiuon pour l'Embarqué</t>
  </si>
  <si>
    <t xml:space="preserve">  - Maitriser les outils de construction d'un système d'exploitation pour l'embarqué</t>
  </si>
  <si>
    <t xml:space="preserve">   - Maitriser un système d'exploitation pour l'embarqué
  - Configurer un système d'exploitation pour l'embarqué
  -  Configurer et compiler un noyau linux selon les besoins d'une application embarquée</t>
  </si>
  <si>
    <t>Atelier 1 : Prise de contact avec le noyau Linux
Atelier 2 : Chaînes de production des programmes
Atelier 3 : Compilation d’un noyau Linux
Atelier 4 : Création d’un système de fichiers (ROOTFS)
Atelier 5 : Outils de configuration et génération d’un système linux embarqué</t>
  </si>
  <si>
    <t>Sciences et Technologies</t>
  </si>
  <si>
    <t>Technologies de l'informatique (TI)</t>
  </si>
  <si>
    <t>Atelier systèmes électroniques</t>
  </si>
  <si>
    <t>Résistance, Diode, Transistor, Courant, Tension, Puissance, Afficheur, DC moteur, Pas à pas, Servomoteur</t>
  </si>
  <si>
    <t>Mesure des grandeurs électriques</t>
  </si>
  <si>
    <t>Cablage des circuits électroniques</t>
  </si>
  <si>
    <t>Utilisation de kit de développement</t>
  </si>
  <si>
    <t>Fascicule de Travaux pratiques</t>
  </si>
  <si>
    <t>Composants électroniques</t>
  </si>
  <si>
    <t>GBF et appareils de mesure</t>
  </si>
  <si>
    <t>Kit de développement arduino</t>
  </si>
  <si>
    <t xml:space="preserve">Utiliser et manipuler en sécurité  les appareils électriques    et les circuits électroniques                                                                                                                                    </t>
  </si>
  <si>
    <t xml:space="preserve">A l'issu de cet atelier, l’étudiant sera capable de :
1. réaliser le cablage d'un circuit électronique à partir d'un schéma, 
2. manipler les différents appareils de mesure et équipement disponible                                              
3. assurer la commande de divers types de récepteurs électriques au moyen d'une carte arduino                                                                                                                                                  </t>
  </si>
  <si>
    <t>TP0 : Manipulation des appareils de mesure et des équipements du laboratoire,                                                                                                                                        TP1 : Circuits à courant continu                                                                                                                           
TP2 : Circuits àncourant alternatif                                                                                                                       
TP3 : Circuits à diodes et transistors                                                                                                                    
TP4 : Gestion des entrées/sorties d'une carte arduino                                                                                  
TP5 : Commande d'afficheurs , 7 segments et LCD par arduino                                                                  
TP6 : Commande d'une matrice à Led (8x8) par arduino                                                                               
TP7 : Commande des moteurs, DC et pas à pas et sevomoteur                                                                  
TP8 : Utilisation de  capteurs</t>
  </si>
  <si>
    <t>Architecture, systèmes logiques</t>
  </si>
  <si>
    <t>Technologies de l'informatique</t>
  </si>
  <si>
    <t>Maitriser l'architecture TCP/IP et configurer des services applicatifs</t>
  </si>
  <si>
    <t>Connaitre l'architecture TCP/IP, configurer le routage IP, interconnecter des réseaux, confgurer etr comprendre le fonctionnement des protocoles applicatifs, s'ouvrir vers l'aspect supervsion SNMP, comprendre le fonctionnement des sockets</t>
  </si>
  <si>
    <t>TCP,UDP, IP, IPv4, IPv6, DHCP, DNS, SMTP, HTTP, SNMP, socket</t>
  </si>
  <si>
    <t>Maitriser le configuration des services de routage (statique et dynamique)</t>
  </si>
  <si>
    <t>Etre capable d'installer et de configurer les services applicatifs de base (DHCP, DNS, FTP, web, messagerie)</t>
  </si>
  <si>
    <t>Savoir mettre en place une socket simple</t>
  </si>
  <si>
    <t>Architecture TCP/IP:architecture et normalisation, adressage IP, mode de transfert, notion de port, modèle client/serveur</t>
  </si>
  <si>
    <t>Routage IP : principe, routage statique/dynamique, protocoles de routage</t>
  </si>
  <si>
    <t>Interconnexion de réseaux IP : Passerelle, translation d'adresses publique privée via (NAT, PAT).</t>
  </si>
  <si>
    <t>Découverte de IPv6</t>
  </si>
  <si>
    <t>Protocoles Applicatifs : DHCP, DNS, http, FTP, SMTP, VoIP</t>
  </si>
  <si>
    <t>Gestion des annuaires : Active Directory, OpenLDAP</t>
  </si>
  <si>
    <t>Le protocole SNMP</t>
  </si>
  <si>
    <t xml:space="preserve"> Sockets BSD et architectures de serveurs (Sockets, Serveurs, type de serveur, Anatomie d’un serveur WEB</t>
  </si>
  <si>
    <t>Condensé de cours</t>
  </si>
  <si>
    <t>Travaux dirigés</t>
  </si>
  <si>
    <t>Cette matière requiert que l'étudiant ait suivi "Fondements des réseaux"</t>
  </si>
  <si>
    <t>Ajustement</t>
  </si>
  <si>
    <t>Protocoles et services réseaux</t>
  </si>
  <si>
    <t>Comprendre  les concepts  des bases de données relationnelles et maitriser le langage SQL</t>
  </si>
  <si>
    <t>objectifs spécifiques</t>
  </si>
  <si>
    <t>Création et manipulation d'une base de données</t>
  </si>
  <si>
    <t>condensé de cours</t>
  </si>
  <si>
    <t>Algorithmique et structures de données, programmation</t>
  </si>
  <si>
    <t xml:space="preserve">Modélisation des systèmes d’information </t>
  </si>
  <si>
    <t>Atelier circuits numériques</t>
  </si>
  <si>
    <t>Apprendre à utiliser les circuits numériques et les circuits logique programmables.</t>
  </si>
  <si>
    <t>A l'issu de cet atelier, l’étudiant sera capable de :
1. réaliser le cablage d'un circuit numérique à partir d'un schéma, 
2. tester le fonctionnement d'un circuit numérique                                                                                      3. programmer en VHDL</t>
  </si>
  <si>
    <t xml:space="preserve">Compteur, Multiplexeur/Demultiplexeur, Registre, PLD, PROM, EPROM, PAL, GAL </t>
  </si>
  <si>
    <t>Analyse et sythèse de circuits numériques</t>
  </si>
  <si>
    <t>Programmation VHDL</t>
  </si>
  <si>
    <t>Simulateur numériques</t>
  </si>
  <si>
    <t>Programmateur uiversel</t>
  </si>
  <si>
    <t xml:space="preserve">TP1 : Les circuits combinatoires (Circuit arithmétique, Comparateur, Codeur, Multiplexeur, ... )                                                                                                                                       TP2 : Les bascules  (RS, RSH, JK, D, T)                                                                                                                                                TP3 : Les compteurs numériques (asynchnrones et synchrones)                                                                                                                       TP4 : Les registres (Tampon, à décalage, universel)                                                                                                                   TP5 : Les séquenceurs électroniques                                                                                                                                            TP6 : Introduction à la programmation VHDL                                                                                                                                  TP7 : Programmation VHDL                                                                                                                                 
TP8 :Programmationa arduino avancée (les multitaches)                                                                             
TP9 : Programmationa arduino avancée (les interruptions)        </t>
  </si>
  <si>
    <t>Architecture, systèmes logiques, systèmes électroniques</t>
  </si>
  <si>
    <r>
      <rPr>
        <sz val="12"/>
        <rFont val="Calibri"/>
        <family val="2"/>
        <scheme val="minor"/>
      </rPr>
      <t>Concevoir un système Informatique  et modeliser l'ensemble des informations( données , activités, acteurs, architecture materielle et logicielle, scénarios d'utilisation du systeme…) grace au language UML</t>
    </r>
    <r>
      <rPr>
        <sz val="12"/>
        <color rgb="FFFF0000"/>
        <rFont val="Calibri"/>
        <family val="2"/>
        <scheme val="minor"/>
      </rPr>
      <t>.</t>
    </r>
  </si>
  <si>
    <t>Positionner UML dans la cartographie des outils de modélisation.
- Comprendre les différentes vues d’un système d’information : comportement, interaction, structure.
- Concevoir des modèles orientés objet avec UML.
- Connaître l’utilité de chaque type de diagramme dans le processus de développement.
- Améliorer la productivité logicielle en appliquant correctement la modélisation UML.</t>
  </si>
  <si>
    <t>Conception, UML, Modélisation objet, OMG</t>
  </si>
  <si>
    <t>Introduction à la modélisation Objet et à UML
- Vue d’ensemble des diagrammes UML (statiques et dynamiques)et axes de UML 2.x (Comportement,
Interaction, Structure)
- Diagrammes de Cas d’utilisation
- Diagrammes de Classe et d’objet
- Diagramme de séquences
- Diagramme d’activité 
- Diagramme de déploiement et de composants</t>
  </si>
  <si>
    <t xml:space="preserve">Condensé du cours </t>
  </si>
  <si>
    <t xml:space="preserve">Travaux dirigés </t>
  </si>
  <si>
    <t>Etude de Cas</t>
  </si>
  <si>
    <t>Cette matière requiert que l'étudiant ait étudié le modele entité association, notion de classe et objet, cycle de vie logiciel,base de données</t>
  </si>
  <si>
    <t>Développement coté serveur</t>
  </si>
  <si>
    <t>Modélisation Objet (UML 2.0)</t>
  </si>
  <si>
    <t xml:space="preserve">- Prendre connaissance des technologies et des spécificités de développement mobile tel que Android. 
- Découvrir la programmation sous une plateforme mobile, sa plateforme de développement et les spécificités du développement embarqué sur téléphone mobile.
</t>
  </si>
  <si>
    <t xml:space="preserve">- Comprendre les plateformes mobiles et leurs contraintes.
- Apprendre à développer une application sur une plateforme mobile.
- Comprendre les fonctionnalités d'un Smartphone.
</t>
  </si>
  <si>
    <r>
      <t xml:space="preserve">- </t>
    </r>
    <r>
      <rPr>
        <b/>
        <sz val="12"/>
        <rFont val="Calibri"/>
        <family val="2"/>
        <scheme val="minor"/>
      </rPr>
      <t>Concepts de la mobilité</t>
    </r>
    <r>
      <rPr>
        <sz val="12"/>
        <rFont val="Calibri"/>
        <family val="2"/>
        <scheme val="minor"/>
      </rPr>
      <t xml:space="preserve"> : Besoins en mobilité, Plates-formes mobiles, Caractéristiques d’une application mobile, Règles de développement des applications mobiles.
- </t>
    </r>
    <r>
      <rPr>
        <b/>
        <sz val="12"/>
        <rFont val="Calibri"/>
        <family val="2"/>
        <scheme val="minor"/>
      </rPr>
      <t>Développement d’application sur une plateforme mobile (Android)</t>
    </r>
    <r>
      <rPr>
        <sz val="12"/>
        <rFont val="Calibri"/>
        <family val="2"/>
        <scheme val="minor"/>
      </rPr>
      <t xml:space="preserve"> : Le système d’exploitation Android, L’environnement de développement intégré Android Studio, La structure d’un projet d’application Android, les composants d’une application Android.
- </t>
    </r>
    <r>
      <rPr>
        <b/>
        <sz val="12"/>
        <rFont val="Calibri"/>
        <family val="2"/>
        <scheme val="minor"/>
      </rPr>
      <t xml:space="preserve">Les activités Android </t>
    </r>
    <r>
      <rPr>
        <sz val="12"/>
        <rFont val="Calibri"/>
        <family val="2"/>
        <scheme val="minor"/>
      </rPr>
      <t xml:space="preserve">: Structure d’une activité, Cycle de vie d’une activité, Développement d’une activité.                                                                                                                                                           
- </t>
    </r>
    <r>
      <rPr>
        <b/>
        <sz val="12"/>
        <rFont val="Calibri"/>
        <family val="2"/>
        <scheme val="minor"/>
      </rPr>
      <t xml:space="preserve">Conception des interfaces graphiques : </t>
    </r>
    <r>
      <rPr>
        <sz val="12"/>
        <rFont val="Calibri"/>
        <family val="2"/>
        <scheme val="minor"/>
      </rPr>
      <t xml:space="preserve"> composants Android : vues, Layouts, widgets (TextView, EditText, AutoCompleteTextView, CheckBox, ImageView, Button, etc.).                                                                                                                                                                            - </t>
    </r>
    <r>
      <rPr>
        <b/>
        <sz val="12"/>
        <rFont val="Calibri"/>
        <family val="2"/>
        <scheme val="minor"/>
      </rPr>
      <t xml:space="preserve">Gestion des Evénements et boites de dialogue                                                                                  
- Conception des interfaces graphiques utilisant les listes </t>
    </r>
    <r>
      <rPr>
        <sz val="12"/>
        <rFont val="Calibri"/>
        <family val="2"/>
        <scheme val="minor"/>
      </rPr>
      <t xml:space="preserve">: ListeView et RecyclerView, le composant Toolbar, etc. 
- </t>
    </r>
    <r>
      <rPr>
        <b/>
        <sz val="12"/>
        <rFont val="Calibri"/>
        <family val="2"/>
        <scheme val="minor"/>
      </rPr>
      <t>Les intents</t>
    </r>
    <r>
      <rPr>
        <sz val="12"/>
        <rFont val="Calibri"/>
        <family val="2"/>
        <scheme val="minor"/>
      </rPr>
      <t xml:space="preserve"> : Définition et typologie des intents, Intents explicites, Intents implicites, Intents informatifs.                                                                                                                                                                 
-</t>
    </r>
    <r>
      <rPr>
        <b/>
        <sz val="12"/>
        <rFont val="Calibri"/>
        <family val="2"/>
        <scheme val="minor"/>
      </rPr>
      <t xml:space="preserve"> Accès aux gestionnaires des paramètres et préférences</t>
    </r>
  </si>
  <si>
    <t>14 H</t>
  </si>
  <si>
    <t>7 H</t>
  </si>
  <si>
    <t>Mini-Projet</t>
  </si>
  <si>
    <t>- Connaissances en programmation orientée objet avec le langage Java
- Connaissances de la programmation évènementielle
- Connaissance du langage XML</t>
  </si>
  <si>
    <t>Développement mobile I</t>
  </si>
  <si>
    <t>42 H</t>
  </si>
  <si>
    <t xml:space="preserve">- Prendre connaissance des technologies et des spécificités de développement mobile tel que Android. 
- Découvrir la programmation sous une plateforme mobile.
</t>
  </si>
  <si>
    <t xml:space="preserve">- Savoir définir l'architecture d'une application Android pour mobile.
- Comprendre les spécificités d'Android propores au développement mobile.
- Savoir faire interagir l'application avec les fonctions de base du téléphone.
</t>
  </si>
  <si>
    <r>
      <rPr>
        <b/>
        <sz val="12"/>
        <rFont val="Calibri"/>
        <family val="2"/>
        <scheme val="minor"/>
      </rPr>
      <t>TP1 :</t>
    </r>
    <r>
      <rPr>
        <sz val="12"/>
        <rFont val="Calibri"/>
        <family val="2"/>
        <scheme val="minor"/>
      </rPr>
      <t xml:space="preserve"> Mise en place d'un environnement de développement avec Android Studio et le SDK Android. 
</t>
    </r>
    <r>
      <rPr>
        <b/>
        <sz val="12"/>
        <rFont val="Calibri"/>
        <family val="2"/>
        <scheme val="minor"/>
      </rPr>
      <t>TP2 :</t>
    </r>
    <r>
      <rPr>
        <sz val="12"/>
        <rFont val="Calibri"/>
        <family val="2"/>
        <scheme val="minor"/>
      </rPr>
      <t xml:space="preserve"> Développement d'une première application (activity simple) : « Hello World »
</t>
    </r>
    <r>
      <rPr>
        <b/>
        <sz val="12"/>
        <rFont val="Calibri"/>
        <family val="2"/>
        <scheme val="minor"/>
      </rPr>
      <t>TP3 :</t>
    </r>
    <r>
      <rPr>
        <sz val="12"/>
        <rFont val="Calibri"/>
        <family val="2"/>
        <scheme val="minor"/>
      </rPr>
      <t xml:space="preserve"> Des travaux pratiques permettant la conception des interfaces graphiques Android intégrant différents composants Android : vues, Layouts, widgets (TextView, EditText, AutoCompleteTextView, CheckBox, ImageView, Button, etc.), les objets d’affichage des messages (Toasts, Alertes Dialog, etc.) et la gestion événementielle. 
</t>
    </r>
    <r>
      <rPr>
        <b/>
        <sz val="12"/>
        <rFont val="Calibri"/>
        <family val="2"/>
        <scheme val="minor"/>
      </rPr>
      <t>TP4 :</t>
    </r>
    <r>
      <rPr>
        <sz val="12"/>
        <rFont val="Calibri"/>
        <family val="2"/>
        <scheme val="minor"/>
      </rPr>
      <t xml:space="preserve"> Conception des interfaces graphiques intégrant les listes : ListeView et RecyclerView, le composant Toolbar, etc. 
</t>
    </r>
    <r>
      <rPr>
        <b/>
        <sz val="12"/>
        <rFont val="Calibri"/>
        <family val="2"/>
        <scheme val="minor"/>
      </rPr>
      <t xml:space="preserve">TP5 : </t>
    </r>
    <r>
      <rPr>
        <sz val="12"/>
        <rFont val="Calibri"/>
        <family val="2"/>
        <scheme val="minor"/>
      </rPr>
      <t xml:space="preserve">Changement de vues : Transmission d'informations d'une Activity à une autre à l'aide du mécanisme d’Intents
</t>
    </r>
    <r>
      <rPr>
        <b/>
        <sz val="12"/>
        <rFont val="Calibri"/>
        <family val="2"/>
        <scheme val="minor"/>
      </rPr>
      <t>TP6 :</t>
    </r>
    <r>
      <rPr>
        <sz val="12"/>
        <rFont val="Calibri"/>
        <family val="2"/>
        <scheme val="minor"/>
      </rPr>
      <t xml:space="preserve"> Téléphonie et Connectivité (appel téléphonique, envoi SMS)   
</t>
    </r>
    <r>
      <rPr>
        <b/>
        <sz val="12"/>
        <rFont val="Calibri"/>
        <family val="2"/>
        <scheme val="minor"/>
      </rPr>
      <t>TP7 :</t>
    </r>
    <r>
      <rPr>
        <sz val="12"/>
        <rFont val="Calibri"/>
        <family val="2"/>
        <scheme val="minor"/>
      </rPr>
      <t xml:space="preserve"> Les préférences partagées   
</t>
    </r>
  </si>
  <si>
    <t>Android, SDK, smartphone, SQLite, Google Play, Android Studio, SDK, API, DDMS, smartphone, SQLite, Google Play</t>
  </si>
  <si>
    <t>Android, SDK, smartphone, SQLite, Google Play</t>
  </si>
  <si>
    <t>23/04/2018</t>
  </si>
  <si>
    <t>Développement mobile avancé</t>
  </si>
  <si>
    <t xml:space="preserve">A l'issue de ce cours, l'étudiant sera en mesure de développer des applications mobiles Android de qualité en appliquant les notions avancées du développement Android. </t>
  </si>
  <si>
    <t xml:space="preserve">- Utiliser les API spécifiques pour développer des applications android  avancées.                 
- Manipuler une base de données locale.                                                              
- S’interfacer avec des services distants.                                                                                                                                     
- Utiliser les ressources des téléphones mobiles.               
</t>
  </si>
  <si>
    <t>Android, SDK, Terminal mobile</t>
  </si>
  <si>
    <t xml:space="preserve">- Création des interfaces graphiques avancées : Fragments, RecyclerView,  etc.                                                                                  
- Persistance et accès aux données : Base de donnée locale SQLite, Base de données distante avec un Webservice.                                                                                                                                                  
- Services et multithreading.
- Capteurs : Accéléromètre, Gyroscope, Capteur magnétique, etc.                                                                                                                                                               
- Connectivité réseau : Bluetooth, Wifi, etc.                                                                                                        
- Multimédia : Son, vidéo, Caméra, Détection de visage, etc.     
- Géolocalisation et Cartes.                                                                                                                                            
</t>
  </si>
  <si>
    <t>Développement d’une application Android de qualité</t>
  </si>
  <si>
    <t xml:space="preserve">Cette matière requiert que l'étudiant a suivi le cours "Développement des applications mobiles natives".
</t>
  </si>
  <si>
    <t>Participants / contributeurs à la formation en dehors de l'établissement 
(spécifier l'intervention et le cadre)</t>
  </si>
  <si>
    <t>Développement mobile II</t>
  </si>
  <si>
    <t>Atelier Développement mobile avancé</t>
  </si>
  <si>
    <t xml:space="preserve">A l'issue de cet atelier, l'étudiant sera en mesure de développer des applications mobiles Android de qualité en appliquant les notions avancées du développement Android. </t>
  </si>
  <si>
    <t xml:space="preserve">- Atelier 1 : Création des interfaces graphiques avancées
- Atelier 2 : Manipulation d’une base de donnée locale SQLite 
- Atelier 3 : Manipulation d’une base de données distante via Webservices                              
- Atelier 4 : Développement d'un service Android
- Atelier 5 : Utilisation des capteurs : accéléromètre, gyroscope, capteur magnétique, boussole, etc.  
- Atelier 6 : Connectivité réseau : Bluetooth, Wifi, etc.                                                                                                        
- Atelier 7 : Gestion du multimédia : Son, vidéo, Caméra, Détection de visage, etc.
- Atelier 8 : Gestion du multimédia : Son, vidéo, Caméra, Détection de visage, etc.
- Atelier 9 : Géolocalisation et cartes.       
</t>
  </si>
  <si>
    <t>Fondements IoT</t>
  </si>
  <si>
    <t>1. Internet des Objets, définitions, problématique, composants, architecture
2. Les capteurs : types et contraintes
3. Les protocoles applicatifs de l’Internet et les contraintes liées à l’IoT
4. Les protocoles Client-Serveur (Websocket, COAP)
5. Les protocoles Publish-Suscrible (MQTT, XMPP, AMQP)
6. Les réseaux de capteurs
7. Les protocoles de communications BLE, ZigBee, Wifi
8. Architecture 3GPP pour l’IoT
9. Architecture orientée service M2M et oneM2M
10. Introduction aux réseaux LPWAN
11. Sécurité des IoT
12. Cas d’étude LoRa, 3GPP LTE
13. Exemples de systèmes IOT (Smart cities, e HealthGuard, etc.)</t>
  </si>
  <si>
    <t xml:space="preserve">[1]: Zhou, H.: The Internet of Things in the Cloud. CRC Press (2012).
[2]: Learning Internet of Things”, Packet Publishing, 2015.
[3]: Minerva, R. et al.: Towards a definition of the Internet of Things (IoT). IEEE Internet Things. 1, 86 (2015). 
</t>
  </si>
  <si>
    <t xml:space="preserve">IoT, capteur intélligent,  plateforme IoT, Développeur embarqué, Architecte de solutions IoT </t>
  </si>
  <si>
    <t xml:space="preserve">Il est souhaitable que les Tps soient sous forme d'un mini-projet comporant la conception et la réalisation d'un projet IoT end to end. Exemple de projet : Développer une application de façon à ce qu'elle enregistre plusieurs objets installés sur des cartes embarquées. Les objets (capteurs) remontent l’informations au cloud soit à travers une liaison wifi, ou en utilisant un hub local via une connexion Bluetooth ou BLE. 
Un feedback utilisateur (sur l'objet et dans l'interface Web ou l’application mobile) permettra d’accéder aux données récoltées et la possibilité de réaliser des analyses.
</t>
  </si>
  <si>
    <t>42h</t>
  </si>
  <si>
    <t>Systèmes, réseaux, systèmes élecrtroniques, développement web, microcontroleur</t>
  </si>
  <si>
    <t>Technologies de l’Informatique (TI)</t>
  </si>
  <si>
    <t>Pratiquer et maîtriser les technologies d'intégration d'applications orientées services</t>
  </si>
  <si>
    <t>Savoir implementer une application moyennant les technologies orientées services
Connaître les mécanismes avancés des architectures REST et SOAP
Maîtriser  les mécanismes avancés d'exposition et de consommation de services web</t>
  </si>
  <si>
    <t>SOAP, REST, XML-RPC, WSDL, JAX-RS</t>
  </si>
  <si>
    <t>Conception de l’architecture</t>
  </si>
  <si>
    <r>
      <rPr>
        <b/>
        <sz val="12"/>
        <rFont val="Calibri"/>
        <family val="2"/>
        <scheme val="minor"/>
      </rPr>
      <t xml:space="preserve">Atelier 1 : </t>
    </r>
    <r>
      <rPr>
        <sz val="12"/>
        <rFont val="Calibri"/>
        <family val="2"/>
        <scheme val="minor"/>
      </rPr>
      <t xml:space="preserve">Implémentez une Application orientee grâce à SOAP/WSDL
</t>
    </r>
    <r>
      <rPr>
        <b/>
        <sz val="12"/>
        <rFont val="Calibri"/>
        <family val="2"/>
        <scheme val="minor"/>
      </rPr>
      <t xml:space="preserve">Atelier 2 : </t>
    </r>
    <r>
      <rPr>
        <sz val="12"/>
        <rFont val="Calibri"/>
        <family val="2"/>
        <scheme val="minor"/>
      </rPr>
      <t xml:space="preserve">Implémentez une Application orientee grâce à JAX-WS
</t>
    </r>
    <r>
      <rPr>
        <b/>
        <sz val="12"/>
        <rFont val="Calibri"/>
        <family val="2"/>
        <scheme val="minor"/>
      </rPr>
      <t xml:space="preserve">Atelier 3 : </t>
    </r>
    <r>
      <rPr>
        <sz val="12"/>
        <rFont val="Calibri"/>
        <family val="2"/>
        <scheme val="minor"/>
      </rPr>
      <t xml:space="preserve">Testez un service grâce à SoapUI ou via URL
</t>
    </r>
    <r>
      <rPr>
        <b/>
        <sz val="12"/>
        <rFont val="Calibri"/>
        <family val="2"/>
        <scheme val="minor"/>
      </rPr>
      <t>Atelier 4 : E</t>
    </r>
    <r>
      <rPr>
        <sz val="12"/>
        <rFont val="Calibri"/>
        <family val="2"/>
        <scheme val="minor"/>
      </rPr>
      <t xml:space="preserve">xposer un service web sur raspberry ou equivalent
</t>
    </r>
    <r>
      <rPr>
        <b/>
        <sz val="12"/>
        <rFont val="Calibri"/>
        <family val="2"/>
        <scheme val="minor"/>
      </rPr>
      <t xml:space="preserve">Atelier 5 : </t>
    </r>
    <r>
      <rPr>
        <sz val="12"/>
        <rFont val="Calibri"/>
        <family val="2"/>
        <scheme val="minor"/>
      </rPr>
      <t>Consommer un service web sur raspberry ou equivalent</t>
    </r>
  </si>
  <si>
    <t>Fascicule de travaux pratiques</t>
  </si>
  <si>
    <t>Laboratoires d’informatique</t>
  </si>
  <si>
    <t>IDE Objet : Visual Studio, eclipse ou équivalent</t>
  </si>
  <si>
    <t>UE: Programmation Orientée Objet, Programmation Objet Avancée, Base de Données…</t>
  </si>
  <si>
    <t>« Services Web avec SOAP, WSDL, UDDI, ebXML » de Jean Marie CHAUVET.
http://www.irisa.fr/coo/2001/W3CSOAP1.pdf
http://www.w3.org/2003/06/soap12-pressrelease.html.fr
http://igm.univ-mlv.fr/~dr/XPOSE2005/rouvio_WebServices/soap.html
http://www.commentcamarche.net
http://www-adele.imag.fr/users/Didier.Donsez/cours
http://www.w3schools.com/soap/</t>
  </si>
  <si>
    <t>Atelier intégration et déploiement web</t>
  </si>
  <si>
    <t>TOEIC</t>
  </si>
  <si>
    <t>'To develop independent study and exam skills-to improve their English level and confidence with using English</t>
  </si>
  <si>
    <t xml:space="preserve">Optionnelle </t>
  </si>
  <si>
    <t>Systèmes de management de la qualité</t>
  </si>
  <si>
    <t>Système de management de la qualité 1</t>
  </si>
  <si>
    <t>S3</t>
  </si>
  <si>
    <t>Maîtriser les concepts objets et leur mise en exergue (conception et éditions de programmes orientés objets)</t>
  </si>
  <si>
    <t>Comprendre les concepts de programmation orientée objet
Maîtriser l’implémentation des classes d’objets (attributs, méthodes, visibilité, constructeurs, destructeur)
Pouvoir implémenter des classes avec le principe d’héritage
Ecrire des programmes avec des objets de différentes classes 
Comprendre le principe des execptions</t>
  </si>
  <si>
    <t xml:space="preserve">POO, attribut, méthode, encapsulation, mode de visibilité, objet, classe </t>
  </si>
  <si>
    <r>
      <rPr>
        <b/>
        <sz val="12"/>
        <rFont val="Calibri"/>
        <family val="2"/>
        <scheme val="minor"/>
      </rPr>
      <t>Chapitre 1 :</t>
    </r>
    <r>
      <rPr>
        <sz val="12"/>
        <rFont val="Calibri"/>
        <family val="2"/>
        <scheme val="minor"/>
      </rPr>
      <t xml:space="preserve"> Les concepts clé de l’orienté objet : Encapsulation, objet, classe, attribut, méthode
</t>
    </r>
    <r>
      <rPr>
        <b/>
        <sz val="12"/>
        <rFont val="Calibri"/>
        <family val="2"/>
        <scheme val="minor"/>
      </rPr>
      <t>Chapitre 2 :</t>
    </r>
    <r>
      <rPr>
        <sz val="12"/>
        <rFont val="Calibri"/>
        <family val="2"/>
        <scheme val="minor"/>
      </rPr>
      <t xml:space="preserve"> La notion des classes et Objets
</t>
    </r>
    <r>
      <rPr>
        <b/>
        <sz val="12"/>
        <rFont val="Calibri"/>
        <family val="2"/>
        <scheme val="minor"/>
      </rPr>
      <t xml:space="preserve">Chapitre 3 : </t>
    </r>
    <r>
      <rPr>
        <sz val="12"/>
        <rFont val="Calibri"/>
        <family val="2"/>
        <scheme val="minor"/>
      </rPr>
      <t xml:space="preserve">L’encapsulation : mode de visibilité (public et privé), les constructeurs et le destructeur
</t>
    </r>
    <r>
      <rPr>
        <b/>
        <sz val="12"/>
        <rFont val="Calibri"/>
        <family val="2"/>
        <scheme val="minor"/>
      </rPr>
      <t xml:space="preserve">Chapitre 4 : </t>
    </r>
    <r>
      <rPr>
        <sz val="12"/>
        <rFont val="Calibri"/>
        <family val="2"/>
        <scheme val="minor"/>
      </rPr>
      <t xml:space="preserve">Relations entre classes (association et agrégation), l’héritage et l’encapsulation
</t>
    </r>
    <r>
      <rPr>
        <b/>
        <sz val="12"/>
        <rFont val="Calibri"/>
        <family val="2"/>
        <scheme val="minor"/>
      </rPr>
      <t xml:space="preserve">Chapitre 5 : </t>
    </r>
    <r>
      <rPr>
        <sz val="12"/>
        <rFont val="Calibri"/>
        <family val="2"/>
        <scheme val="minor"/>
      </rPr>
      <t xml:space="preserve">Polymorphisme, classes abstraites et interfaces
</t>
    </r>
    <r>
      <rPr>
        <b/>
        <sz val="12"/>
        <rFont val="Calibri"/>
        <family val="2"/>
        <scheme val="minor"/>
      </rPr>
      <t xml:space="preserve">Chapitre 6 : </t>
    </r>
    <r>
      <rPr>
        <sz val="12"/>
        <rFont val="Calibri"/>
        <family val="2"/>
        <scheme val="minor"/>
      </rPr>
      <t xml:space="preserve">La gestion des exceptions
</t>
    </r>
  </si>
  <si>
    <t>Condensé du cours</t>
  </si>
  <si>
    <t>Travaux personnalisés</t>
  </si>
  <si>
    <t>Cours interactif</t>
  </si>
  <si>
    <t>Cette matière requiert que l'étudiant ait suivi  
Unités d'enseignement Algorithmique et structures de données
Unités d'enseignement Programmation structurée</t>
  </si>
  <si>
    <t>Claude Delannoy : programmer en java, Eyrolles 2012 ISBN10 : 2212135661
M. Bouzeghoub, G. Gardarin, P. Valduriez, Les objets, Eyrolles 1998.
E.Puybaret, Java - 1 Premières applications professionnelles en Java, Les Cahiers du Programmeur 2003.
G.Clavel, et al., Java, La synthèse, Dunod 2003.
H. Bersini, La programmation orientée objet, Cours et exercices en UML 2, avec Java, C# 2, C++, Python, PHP 5 et LINQ, Eyrolles 2008
C.Delannoy, S'initier à la programmation : Avec des exemples en C, C++, C#, Java et PHP, Eyrolles, 2008</t>
  </si>
  <si>
    <t>Maîtriser le développement de programmes orientés objets sur les environnements appropriés</t>
  </si>
  <si>
    <t xml:space="preserve">Mettre en oeuvre des programmes objets selon les bonnes pratiques de développement
Maîtriser l’implémentation des classes d’objets (attributs, méthodes, visibilité, constructeurs, destructeur)
Pouvoir implémenter des classes avec le principe d’héritage
Ecrire des programmes avec des objets de différentes classes 
Implémenter le principe des execptions.
</t>
  </si>
  <si>
    <t>Tests</t>
  </si>
  <si>
    <r>
      <rPr>
        <b/>
        <sz val="12"/>
        <rFont val="Calibri"/>
        <family val="2"/>
        <scheme val="minor"/>
      </rPr>
      <t xml:space="preserve">Atelier 1 : </t>
    </r>
    <r>
      <rPr>
        <sz val="12"/>
        <rFont val="Calibri"/>
        <family val="2"/>
        <scheme val="minor"/>
      </rPr>
      <t xml:space="preserve">Edition de programme sur BlocNote et Compilation en ligne de commande
</t>
    </r>
    <r>
      <rPr>
        <b/>
        <sz val="12"/>
        <rFont val="Calibri"/>
        <family val="2"/>
        <scheme val="minor"/>
      </rPr>
      <t xml:space="preserve">Atelier 2 : </t>
    </r>
    <r>
      <rPr>
        <sz val="12"/>
        <rFont val="Calibri"/>
        <family val="2"/>
        <scheme val="minor"/>
      </rPr>
      <t xml:space="preserve">Initiation à l'environnement et aux Techniques de débogage de code
</t>
    </r>
    <r>
      <rPr>
        <b/>
        <sz val="12"/>
        <rFont val="Calibri"/>
        <family val="2"/>
        <scheme val="minor"/>
      </rPr>
      <t xml:space="preserve">Atelier 3 : </t>
    </r>
    <r>
      <rPr>
        <sz val="12"/>
        <rFont val="Calibri"/>
        <family val="2"/>
        <scheme val="minor"/>
      </rPr>
      <t xml:space="preserve">Concepts Objet de Base : mode de visibilité (public et privé), les constructeurs, le destructeur et les outils de génération de code
</t>
    </r>
    <r>
      <rPr>
        <b/>
        <sz val="12"/>
        <rFont val="Calibri"/>
        <family val="2"/>
        <scheme val="minor"/>
      </rPr>
      <t xml:space="preserve">Atelier 4 : </t>
    </r>
    <r>
      <rPr>
        <sz val="12"/>
        <rFont val="Calibri"/>
        <family val="2"/>
        <scheme val="minor"/>
      </rPr>
      <t xml:space="preserve">Relations entre classes (association et agrégation), l’héritage et l’encapsulation
</t>
    </r>
    <r>
      <rPr>
        <b/>
        <sz val="12"/>
        <rFont val="Calibri"/>
        <family val="2"/>
        <scheme val="minor"/>
      </rPr>
      <t xml:space="preserve">Atelier 5 : </t>
    </r>
    <r>
      <rPr>
        <sz val="12"/>
        <rFont val="Calibri"/>
        <family val="2"/>
        <scheme val="minor"/>
      </rPr>
      <t xml:space="preserve">Polymorphisme, classes abstraites et interfaces
</t>
    </r>
    <r>
      <rPr>
        <b/>
        <sz val="12"/>
        <rFont val="Calibri"/>
        <family val="2"/>
        <scheme val="minor"/>
      </rPr>
      <t xml:space="preserve">Atelier 6 : </t>
    </r>
    <r>
      <rPr>
        <sz val="12"/>
        <rFont val="Calibri"/>
        <family val="2"/>
        <scheme val="minor"/>
      </rPr>
      <t xml:space="preserve">Les exceptions (Création et utilisation)
</t>
    </r>
  </si>
  <si>
    <t>IDE Objet : Eclipse ou équivalent</t>
  </si>
  <si>
    <t>Cette matière requiert que l'étudiant ait suivi  
1- Unités d'enseignement Programmation structurée</t>
  </si>
  <si>
    <t xml:space="preserve">Acquérir une formation théorique sur les méthodes et les outils de conception des circuits numériques
                                                                                                                                    </t>
  </si>
  <si>
    <t>Combinatoire, séquentiel, sychnronr, asynchrone, Bascule, compteur, registre, TTL, CMOS, PLD, PAL, GAL, VHDL</t>
  </si>
  <si>
    <t>Conception de circuirts séquentiels</t>
  </si>
  <si>
    <t>Familles logiques</t>
  </si>
  <si>
    <t>Syhnthèse VHDL</t>
  </si>
  <si>
    <t>Documents construteurs</t>
  </si>
  <si>
    <t>Systèmes logiques</t>
  </si>
  <si>
    <t>Circuits numériques : théorie et applications, RONALD J. TOCCI, Editeur : Dunod , ISBN-10: 2040189319
Le langage VHDL : du circuit au langage, du langage au circuit, J. Weber S. Moutault M. Meaudre , Dunod</t>
  </si>
  <si>
    <t xml:space="preserve">A l'issu de ce cours, l’étudiant sera capable :
1. d'utiliser les différents types de bascules et en expliquer le fonctionnement;
2. de concevoir et analyser des circuits logiques combinatoires et séquentiels, synchrones et asynchrones;
3. d'utiliser des circuits logiques standards pour la conception de circuits numériques;
4. de distinguer les différentes familles de circuits logiques intégrés;
5. de déscrire, synthétiser et simuler des circuits logiques au moyen d'un langage descriptif
                                                                                                                                      </t>
  </si>
  <si>
    <t xml:space="preserve">Rappel sur les systèmes combinatoires et séquentiels,
Synthèse des systèmes séquentiels (les compteurs et les registres),
Les familles logiques TTL, CMOS, ECL,…
Les convertisseurs Analogiques/Numériques et Numériques/Analogiques,
Les circuits logiques programmables PLD, CPLD, FPGA,
Synthèse VHDL
</t>
  </si>
  <si>
    <t>Unité Fondamentale</t>
  </si>
  <si>
    <t xml:space="preserve"> ' - Apprendre à configurer et programmer des systèmes embarqués à base de microcontrôleur 
   - Application d'interfaçage des systèmes embarqués et savoir concevoir un système pour l'embarqué</t>
  </si>
  <si>
    <t xml:space="preserve">  ' - Maîtriser les concepts de bases dans le domaine des systèmes embarqués à base de microcontrôleur 
  - Comprendre l'architecture logicielle d'un microcontrôleur     
  - Apprendre à configurer et programmer un microcontrôleur   
  - Application d'interfaçage des systèmes embarqués
  - Savoir concevoir un système pour l'embarqué</t>
  </si>
  <si>
    <t>Microcontroleur, compilateur, kit de développement, simulateur, controleur d'interface, API</t>
  </si>
  <si>
    <t xml:space="preserve">'- Prise en main d'un simulateur ou d'un kit de développement pour microcontrôleur (PIC, Arduino, STM32, Raspberry pi…)
- Contrôler un afficheur 7 Segments via le microcontrôleur
- programmation d’un afficheur lcd 2*16 via un  microcontrôleur.
- Gestion d'un clavier matriciel via le microcontrôleur.
- Programmation de la conversion analogique numérique du microcontrôleur
- Programmation d’une communication série du microcontrôleur.
- La modulation de largeur d’impulsion  avec le microcontrôleur.
- Gestion des interruptions du microcontrôleur 
- Programmation des protocoles (I2C, SPI, …) via le microcontrôleur.
- Étude de cas : Réalisation d’un système de contrôle d’accès à base d’un microcontrôleur.
</t>
  </si>
  <si>
    <t>Exposés, condensé du cours, documentation constructeur</t>
  </si>
  <si>
    <t>Système électronique, système logique, programmation structurée, architecture des ordinateurs</t>
  </si>
  <si>
    <t xml:space="preserve">http://www.microchip.com/
 https://www.intel.fr/content/www/fr/fr/homepage.html
https://www.raspberrypi.org/
https://www.arduino.cc/ 
http://www.st.com/en/microcontrollers/stm32-32-bit-arm-cortex-mcus.html
</t>
  </si>
  <si>
    <t>Atelier Prototypage Rapides des Applications Embarquées</t>
  </si>
  <si>
    <t xml:space="preserve">A l'issu de cet atelier, l’étudiant sera capable de :
1. maitriser les différentes phase de conception et réalisation d'un circuit imprimé 
2. concevoir et réaliser des objets 3D
3. développer et implémenter des algorithmes sur des architectures des circuits programmables avancés                                                                                                                                                  </t>
  </si>
  <si>
    <t>Circuit électronique, routage, circuit imprimé, impression 3D, VHDL, PLD, FPGA</t>
  </si>
  <si>
    <t>Conception et réalisation des circuits imprimés</t>
  </si>
  <si>
    <t>Conception et impression 3D</t>
  </si>
  <si>
    <t>Sythèse VHDL</t>
  </si>
  <si>
    <t xml:space="preserve">Conception et vérification à haut niveau, développement d'algorithmes, implémentation sur des architectures des circuits programmables avancés. Méthodologies pour le prototypage rapide de systèmes embarqués: synthèse par des langages de haut niveau, systèmes mixtes (matériel - logiciel), utilisation de modules préconçus, choix et utilisation des puces préconçus, conception de modules matériels (langage VHDL). Logiciels dédiés pour le prototypage rapide de systèmes numériques: description, simulation, synthèse, vérification et programmation de circuits. Considérations mécaniques: conception du circuit imprimé, du montage, du boîtier et impression 3D. Conception et réalisation d'un système embarqué.
</t>
  </si>
  <si>
    <t>Logiciels</t>
  </si>
  <si>
    <t>Kits de développement</t>
  </si>
  <si>
    <t>Systèmes électroniques et numériques
Synthèse VHDL
Linux embarqué</t>
  </si>
  <si>
    <t xml:space="preserve">Apprendre et approfondir les notions du prototypage rapide de systèmes embarqués sur des plate-formes matérielles à base de microcontrôleurs et de circuits programmables.                                                                                                                                    </t>
  </si>
  <si>
    <t>PSoC, MPSoC , FPGA, codesign, compilateur, kit de développement, simulateur, ARM, IP</t>
  </si>
  <si>
    <t xml:space="preserve">- Prise en main d'un simulateur ou d'un kit de développement pour SoC (Zedboard, kit Cypress PSoC, mbed platform)
- Création d'une application de test (hello world)
-  Ajout d'un bloc (IP) existant
- Contrôle d’une sortie numérique (leds) à travers des entrées numériques (interrupteurs, boutons poussoirs, clavier matriciel)
- Contrôle d'un afficheur 7 Segments.
- programmation d’un afficheur LCD ou d'un OLED.
- Programmation des protocoles (I2C, I2S, SPI, USART, USB, PWM …).
- Gestion des interruptions. 
- Création d'un IP personnalisé
- Étude de cas : Réalisation d’un mini projet à base d'un PSoC
</t>
  </si>
  <si>
    <t>Cette matière requiert que l'étudiant ait suivi l'UE microcontroleur</t>
  </si>
  <si>
    <t xml:space="preserve">https://www.xilinx.com/
http://www.zedboard.org/
http://www.cypress.com/products/psoc-5
http://www.cypress.com/products/psoc-software
https://www.mbed.com/en/
https://www.mbed.com/en/about-mbed/what-mbed/
</t>
  </si>
  <si>
    <t>Atelier Protocoles et services réseau</t>
  </si>
  <si>
    <t xml:space="preserve"> TCP, UDP, IP, IPv4, IPv6, DNS, SMTP, SNMP, Sockets, http, CGI</t>
  </si>
  <si>
    <t xml:space="preserve">Maitriser l'adressage IP </t>
  </si>
  <si>
    <t>Analyser le fonctionnement des protocoles réseaux et applicatifs</t>
  </si>
  <si>
    <t>Savoir mettre en place une solution de routage adéquate aux besoins</t>
  </si>
  <si>
    <t>Etre capable d'installer et configurer les services de base (DHCP, DNS,FTP, HTTP,messagerie)</t>
  </si>
  <si>
    <t>Configurer un annuaire (authentification)</t>
  </si>
  <si>
    <t>Etre en mesure de définir et d'implémenter une solution de supervision open source</t>
  </si>
  <si>
    <t>Etre capable de configurer un annuaire (authentification)</t>
  </si>
  <si>
    <t>Savoir programmer une socket simple (serveur UDP)</t>
  </si>
  <si>
    <t>Etre capable de définir et d'implémenter une solution de supervision open source</t>
  </si>
  <si>
    <t xml:space="preserve">TP1 : Configurer un réseau avec un adressage IP adéquat
TP2 : Analyse des paquets TCP, UDP et protocoles applicatifs
TP3 : Configurer un protocole de routage (RIP, OSPF, EIGRP..)
TP4 : Configurer le service NAT
TP5 : Configurer un serveur DHCP
TP6 : Configurer un serveur http
TP7 : Configurer un serveur FTP et pop3
TP8 : Configurer un serveur DNS
TP9 : Configurer un annuaire Active Directory ou Open Ldap
TP10 : Configurer un logiciel de supervision basé sur SNMP(Nagios)
TP11 : Programmation des sockets de Berkley
TP12 : Configuration et administration d’un serveur WEB Apache
TP13 : Mise en oeuvre d’un serveur Web Embarqué
</t>
  </si>
  <si>
    <t>Laboratoire Réseaux Informatiques</t>
  </si>
  <si>
    <t>Équipements réseau et Logiciels de simulation (packet tracer)</t>
  </si>
  <si>
    <t>Cette matière requiert que l'étudiant ait suivi l'UE systèmes et réseaux</t>
  </si>
  <si>
    <r>
      <rPr>
        <sz val="12"/>
        <rFont val="Calibri"/>
        <family val="2"/>
        <scheme val="minor"/>
      </rPr>
      <t xml:space="preserve">1. Tannenbaum, "Computer Networks", 4th Edition Prentice-hall 2002 et "Réseau", 4ème Edition, Pearson Education, 2003
2. C. Servin, "Réseaux et telecoms", Dunod, 2003
3. Dromard, D. Seret, "Architecture des réseaux", Pearson Education, 2006 </t>
    </r>
    <r>
      <rPr>
        <sz val="12"/>
        <color theme="1"/>
        <rFont val="Calibri"/>
        <family val="2"/>
        <scheme val="minor"/>
      </rPr>
      <t xml:space="preserve">
</t>
    </r>
  </si>
  <si>
    <t>- Configurer l’adressage IP
- Configurer le routage IP
- Configurer le service NAT
- Configurer des protocoles applicatifs
- Configurer un logiciel de supervision
- Communiquer avec un serveur embarqué</t>
  </si>
  <si>
    <t xml:space="preserve">Systèmes  Embarques et Mobiles </t>
  </si>
  <si>
    <t>S4</t>
  </si>
  <si>
    <t>Développement web coté serveur</t>
  </si>
  <si>
    <t>Ce cours vise à faire acquérir à l’apprenant les connaissances de base relatives à la programmation du web coté serveur. A la fin de ce cours, l’étudiant serait capable de comprendre et maîtriser le processus de mise en oeuvre et de développement d'une application Web dynamique.</t>
  </si>
  <si>
    <t>Programmation, PHP5, PDO, AJAX,  MySQL, Apache.</t>
  </si>
  <si>
    <t>Conception et développement back-end en PHP</t>
  </si>
  <si>
    <t>14 heures</t>
  </si>
  <si>
    <t>7 heures</t>
  </si>
  <si>
    <t>UE: Programmation web1-2, Programmation Orientée Objet, Réseaux et services, Base de Données…</t>
  </si>
  <si>
    <t xml:space="preserve"> -Cours et exercices PHP 5.4 Auteur(s) : Jean Engels, Eyrolles, PHP 5 avancé, Eyrolles.
- https://www.w3schools.com/php/
- http://php.net/
- https://openclassrooms.com/courses/concevez-votre-site-web-avec-php-et-mysql</t>
  </si>
  <si>
    <t>Connaître la panoplie des solutions web dynamiques.
Comprendre le principe de la programmation web coté serveur en PHP.
Maîtriser la programmation orientée objet avec PHP.
Maîtriser le processus de mise en oeuvre d'une application Web dynamique avec PHP.
Comprendre l’intérêt de la sécurité des pages web à travers le langage PHP.                  
S'initier avec le pattern MVC en développement web.</t>
  </si>
  <si>
    <r>
      <rPr>
        <b/>
        <sz val="12"/>
        <rFont val="Calibri"/>
        <family val="2"/>
        <scheme val="minor"/>
      </rPr>
      <t xml:space="preserve">1) </t>
    </r>
    <r>
      <rPr>
        <sz val="12"/>
        <rFont val="Calibri"/>
        <family val="2"/>
        <scheme val="minor"/>
      </rPr>
      <t xml:space="preserve">Notions du web dynamique: architectures, technologies,..                                                         
</t>
    </r>
    <r>
      <rPr>
        <b/>
        <sz val="12"/>
        <rFont val="Calibri"/>
        <family val="2"/>
        <scheme val="minor"/>
      </rPr>
      <t>2)</t>
    </r>
    <r>
      <rPr>
        <sz val="12"/>
        <rFont val="Calibri"/>
        <family val="2"/>
        <scheme val="minor"/>
      </rPr>
      <t xml:space="preserve"> Elements de base du lanagage PHP: variables, type, tableau, chaine de caractère, structures de contrôles, fonctions..                                                                                                         
</t>
    </r>
    <r>
      <rPr>
        <b/>
        <sz val="12"/>
        <rFont val="Calibri"/>
        <family val="2"/>
        <scheme val="minor"/>
      </rPr>
      <t>3)</t>
    </r>
    <r>
      <rPr>
        <sz val="12"/>
        <rFont val="Calibri"/>
        <family val="2"/>
        <scheme val="minor"/>
      </rPr>
      <t xml:space="preserve"> Transmission de données: les formulaires, envoi par URL, upload de fichier..                              
</t>
    </r>
    <r>
      <rPr>
        <b/>
        <sz val="12"/>
        <rFont val="Calibri"/>
        <family val="2"/>
        <scheme val="minor"/>
      </rPr>
      <t>4)</t>
    </r>
    <r>
      <rPr>
        <sz val="12"/>
        <rFont val="Calibri"/>
        <family val="2"/>
        <scheme val="minor"/>
      </rPr>
      <t xml:space="preserve"> Contrôler les données transmises: les failles XSS, les filtres, les expressions régulières,..          
</t>
    </r>
    <r>
      <rPr>
        <b/>
        <sz val="12"/>
        <rFont val="Calibri"/>
        <family val="2"/>
        <scheme val="minor"/>
      </rPr>
      <t>5)</t>
    </r>
    <r>
      <rPr>
        <sz val="12"/>
        <rFont val="Calibri"/>
        <family val="2"/>
        <scheme val="minor"/>
      </rPr>
      <t xml:space="preserve"> Conserver des données de navigation: cookies, session,..                                                             
</t>
    </r>
    <r>
      <rPr>
        <b/>
        <sz val="12"/>
        <rFont val="Calibri"/>
        <family val="2"/>
        <scheme val="minor"/>
      </rPr>
      <t>6)</t>
    </r>
    <r>
      <rPr>
        <sz val="12"/>
        <rFont val="Calibri"/>
        <family val="2"/>
        <scheme val="minor"/>
      </rPr>
      <t xml:space="preserve"> POO en PHP: notions de classe et d'objet, héritage, polymorphisme, classe et méthode abstraite, méthode magique,..                                                                                                                   
</t>
    </r>
    <r>
      <rPr>
        <b/>
        <sz val="12"/>
        <rFont val="Calibri"/>
        <family val="2"/>
        <scheme val="minor"/>
      </rPr>
      <t>7)</t>
    </r>
    <r>
      <rPr>
        <sz val="12"/>
        <rFont val="Calibri"/>
        <family val="2"/>
        <scheme val="minor"/>
      </rPr>
      <t xml:space="preserve"> PHP et les bases de données: les objets PDO, manipulation des données,..                                                                                                                                                                                                                                                                               </t>
    </r>
  </si>
  <si>
    <t>Atelier développement coté serveur</t>
  </si>
  <si>
    <t>Cet atelier vise à faire acquérir à l’apprenant les connaissances de base relatives à la programmation web coté serveur. A la fin de cet atelier, l’étudiant serait capable de comprendre et maîtriser le processus de mise en oeuvre et du développement d'une Web coté serveur.</t>
  </si>
  <si>
    <t>18 heures</t>
  </si>
  <si>
    <t>Mini-projet</t>
  </si>
  <si>
    <t>3 heures</t>
  </si>
  <si>
    <t>Atelier Développement web coté serveur</t>
  </si>
  <si>
    <t>Configurer un environnement logiciel local pour le développement coté sreveur.            Maîtriser le développement des éléments serveur d'une application web.                                                                   Maitriser les différentes fonctionnalité en PHP.
Prendre en compte les principaux aspects de sécurité des pages web avec PHP.                  
S'initier avec le pattern MVC en développement web.</t>
  </si>
  <si>
    <r>
      <rPr>
        <b/>
        <sz val="12"/>
        <rFont val="Calibri"/>
        <family val="2"/>
        <scheme val="minor"/>
      </rPr>
      <t xml:space="preserve">Atelier 1: </t>
    </r>
    <r>
      <rPr>
        <sz val="12"/>
        <rFont val="Calibri"/>
        <family val="2"/>
        <scheme val="minor"/>
      </rPr>
      <t xml:space="preserve">Elements de base en PHP                                                                                                         
</t>
    </r>
    <r>
      <rPr>
        <b/>
        <sz val="12"/>
        <rFont val="Calibri"/>
        <family val="2"/>
        <scheme val="minor"/>
      </rPr>
      <t>Atelier 2:</t>
    </r>
    <r>
      <rPr>
        <sz val="12"/>
        <rFont val="Calibri"/>
        <family val="2"/>
        <scheme val="minor"/>
      </rPr>
      <t xml:space="preserve"> Elements de base du lanagage PHP: variables, type, tableau, chaine de caractère, structures de contrôles, fonctions..                                                                                                         
</t>
    </r>
    <r>
      <rPr>
        <b/>
        <sz val="12"/>
        <rFont val="Calibri"/>
        <family val="2"/>
        <scheme val="minor"/>
      </rPr>
      <t>Atelier 3:</t>
    </r>
    <r>
      <rPr>
        <sz val="12"/>
        <rFont val="Calibri"/>
        <family val="2"/>
        <scheme val="minor"/>
      </rPr>
      <t xml:space="preserve"> Envoyer et contôler des données (Formulaires, URL, fichier, filtres,expressions régulières,..)                                                                                                                                         
</t>
    </r>
    <r>
      <rPr>
        <b/>
        <sz val="12"/>
        <rFont val="Calibri"/>
        <family val="2"/>
        <scheme val="minor"/>
      </rPr>
      <t>Atelier</t>
    </r>
    <r>
      <rPr>
        <sz val="12"/>
        <rFont val="Calibri"/>
        <family val="2"/>
        <scheme val="minor"/>
      </rPr>
      <t xml:space="preserve"> </t>
    </r>
    <r>
      <rPr>
        <b/>
        <sz val="12"/>
        <rFont val="Calibri"/>
        <family val="2"/>
        <scheme val="minor"/>
      </rPr>
      <t>4:</t>
    </r>
    <r>
      <rPr>
        <sz val="12"/>
        <rFont val="Calibri"/>
        <family val="2"/>
        <scheme val="minor"/>
      </rPr>
      <t xml:space="preserve"> cookies, session,..                                                                                                                       
</t>
    </r>
    <r>
      <rPr>
        <b/>
        <sz val="12"/>
        <rFont val="Calibri"/>
        <family val="2"/>
        <scheme val="minor"/>
      </rPr>
      <t>Atelier 5:</t>
    </r>
    <r>
      <rPr>
        <sz val="12"/>
        <rFont val="Calibri"/>
        <family val="2"/>
        <scheme val="minor"/>
      </rPr>
      <t xml:space="preserve"> Manipuler les classes et les objets en PHP                                                                           </t>
    </r>
    <r>
      <rPr>
        <b/>
        <sz val="12"/>
        <rFont val="Calibri"/>
        <family val="2"/>
        <scheme val="minor"/>
      </rPr>
      <t>Atelier</t>
    </r>
    <r>
      <rPr>
        <sz val="12"/>
        <rFont val="Calibri"/>
        <family val="2"/>
        <scheme val="minor"/>
      </rPr>
      <t xml:space="preserve"> </t>
    </r>
    <r>
      <rPr>
        <b/>
        <sz val="12"/>
        <rFont val="Calibri"/>
        <family val="2"/>
        <scheme val="minor"/>
      </rPr>
      <t>6:</t>
    </r>
    <r>
      <rPr>
        <sz val="12"/>
        <rFont val="Calibri"/>
        <family val="2"/>
        <scheme val="minor"/>
      </rPr>
      <t xml:space="preserve"> PHP et les bases de données: les objets PDO, manipulation des données,..                    </t>
    </r>
    <r>
      <rPr>
        <b/>
        <sz val="12"/>
        <rFont val="Calibri"/>
        <family val="2"/>
        <scheme val="minor"/>
      </rPr>
      <t>Mini-projet de synthèse,</t>
    </r>
    <r>
      <rPr>
        <sz val="12"/>
        <rFont val="Calibri"/>
        <family val="2"/>
        <scheme val="minor"/>
      </rPr>
      <t xml:space="preserve">                                                                                                                                                                                                                                                                        </t>
    </r>
  </si>
  <si>
    <t xml:space="preserve"> - Conception d'un système constitué d'un processeur et de ses circuits périphériques (Approche FPGA-SoPC)
- Savoir les éléments d'un PSoC à savoir les coeurs de processeurs (NIOS, MicroBlaze, ARM-Cortex, IBM PowerPC, LEON...): architectures, performances
- Interfaces de communications : Amba (ARM), CoreConnect (IBM), Avalon (Altera), OCP...
- Fonctions réutilisables : notion d'Intellectual Property (IP) hard et soft : performances et limitations.
- Problématiques des SoCs</t>
  </si>
  <si>
    <t xml:space="preserve">  - Comprendre la différence entre un système embarqué et un SoC  
  - Savoir les avantages , les inconvénients et les solutions d'interconnexion (Network on Chip (NoC), Radio on Chip (RoC), Wifi-Network on Chip (Wi-NoC), Organic Network on Chip (ONoC), 3D-NoC, Quality of service (QoS)-NoC... ) lors de la conception des SoCs.  
  - Maîtriser les concepts de bases dans le domaine des systèmes embarqués à base de PSoC 
  - Connaître les différentes solutions de PSoC (Altera, Xilinx ZYNQ...)
  - Apprendre à configurer et programmer un PSoC  
  - Application d'interfaçage d'un PSoC
  - Réaliser un mini-projet à base d'un système sur puce pour l'embarqué</t>
  </si>
  <si>
    <t xml:space="preserve"> Bases de Données</t>
  </si>
  <si>
    <t xml:space="preserve">Comprendre l'ensemble des concepts sous-jaçents aux base données.  </t>
  </si>
  <si>
    <t xml:space="preserve">Concevoir une Base de Données à partir d'un Système d'Information (SI) donné </t>
  </si>
  <si>
    <t>Appliquer les opérations de l'algèbre relationnelle pour intérroger une base.</t>
  </si>
  <si>
    <t xml:space="preserve">Chapitre 1 : Introduction aux base de données
Chapitre 2 : Le  Modèle Entité/Relation
Chapitre 3 : Le modèle relationnel
            •  dépendance fonctionnel 
            • normalisation 
            • passage du modèle E/R au modèle relationnel 
            • passage du modèle Objet au modèle relationnel
Chapitre 4 : L’algèbre relationnelle
Chapitre 5 : Le langage SQL
            • Table et contraintes
            • Requêtes  
            • les autres objets d'une BD: index, synonyme et les vues
</t>
  </si>
  <si>
    <t xml:space="preserve">Condensé de cours  </t>
  </si>
  <si>
    <t>14H</t>
  </si>
  <si>
    <t>7H</t>
  </si>
  <si>
    <r>
      <rPr>
        <sz val="12"/>
        <rFont val="Calibri"/>
        <family val="2"/>
        <scheme val="minor"/>
      </rPr>
      <t>[1] : Georges Gardarin, Bases de données, Edition: Eyrolles, 2003, ISBN13 :978-2-212-11281-8
[2] : Anne-Christine BISSON , Eric GODOC,  SQL, Les fondamentaux du langage (avec exercices et corrigés) , Edition: ENI (3e édition) , ISBN : 978-2-409-01142-9
[3] : Christian Soutou, SQL pour Oracle, Edition: Eyrolles, 2015 (7ème édition),    ISBN13 : 978-2-212-141 56-6
 [4] : Frédéric Brouard, Christian Soutou, Modélisation des bases de données, Edition: Eyrolles, 2017 (4ème édition), ISBN13 : 978-2-212-67487-3</t>
    </r>
    <r>
      <rPr>
        <sz val="12"/>
        <color theme="1"/>
        <rFont val="Calibri"/>
        <family val="2"/>
        <scheme val="minor"/>
      </rPr>
      <t xml:space="preserve">
</t>
    </r>
  </si>
  <si>
    <t xml:space="preserve">Comprendre le Modèle Relationnel   </t>
  </si>
  <si>
    <t xml:space="preserve">Maitriser et manipuler le langage SQL  </t>
  </si>
  <si>
    <t xml:space="preserve">Au terme de cet atelier,  l’étudiant sera capable :
1. d’utiliser un outil de modélisation des diagrammes E/R;
2. d’utiliser les fondements théoriques du modèle relationnel pour créer une base de données relationnelle avec le LDD du SQL;
3.  de manipuler et d'interroger une BD relationnelle avec le langage SQL
4. Manipuler les différents objets d’une BD relationnelle (les vues, les index, les synonymes…)
</t>
  </si>
  <si>
    <t xml:space="preserve">SQL, création , interrogation, table, clé, contrainte, index, vues, LDD, LMD, outil de modélisation </t>
  </si>
  <si>
    <t xml:space="preserve">[1] : Frédéric Brouard, Rudi Bruchez, Christian Soutou, SQL (3° edition), Edition : Pearson Education 2010
ISBN13 : 9782744074677
[2] : Anne-Christine BISSON , Eric GODOC,  SQL, Les fondamentaux du langage (avec exercices et corrigés) -, Edition: ENI (3e édition) , ISBN : 978-2-409-01142-9
[3] : Christian Soutou, SQL pour Oracle, Edition: Eyrolles, 2015 (7ème édition),   ISBN13 : 978-2-212-141 56-6
 [4] : Frédéric Brouard, Christian Soutou, Modélisation des bases de données, Edition: Eyrolles, 2017 (4ème édition), ISBN13 : 978-2-212-67487-3                                                                                                                                      
</t>
  </si>
  <si>
    <t>Atelier base de données</t>
  </si>
  <si>
    <t xml:space="preserve">A l'issue de cet atelier, l’étudiant doit être capable :
1. de définir, à l’aide du langage SQL, les domaines, les types, les relations et les contraintes requises pour la définition des différents objets d'une base de données relationnelle ;
2. d’interroger et de mettre à jour, à l’aide du langage SQL, une base de données relationnelle                                                                                         </t>
  </si>
  <si>
    <t xml:space="preserve">Atelier  1: Création d'un modèle E/R avec un outil de modélisation  et passage au modèle relationnel, reverse engineering : du modèle relationnel  vers le modèle E/R                                                                                                                                     
Atelier 2 : Le langage LDD du SQL : Création des tables, modification de la structure et  insertion des données
Atelier 3 : Les requêtes (restriction et tri), les fonctions simples (numériques, de chaines de caractères, de date et de conversion) et les fonctions de groupe                                                                                                
Atelier 4 : Les jointures (internes, externes) 
Atelier 5 : Les sous-interrogations, les ensembles et les opérations de mise à jour
Atelier 6 : Autres objets de la  BD : les index, les séquences et les vues      
</t>
  </si>
  <si>
    <t>S5</t>
  </si>
  <si>
    <t xml:space="preserve"> Atelier Services Web</t>
  </si>
  <si>
    <t>Atelier services web</t>
  </si>
  <si>
    <t>Volume horaire semestriel</t>
  </si>
  <si>
    <t>Crédits</t>
  </si>
  <si>
    <t>Coefficients</t>
  </si>
  <si>
    <t xml:space="preserve">Régime d'Examen </t>
  </si>
  <si>
    <t>Volume</t>
  </si>
  <si>
    <t>ECUE</t>
  </si>
  <si>
    <t>UE</t>
  </si>
  <si>
    <t>Contrôle</t>
  </si>
  <si>
    <t>Global</t>
  </si>
  <si>
    <t>le cas échéant</t>
  </si>
  <si>
    <t>Continu</t>
  </si>
  <si>
    <t>*</t>
  </si>
  <si>
    <t>Volume horaire par semaine S3</t>
  </si>
  <si>
    <t>Volume horaire par semaine S4</t>
  </si>
  <si>
    <t>Volume horaire par semaine S5</t>
  </si>
  <si>
    <t>Schéma d'enseignement</t>
  </si>
  <si>
    <t xml:space="preserve">La Commission Nationale Sectorielle des Études Technologiques </t>
  </si>
  <si>
    <t>%Charge Totale</t>
  </si>
  <si>
    <t>%Charge par semaine</t>
  </si>
  <si>
    <t>Systèmes embarqués et électroniques</t>
  </si>
  <si>
    <t>Systèmes d'exploitation pour l'embarqué</t>
  </si>
  <si>
    <t>Atelier Systèmes d'exploitation pour l'embarqué</t>
  </si>
  <si>
    <t>Projet d'application embarquée et SoC</t>
  </si>
  <si>
    <t>Techniques de Recherche d'Emploi et marketing de soi</t>
  </si>
  <si>
    <t>Version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</si>
</sst>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dd/mm/yy;@"/>
    <numFmt numFmtId="166" formatCode="mmmm\-yyyy"/>
  </numFmts>
  <fonts count="4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name val="Calibri"/>
      <family val="2"/>
      <scheme val="minor"/>
    </font>
    <font>
      <sz val="11"/>
      <name val="Calibri"/>
      <family val="2"/>
      <scheme val="minor"/>
    </font>
    <font>
      <b/>
      <sz val="11"/>
      <name val="Calibri"/>
      <family val="2"/>
      <scheme val="minor"/>
    </font>
    <font>
      <b/>
      <sz val="12"/>
      <color theme="0"/>
      <name val="Calibri"/>
      <family val="2"/>
      <scheme val="minor"/>
    </font>
    <font>
      <b/>
      <sz val="12"/>
      <name val="Calibri"/>
      <family val="2"/>
      <scheme val="minor"/>
    </font>
    <font>
      <i/>
      <sz val="11"/>
      <color theme="1"/>
      <name val="Calibri"/>
      <family val="2"/>
      <scheme val="minor"/>
    </font>
    <font>
      <b/>
      <sz val="10"/>
      <name val="Calibri"/>
      <family val="2"/>
      <scheme val="minor"/>
    </font>
    <font>
      <sz val="10"/>
      <name val="Calibri"/>
      <family val="2"/>
      <scheme val="minor"/>
    </font>
    <font>
      <sz val="11"/>
      <name val="Calibri"/>
      <family val="2"/>
    </font>
    <font>
      <sz val="12"/>
      <color theme="1"/>
      <name val="Calibri"/>
      <family val="2"/>
      <scheme val="minor"/>
    </font>
    <font>
      <b/>
      <sz val="12"/>
      <color theme="1"/>
      <name val="Calibri"/>
      <family val="2"/>
      <scheme val="minor"/>
    </font>
    <font>
      <b/>
      <sz val="12"/>
      <color rgb="FF009999"/>
      <name val="Calibri"/>
      <family val="2"/>
      <scheme val="minor"/>
    </font>
    <font>
      <sz val="12"/>
      <color rgb="FF009999"/>
      <name val="Calibri"/>
      <family val="2"/>
      <scheme val="minor"/>
    </font>
    <font>
      <sz val="12"/>
      <color rgb="FFFF0000"/>
      <name val="Calibri"/>
      <family val="2"/>
      <scheme val="minor"/>
    </font>
    <font>
      <sz val="12"/>
      <color theme="1"/>
      <name val="Calibri"/>
      <family val="2"/>
      <charset val="1"/>
    </font>
    <font>
      <sz val="12"/>
      <color rgb="FF000000"/>
      <name val="Calibri"/>
      <family val="2"/>
      <charset val="1"/>
    </font>
    <font>
      <sz val="11"/>
      <color rgb="FF000000"/>
      <name val="Calibri"/>
      <family val="2"/>
      <charset val="1"/>
    </font>
    <font>
      <b/>
      <sz val="12"/>
      <color theme="1"/>
      <name val="Calibri"/>
      <family val="2"/>
      <charset val="1"/>
    </font>
    <font>
      <sz val="11"/>
      <color theme="1"/>
      <name val="Calibri"/>
      <family val="2"/>
      <charset val="1"/>
    </font>
    <font>
      <sz val="12"/>
      <color rgb="FFFF0000"/>
      <name val="Calibri"/>
      <family val="2"/>
      <charset val="1"/>
    </font>
    <font>
      <b/>
      <sz val="12"/>
      <color rgb="FF000000"/>
      <name val="Calibri"/>
      <family val="2"/>
      <charset val="1"/>
    </font>
    <font>
      <b/>
      <sz val="12"/>
      <color rgb="FFFFFFFF"/>
      <name val="Calibri"/>
      <family val="2"/>
      <charset val="1"/>
    </font>
    <font>
      <sz val="14"/>
      <name val="Calibri"/>
      <family val="2"/>
      <scheme val="minor"/>
    </font>
    <font>
      <sz val="10"/>
      <name val="Calibri"/>
      <family val="2"/>
    </font>
    <font>
      <b/>
      <sz val="10"/>
      <name val="Calibri"/>
      <family val="2"/>
    </font>
    <font>
      <sz val="12"/>
      <color rgb="FF00B050"/>
      <name val="Calibri"/>
      <family val="2"/>
      <scheme val="minor"/>
    </font>
    <font>
      <b/>
      <sz val="12"/>
      <name val="Calibri"/>
      <family val="2"/>
    </font>
    <font>
      <sz val="12"/>
      <name val="Calibri"/>
      <family val="2"/>
    </font>
    <font>
      <sz val="12"/>
      <name val="Calibri"/>
      <family val="2"/>
      <charset val="1"/>
    </font>
    <font>
      <i/>
      <sz val="12"/>
      <name val="Calibri"/>
      <family val="2"/>
    </font>
    <font>
      <sz val="10.5"/>
      <name val="Calibri"/>
      <family val="2"/>
      <scheme val="minor"/>
    </font>
    <font>
      <u/>
      <sz val="11"/>
      <color theme="10"/>
      <name val="Calibri"/>
      <family val="2"/>
      <scheme val="minor"/>
    </font>
    <font>
      <u/>
      <sz val="11"/>
      <name val="Calibri"/>
      <family val="2"/>
    </font>
    <font>
      <b/>
      <sz val="10"/>
      <color theme="0"/>
      <name val="Times New Roman"/>
      <family val="1"/>
    </font>
    <font>
      <b/>
      <sz val="11"/>
      <color theme="0"/>
      <name val="Times New Roman"/>
      <family val="1"/>
    </font>
    <font>
      <b/>
      <sz val="14"/>
      <color rgb="FFC00000"/>
      <name val="Calibri"/>
      <family val="2"/>
      <scheme val="minor"/>
    </font>
    <font>
      <sz val="14"/>
      <color rgb="FFC00000"/>
      <name val="Calibri"/>
      <family val="2"/>
      <scheme val="minor"/>
    </font>
    <font>
      <sz val="11"/>
      <color rgb="FFC00000"/>
      <name val="Calibri"/>
      <family val="2"/>
      <scheme val="minor"/>
    </font>
    <font>
      <b/>
      <sz val="12"/>
      <color rgb="FFC00000"/>
      <name val="Calibri"/>
      <family val="2"/>
      <scheme val="minor"/>
    </font>
    <font>
      <sz val="11"/>
      <color theme="0"/>
      <name val="Calibri"/>
      <family val="2"/>
      <scheme val="minor"/>
    </font>
  </fonts>
  <fills count="26">
    <fill>
      <patternFill patternType="none"/>
    </fill>
    <fill>
      <patternFill patternType="gray125"/>
    </fill>
    <fill>
      <patternFill patternType="solid">
        <fgColor theme="7" tint="0.79998168889431442"/>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8080"/>
        <bgColor indexed="64"/>
      </patternFill>
    </fill>
    <fill>
      <patternFill patternType="solid">
        <fgColor theme="7" tint="0.79998168889431442"/>
        <bgColor indexed="64"/>
      </patternFill>
    </fill>
    <fill>
      <patternFill patternType="solid">
        <fgColor theme="7"/>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1"/>
        <bgColor indexed="64"/>
      </patternFill>
    </fill>
    <fill>
      <patternFill patternType="solid">
        <fgColor rgb="FFFF808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FF"/>
        <bgColor indexed="64"/>
      </patternFill>
    </fill>
    <fill>
      <patternFill patternType="solid">
        <fgColor rgb="FF339933"/>
        <bgColor indexed="64"/>
      </patternFill>
    </fill>
    <fill>
      <patternFill patternType="solid">
        <fgColor rgb="FFFFFFFF"/>
        <bgColor rgb="FFF2F2F2"/>
      </patternFill>
    </fill>
    <fill>
      <patternFill patternType="solid">
        <fgColor rgb="FFF2F2F2"/>
        <bgColor rgb="FFFFFFFF"/>
      </patternFill>
    </fill>
    <fill>
      <patternFill patternType="solid">
        <fgColor theme="0"/>
        <bgColor rgb="FFF2F2F2"/>
      </patternFill>
    </fill>
    <fill>
      <patternFill patternType="solid">
        <fgColor rgb="FF008080"/>
        <bgColor rgb="FF008080"/>
      </patternFill>
    </fill>
    <fill>
      <patternFill patternType="solid">
        <fgColor theme="3"/>
        <bgColor indexed="64"/>
      </patternFill>
    </fill>
    <fill>
      <patternFill patternType="solid">
        <fgColor theme="5"/>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double">
        <color indexed="64"/>
      </right>
      <top style="medium">
        <color indexed="64"/>
      </top>
      <bottom style="medium">
        <color indexed="64"/>
      </bottom>
      <diagonal/>
    </border>
    <border>
      <left style="double">
        <color indexed="64"/>
      </left>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double">
        <color indexed="64"/>
      </right>
      <top style="medium">
        <color indexed="64"/>
      </top>
      <bottom style="medium">
        <color indexed="64"/>
      </bottom>
      <diagonal/>
    </border>
    <border>
      <left/>
      <right style="medium">
        <color indexed="64"/>
      </right>
      <top style="thin">
        <color indexed="64"/>
      </top>
      <bottom style="medium">
        <color indexed="64"/>
      </bottom>
      <diagonal/>
    </border>
    <border>
      <left style="double">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double">
        <color indexed="64"/>
      </right>
      <top/>
      <bottom/>
      <diagonal/>
    </border>
    <border>
      <left style="thin">
        <color rgb="FF000000"/>
      </left>
      <right/>
      <top style="thin">
        <color rgb="FF000000"/>
      </top>
      <bottom style="thin">
        <color rgb="FF00000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bottom style="thin">
        <color auto="1"/>
      </bottom>
      <diagonal/>
    </border>
    <border>
      <left/>
      <right/>
      <top style="thin">
        <color auto="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style="thin">
        <color indexed="64"/>
      </right>
      <top/>
      <bottom/>
      <diagonal/>
    </border>
    <border>
      <left style="thin">
        <color indexed="64"/>
      </left>
      <right style="medium">
        <color indexed="64"/>
      </right>
      <top/>
      <bottom/>
      <diagonal/>
    </border>
    <border>
      <left/>
      <right/>
      <top style="thin">
        <color theme="0" tint="-0.499984740745262"/>
      </top>
      <bottom style="thin">
        <color theme="0" tint="-0.499984740745262"/>
      </bottom>
      <diagonal/>
    </border>
    <border>
      <left style="thin">
        <color indexed="64"/>
      </left>
      <right style="thin">
        <color indexed="64"/>
      </right>
      <top style="medium">
        <color indexed="64"/>
      </top>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20" fillId="0" borderId="0"/>
    <xf numFmtId="0" fontId="35" fillId="0" borderId="0" applyNumberFormat="0" applyFill="0" applyBorder="0" applyAlignment="0" applyProtection="0"/>
    <xf numFmtId="0" fontId="43" fillId="25" borderId="0" applyNumberFormat="0" applyBorder="0" applyAlignment="0" applyProtection="0"/>
  </cellStyleXfs>
  <cellXfs count="630">
    <xf numFmtId="0" fontId="0" fillId="0" borderId="0" xfId="0"/>
    <xf numFmtId="0" fontId="0" fillId="5" borderId="0" xfId="0" applyFill="1"/>
    <xf numFmtId="0" fontId="0" fillId="5" borderId="1" xfId="0" applyFill="1" applyBorder="1"/>
    <xf numFmtId="0" fontId="2" fillId="8" borderId="1" xfId="0" applyFont="1" applyFill="1" applyBorder="1" applyAlignment="1">
      <alignment horizontal="center"/>
    </xf>
    <xf numFmtId="0" fontId="4" fillId="5" borderId="1" xfId="0" applyFont="1" applyFill="1" applyBorder="1" applyAlignment="1">
      <alignment vertical="center"/>
    </xf>
    <xf numFmtId="0" fontId="4" fillId="0" borderId="1" xfId="0" applyFont="1" applyBorder="1" applyAlignment="1">
      <alignment vertical="center" wrapText="1"/>
    </xf>
    <xf numFmtId="0" fontId="3" fillId="5" borderId="1" xfId="0" applyFont="1" applyFill="1" applyBorder="1" applyAlignment="1">
      <alignment horizontal="center"/>
    </xf>
    <xf numFmtId="0" fontId="5" fillId="5" borderId="1" xfId="0" applyFont="1" applyFill="1" applyBorder="1" applyAlignment="1">
      <alignment horizontal="center"/>
    </xf>
    <xf numFmtId="0" fontId="5" fillId="5" borderId="1" xfId="0" applyFont="1" applyFill="1" applyBorder="1"/>
    <xf numFmtId="0" fontId="6" fillId="12" borderId="2" xfId="0" applyFont="1" applyFill="1" applyBorder="1" applyAlignment="1">
      <alignment horizontal="centerContinuous" vertical="center"/>
    </xf>
    <xf numFmtId="0" fontId="2" fillId="11" borderId="1" xfId="0" applyFont="1" applyFill="1" applyBorder="1" applyAlignment="1">
      <alignment horizontal="centerContinuous" vertical="center"/>
    </xf>
    <xf numFmtId="0" fontId="2" fillId="11" borderId="2" xfId="0" applyFont="1" applyFill="1" applyBorder="1" applyAlignment="1">
      <alignment horizontal="centerContinuous" vertical="center"/>
    </xf>
    <xf numFmtId="0" fontId="2" fillId="11" borderId="3" xfId="0" applyFont="1" applyFill="1" applyBorder="1" applyAlignment="1">
      <alignment horizontal="centerContinuous" vertical="center"/>
    </xf>
    <xf numFmtId="0" fontId="5" fillId="0" borderId="4" xfId="1" applyFont="1" applyFill="1" applyBorder="1" applyAlignment="1" applyProtection="1">
      <alignment horizontal="left" vertical="center" wrapText="1"/>
      <protection locked="0"/>
    </xf>
    <xf numFmtId="0" fontId="3" fillId="5" borderId="1" xfId="0" applyFont="1" applyFill="1" applyBorder="1" applyAlignment="1">
      <alignment horizontal="center" vertical="center"/>
    </xf>
    <xf numFmtId="0" fontId="6" fillId="13" borderId="1" xfId="2" applyFont="1" applyFill="1" applyBorder="1" applyAlignment="1" applyProtection="1">
      <alignment horizontal="center" vertical="center" wrapText="1"/>
      <protection locked="0"/>
    </xf>
    <xf numFmtId="0" fontId="6" fillId="13" borderId="1" xfId="0" applyFont="1" applyFill="1" applyBorder="1" applyAlignment="1">
      <alignment horizontal="center"/>
    </xf>
    <xf numFmtId="0" fontId="2" fillId="10" borderId="1" xfId="0" applyFont="1" applyFill="1" applyBorder="1" applyAlignment="1" applyProtection="1">
      <alignment horizontal="center" vertical="center" wrapText="1"/>
      <protection locked="0"/>
    </xf>
    <xf numFmtId="0" fontId="2" fillId="11" borderId="1" xfId="0" applyFont="1" applyFill="1" applyBorder="1" applyAlignment="1" applyProtection="1">
      <alignment horizontal="centerContinuous"/>
      <protection locked="0"/>
    </xf>
    <xf numFmtId="0" fontId="2" fillId="14" borderId="1" xfId="0" applyFont="1" applyFill="1" applyBorder="1" applyAlignment="1" applyProtection="1">
      <alignment horizontal="center" vertical="center" wrapText="1"/>
      <protection locked="0"/>
    </xf>
    <xf numFmtId="0" fontId="5" fillId="5" borderId="1" xfId="0" applyFont="1" applyFill="1" applyBorder="1" applyAlignment="1" applyProtection="1">
      <alignment vertical="center" wrapText="1"/>
    </xf>
    <xf numFmtId="0" fontId="2" fillId="12" borderId="3" xfId="0" applyFont="1" applyFill="1" applyBorder="1" applyAlignment="1">
      <alignment horizontal="centerContinuous" vertical="center"/>
    </xf>
    <xf numFmtId="0" fontId="3" fillId="16" borderId="1" xfId="0" applyFont="1" applyFill="1" applyBorder="1" applyAlignment="1">
      <alignment horizontal="center" vertical="center"/>
    </xf>
    <xf numFmtId="0" fontId="4" fillId="5" borderId="1" xfId="0" applyFont="1" applyFill="1" applyBorder="1" applyAlignment="1">
      <alignment vertical="center" wrapText="1"/>
    </xf>
    <xf numFmtId="0" fontId="4" fillId="5" borderId="1" xfId="0" applyFont="1" applyFill="1" applyBorder="1" applyAlignment="1">
      <alignment horizontal="center" vertical="center"/>
    </xf>
    <xf numFmtId="0" fontId="6" fillId="12" borderId="1" xfId="0" applyFont="1" applyFill="1" applyBorder="1" applyAlignment="1">
      <alignment horizontal="centerContinuous"/>
    </xf>
    <xf numFmtId="0" fontId="7" fillId="14"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0" xfId="0" applyFont="1" applyFill="1"/>
    <xf numFmtId="0" fontId="3" fillId="12" borderId="12" xfId="0" applyFont="1" applyFill="1" applyBorder="1" applyAlignment="1">
      <alignment horizontal="left" vertical="center"/>
    </xf>
    <xf numFmtId="1" fontId="5" fillId="6" borderId="2" xfId="0" applyNumberFormat="1" applyFont="1" applyFill="1" applyBorder="1" applyAlignment="1" applyProtection="1">
      <alignment horizontal="center" vertical="center" shrinkToFit="1"/>
    </xf>
    <xf numFmtId="1" fontId="5" fillId="6" borderId="7" xfId="0" applyNumberFormat="1" applyFont="1" applyFill="1" applyBorder="1" applyAlignment="1" applyProtection="1">
      <alignment horizontal="center" vertical="center" shrinkToFit="1"/>
    </xf>
    <xf numFmtId="1" fontId="5" fillId="6" borderId="2" xfId="0" applyNumberFormat="1" applyFont="1" applyFill="1" applyBorder="1" applyAlignment="1" applyProtection="1">
      <alignment horizontal="center" vertical="center"/>
    </xf>
    <xf numFmtId="0" fontId="5" fillId="6" borderId="2" xfId="0" applyFont="1" applyFill="1" applyBorder="1" applyAlignment="1" applyProtection="1">
      <alignment horizontal="center" vertical="center"/>
      <protection locked="0"/>
    </xf>
    <xf numFmtId="0" fontId="6" fillId="6" borderId="1" xfId="0" applyFont="1" applyFill="1" applyBorder="1" applyAlignment="1" applyProtection="1">
      <alignment horizontal="center" vertical="center" wrapText="1"/>
    </xf>
    <xf numFmtId="0" fontId="4" fillId="5" borderId="1" xfId="0" applyFont="1" applyFill="1" applyBorder="1" applyAlignment="1">
      <alignment horizontal="center" vertical="center" wrapText="1"/>
    </xf>
    <xf numFmtId="0" fontId="5" fillId="5" borderId="4" xfId="0" applyFont="1" applyFill="1" applyBorder="1" applyAlignment="1" applyProtection="1">
      <alignment vertical="top" wrapText="1"/>
    </xf>
    <xf numFmtId="0" fontId="6" fillId="5" borderId="1" xfId="0" applyFont="1" applyFill="1" applyBorder="1" applyAlignment="1" applyProtection="1">
      <alignment horizontal="center" vertical="center" wrapText="1"/>
    </xf>
    <xf numFmtId="1" fontId="5" fillId="6" borderId="1" xfId="0" applyNumberFormat="1"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xf>
    <xf numFmtId="1" fontId="5" fillId="6" borderId="1" xfId="0" applyNumberFormat="1" applyFont="1" applyFill="1" applyBorder="1" applyAlignment="1" applyProtection="1">
      <alignment horizontal="center" vertical="center" shrinkToFit="1"/>
    </xf>
    <xf numFmtId="164" fontId="5" fillId="6" borderId="1" xfId="0" applyNumberFormat="1" applyFont="1" applyFill="1" applyBorder="1" applyAlignment="1" applyProtection="1">
      <alignment horizontal="center" vertical="center" shrinkToFit="1"/>
    </xf>
    <xf numFmtId="0" fontId="5" fillId="5" borderId="10" xfId="0" applyFont="1" applyFill="1" applyBorder="1" applyAlignment="1" applyProtection="1">
      <alignment vertical="top" wrapText="1"/>
    </xf>
    <xf numFmtId="0" fontId="3" fillId="13" borderId="22" xfId="0" applyFont="1" applyFill="1" applyBorder="1" applyAlignment="1">
      <alignment horizontal="left" vertical="center"/>
    </xf>
    <xf numFmtId="0" fontId="6" fillId="13" borderId="23" xfId="0" applyFont="1" applyFill="1" applyBorder="1" applyAlignment="1" applyProtection="1">
      <alignment horizontal="centerContinuous" vertical="center" wrapText="1"/>
      <protection locked="0"/>
    </xf>
    <xf numFmtId="1" fontId="6" fillId="13" borderId="24" xfId="0" applyNumberFormat="1" applyFont="1" applyFill="1" applyBorder="1" applyAlignment="1" applyProtection="1">
      <alignment horizontal="center" vertical="center"/>
      <protection locked="0"/>
    </xf>
    <xf numFmtId="0" fontId="6" fillId="13" borderId="24" xfId="0" applyFont="1" applyFill="1" applyBorder="1" applyAlignment="1" applyProtection="1">
      <alignment vertical="center" wrapText="1"/>
      <protection locked="0"/>
    </xf>
    <xf numFmtId="1" fontId="5" fillId="6" borderId="5" xfId="0" applyNumberFormat="1" applyFont="1" applyFill="1" applyBorder="1" applyAlignment="1" applyProtection="1">
      <alignment horizontal="center" vertical="center" shrinkToFit="1"/>
    </xf>
    <xf numFmtId="0" fontId="3" fillId="13" borderId="22" xfId="0" applyFont="1" applyFill="1" applyBorder="1" applyAlignment="1">
      <alignment vertical="center"/>
    </xf>
    <xf numFmtId="0" fontId="6" fillId="13" borderId="24" xfId="0" applyFont="1" applyFill="1" applyBorder="1" applyAlignment="1" applyProtection="1">
      <alignment horizontal="center" vertical="center"/>
      <protection locked="0"/>
    </xf>
    <xf numFmtId="0" fontId="0" fillId="13" borderId="22" xfId="0" applyFill="1" applyBorder="1"/>
    <xf numFmtId="0" fontId="0" fillId="15" borderId="22" xfId="0" applyFill="1" applyBorder="1"/>
    <xf numFmtId="0" fontId="2" fillId="15" borderId="23" xfId="0" applyFont="1" applyFill="1" applyBorder="1" applyAlignment="1" applyProtection="1">
      <alignment horizontal="centerContinuous" vertical="center" wrapText="1"/>
    </xf>
    <xf numFmtId="1" fontId="2" fillId="15" borderId="24" xfId="0" applyNumberFormat="1" applyFont="1" applyFill="1" applyBorder="1" applyAlignment="1" applyProtection="1">
      <alignment horizontal="center"/>
      <protection locked="0"/>
    </xf>
    <xf numFmtId="0" fontId="2" fillId="15" borderId="14" xfId="0" applyFont="1" applyFill="1" applyBorder="1" applyAlignment="1" applyProtection="1">
      <alignment horizontal="center"/>
      <protection locked="0"/>
    </xf>
    <xf numFmtId="0" fontId="6" fillId="13" borderId="24" xfId="0" applyFont="1" applyFill="1" applyBorder="1" applyAlignment="1" applyProtection="1">
      <alignment horizontal="centerContinuous" vertical="center" wrapText="1"/>
      <protection locked="0"/>
    </xf>
    <xf numFmtId="0" fontId="5" fillId="5" borderId="1" xfId="0" applyFont="1" applyFill="1" applyBorder="1" applyAlignment="1" applyProtection="1">
      <alignment vertical="top" wrapText="1"/>
    </xf>
    <xf numFmtId="0" fontId="5" fillId="5" borderId="1" xfId="0" applyFont="1" applyFill="1" applyBorder="1" applyProtection="1">
      <protection locked="0"/>
    </xf>
    <xf numFmtId="0" fontId="5" fillId="5" borderId="5" xfId="0" applyFont="1" applyFill="1" applyBorder="1" applyProtection="1">
      <protection locked="0"/>
    </xf>
    <xf numFmtId="0" fontId="11" fillId="7" borderId="22" xfId="0" applyFont="1" applyFill="1" applyBorder="1" applyAlignment="1">
      <alignment horizontal="center" vertical="center" textRotation="90" wrapText="1"/>
    </xf>
    <xf numFmtId="0" fontId="11" fillId="7" borderId="24" xfId="0" applyFont="1" applyFill="1" applyBorder="1" applyAlignment="1">
      <alignment horizontal="center" vertical="center" textRotation="90" wrapText="1"/>
    </xf>
    <xf numFmtId="0" fontId="11" fillId="7" borderId="33" xfId="0" applyFont="1" applyFill="1" applyBorder="1" applyAlignment="1">
      <alignment horizontal="center" vertical="center" textRotation="90" wrapText="1"/>
    </xf>
    <xf numFmtId="0" fontId="11" fillId="7" borderId="23" xfId="0" applyFont="1" applyFill="1" applyBorder="1" applyAlignment="1">
      <alignment horizontal="center" vertical="center" textRotation="90" wrapText="1"/>
    </xf>
    <xf numFmtId="0" fontId="11" fillId="7" borderId="25" xfId="0" applyFont="1" applyFill="1" applyBorder="1" applyAlignment="1">
      <alignment vertical="center" textRotation="90" wrapText="1"/>
    </xf>
    <xf numFmtId="0" fontId="0" fillId="5" borderId="36" xfId="0" applyFont="1" applyFill="1" applyBorder="1" applyAlignment="1">
      <alignment horizontal="center" vertical="center"/>
    </xf>
    <xf numFmtId="0" fontId="0" fillId="5" borderId="20" xfId="0" applyFont="1" applyFill="1" applyBorder="1" applyAlignment="1">
      <alignment horizontal="center" vertical="center"/>
    </xf>
    <xf numFmtId="0" fontId="0" fillId="5" borderId="20" xfId="0" applyFill="1" applyBorder="1" applyAlignment="1">
      <alignment horizontal="center" vertical="center"/>
    </xf>
    <xf numFmtId="0" fontId="0" fillId="5" borderId="37" xfId="0" applyFill="1" applyBorder="1" applyAlignment="1">
      <alignment horizontal="center" vertical="center"/>
    </xf>
    <xf numFmtId="0" fontId="0" fillId="5" borderId="38" xfId="0" applyFill="1" applyBorder="1" applyAlignment="1">
      <alignment horizontal="center" vertical="center"/>
    </xf>
    <xf numFmtId="0" fontId="0" fillId="5" borderId="39" xfId="0" applyFill="1" applyBorder="1" applyAlignment="1">
      <alignment horizontal="center" vertical="center"/>
    </xf>
    <xf numFmtId="0" fontId="0" fillId="5" borderId="19" xfId="0" applyFont="1" applyFill="1" applyBorder="1" applyAlignment="1">
      <alignment horizontal="center" vertical="center"/>
    </xf>
    <xf numFmtId="0" fontId="0" fillId="5"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40" xfId="0" applyFill="1" applyBorder="1" applyAlignment="1">
      <alignment horizontal="center" vertical="center"/>
    </xf>
    <xf numFmtId="0" fontId="0" fillId="5" borderId="4" xfId="0" applyFill="1" applyBorder="1" applyAlignment="1">
      <alignment horizontal="center" vertical="center"/>
    </xf>
    <xf numFmtId="0" fontId="0" fillId="5" borderId="41" xfId="0" applyFill="1" applyBorder="1" applyAlignment="1">
      <alignment horizontal="center" vertical="center"/>
    </xf>
    <xf numFmtId="0" fontId="0" fillId="5" borderId="19" xfId="0" applyFill="1" applyBorder="1" applyAlignment="1">
      <alignment horizontal="center" vertical="center"/>
    </xf>
    <xf numFmtId="1" fontId="6" fillId="5" borderId="1" xfId="0" applyNumberFormat="1" applyFont="1" applyFill="1" applyBorder="1" applyAlignment="1" applyProtection="1">
      <alignment horizontal="center" vertical="center" shrinkToFit="1"/>
    </xf>
    <xf numFmtId="0" fontId="10" fillId="7" borderId="21" xfId="0" applyFont="1" applyFill="1" applyBorder="1" applyAlignment="1">
      <alignment horizontal="center" vertical="center" wrapText="1"/>
    </xf>
    <xf numFmtId="0" fontId="0" fillId="5" borderId="0" xfId="0" applyFill="1" applyAlignment="1">
      <alignment horizontal="center" vertical="center"/>
    </xf>
    <xf numFmtId="0" fontId="10" fillId="7" borderId="30" xfId="0" applyFont="1" applyFill="1" applyBorder="1" applyAlignment="1">
      <alignment horizontal="center" vertical="center" wrapText="1"/>
    </xf>
    <xf numFmtId="0" fontId="0" fillId="5" borderId="47" xfId="0" applyFill="1" applyBorder="1" applyAlignment="1">
      <alignment horizontal="center" vertical="center"/>
    </xf>
    <xf numFmtId="0" fontId="0" fillId="5" borderId="48" xfId="0" applyFill="1" applyBorder="1" applyAlignment="1">
      <alignment horizontal="center" vertical="center"/>
    </xf>
    <xf numFmtId="0" fontId="0" fillId="5" borderId="49" xfId="0" applyFill="1" applyBorder="1" applyAlignment="1">
      <alignment horizontal="center" vertical="center"/>
    </xf>
    <xf numFmtId="0" fontId="0" fillId="5" borderId="50" xfId="0" applyFill="1" applyBorder="1" applyAlignment="1">
      <alignment horizontal="center" vertical="center"/>
    </xf>
    <xf numFmtId="0" fontId="0" fillId="5" borderId="51" xfId="0" applyFill="1" applyBorder="1" applyAlignment="1">
      <alignment horizontal="center" vertical="center"/>
    </xf>
    <xf numFmtId="0" fontId="0" fillId="5" borderId="52" xfId="0" applyFill="1" applyBorder="1" applyAlignment="1">
      <alignment horizontal="center" vertical="center"/>
    </xf>
    <xf numFmtId="0" fontId="0" fillId="5" borderId="53" xfId="0" applyFill="1" applyBorder="1" applyAlignment="1">
      <alignment horizontal="center" vertical="center"/>
    </xf>
    <xf numFmtId="0" fontId="3" fillId="16" borderId="28" xfId="0" applyFont="1" applyFill="1" applyBorder="1" applyAlignment="1">
      <alignment vertical="center" wrapText="1"/>
    </xf>
    <xf numFmtId="0" fontId="3" fillId="16" borderId="45" xfId="0" applyFont="1" applyFill="1" applyBorder="1" applyAlignment="1">
      <alignment vertical="center" wrapText="1"/>
    </xf>
    <xf numFmtId="0" fontId="3" fillId="16" borderId="45" xfId="0" applyFont="1" applyFill="1" applyBorder="1" applyAlignment="1">
      <alignment vertical="center"/>
    </xf>
    <xf numFmtId="0" fontId="3" fillId="16" borderId="46" xfId="0" applyFont="1" applyFill="1" applyBorder="1" applyAlignment="1">
      <alignment vertical="center"/>
    </xf>
    <xf numFmtId="0" fontId="0" fillId="5" borderId="4" xfId="0" applyFill="1" applyBorder="1"/>
    <xf numFmtId="0" fontId="3" fillId="7" borderId="43" xfId="0" applyFont="1" applyFill="1" applyBorder="1" applyAlignment="1">
      <alignment vertical="center" wrapText="1"/>
    </xf>
    <xf numFmtId="0" fontId="3" fillId="7" borderId="42" xfId="0" applyFont="1" applyFill="1" applyBorder="1" applyAlignment="1">
      <alignment vertical="center" wrapText="1"/>
    </xf>
    <xf numFmtId="0" fontId="3" fillId="7" borderId="42" xfId="0" applyFont="1" applyFill="1" applyBorder="1" applyAlignment="1">
      <alignment vertical="center"/>
    </xf>
    <xf numFmtId="0" fontId="3" fillId="7" borderId="54" xfId="0" applyFont="1" applyFill="1" applyBorder="1" applyAlignment="1">
      <alignment vertical="center"/>
    </xf>
    <xf numFmtId="0" fontId="11" fillId="9" borderId="11" xfId="0" applyFont="1" applyFill="1" applyBorder="1" applyAlignment="1">
      <alignment horizontal="center" vertical="center" textRotation="90" wrapText="1"/>
    </xf>
    <xf numFmtId="0" fontId="11" fillId="9" borderId="8" xfId="0" applyFont="1" applyFill="1" applyBorder="1" applyAlignment="1">
      <alignment horizontal="center" vertical="center" textRotation="90" wrapText="1"/>
    </xf>
    <xf numFmtId="0" fontId="11" fillId="9" borderId="55" xfId="0" applyFont="1" applyFill="1" applyBorder="1" applyAlignment="1">
      <alignment horizontal="center" vertical="center" textRotation="90" wrapText="1"/>
    </xf>
    <xf numFmtId="0" fontId="0" fillId="5" borderId="36" xfId="0" applyFill="1" applyBorder="1" applyAlignment="1">
      <alignment horizontal="center" vertical="center"/>
    </xf>
    <xf numFmtId="0" fontId="0" fillId="5" borderId="19" xfId="0" applyFill="1" applyBorder="1"/>
    <xf numFmtId="0" fontId="0" fillId="5" borderId="47" xfId="0" applyFill="1" applyBorder="1"/>
    <xf numFmtId="0" fontId="0" fillId="5" borderId="48" xfId="0" applyFill="1" applyBorder="1"/>
    <xf numFmtId="0" fontId="0" fillId="5" borderId="50" xfId="0" applyFill="1" applyBorder="1"/>
    <xf numFmtId="0" fontId="0" fillId="5" borderId="40" xfId="0" applyFill="1" applyBorder="1"/>
    <xf numFmtId="0" fontId="0" fillId="5" borderId="49" xfId="0" applyFill="1" applyBorder="1"/>
    <xf numFmtId="0" fontId="3" fillId="12" borderId="5" xfId="0" applyFont="1" applyFill="1" applyBorder="1" applyAlignment="1">
      <alignment horizontal="center"/>
    </xf>
    <xf numFmtId="0" fontId="5" fillId="5" borderId="0" xfId="0" applyFont="1" applyFill="1"/>
    <xf numFmtId="0" fontId="6" fillId="12" borderId="1" xfId="0" applyFont="1" applyFill="1" applyBorder="1" applyAlignment="1">
      <alignment horizontal="center"/>
    </xf>
    <xf numFmtId="0" fontId="6" fillId="12" borderId="1" xfId="0" applyFont="1" applyFill="1" applyBorder="1" applyAlignment="1">
      <alignment horizontal="center" vertical="center"/>
    </xf>
    <xf numFmtId="0" fontId="6" fillId="5" borderId="5" xfId="0" applyFont="1" applyFill="1" applyBorder="1" applyAlignment="1" applyProtection="1">
      <alignment horizontal="center" vertical="center" wrapText="1"/>
    </xf>
    <xf numFmtId="0" fontId="6" fillId="5" borderId="1" xfId="0" applyFont="1" applyFill="1" applyBorder="1" applyAlignment="1" applyProtection="1">
      <alignment horizontal="center" vertical="center"/>
      <protection locked="0"/>
    </xf>
    <xf numFmtId="0" fontId="3" fillId="12" borderId="8" xfId="0" applyFont="1" applyFill="1" applyBorder="1" applyAlignment="1">
      <alignment horizontal="center" vertical="center"/>
    </xf>
    <xf numFmtId="1" fontId="5" fillId="6" borderId="1" xfId="0" applyNumberFormat="1" applyFont="1" applyFill="1" applyBorder="1" applyAlignment="1" applyProtection="1">
      <alignment horizontal="center" vertical="center"/>
      <protection locked="0"/>
    </xf>
    <xf numFmtId="0" fontId="5" fillId="6" borderId="5" xfId="0" applyFont="1" applyFill="1" applyBorder="1" applyAlignment="1" applyProtection="1">
      <alignment horizontal="center" vertical="center"/>
      <protection locked="0"/>
    </xf>
    <xf numFmtId="1" fontId="5" fillId="6" borderId="8" xfId="0" applyNumberFormat="1" applyFont="1" applyFill="1" applyBorder="1" applyAlignment="1" applyProtection="1">
      <alignment horizontal="center" vertical="center"/>
      <protection locked="0"/>
    </xf>
    <xf numFmtId="0" fontId="0" fillId="12" borderId="0" xfId="0" applyFill="1"/>
    <xf numFmtId="0" fontId="5" fillId="5" borderId="1" xfId="0" applyFont="1" applyFill="1" applyBorder="1" applyAlignment="1" applyProtection="1">
      <alignment vertical="center"/>
      <protection locked="0"/>
    </xf>
    <xf numFmtId="0" fontId="3" fillId="13" borderId="1" xfId="0" applyFont="1" applyFill="1" applyBorder="1" applyAlignment="1">
      <alignment vertical="center"/>
    </xf>
    <xf numFmtId="0" fontId="6" fillId="13" borderId="1" xfId="0" applyFont="1" applyFill="1" applyBorder="1" applyAlignment="1" applyProtection="1">
      <alignment vertical="center" wrapText="1"/>
      <protection locked="0"/>
    </xf>
    <xf numFmtId="0" fontId="6" fillId="13" borderId="2" xfId="0" applyFont="1" applyFill="1" applyBorder="1" applyAlignment="1" applyProtection="1">
      <alignment horizontal="center" vertical="center"/>
      <protection locked="0"/>
    </xf>
    <xf numFmtId="0" fontId="5" fillId="5" borderId="56" xfId="0" applyFont="1" applyFill="1" applyBorder="1" applyAlignment="1" applyProtection="1">
      <alignment vertical="center" wrapText="1"/>
    </xf>
    <xf numFmtId="0" fontId="5" fillId="5" borderId="1" xfId="0" applyFont="1" applyFill="1" applyBorder="1" applyAlignment="1" applyProtection="1">
      <alignment vertical="center" wrapText="1"/>
      <protection locked="0"/>
    </xf>
    <xf numFmtId="0" fontId="3" fillId="13" borderId="1" xfId="0" applyFont="1" applyFill="1" applyBorder="1" applyAlignment="1">
      <alignment horizontal="left" vertical="center"/>
    </xf>
    <xf numFmtId="1" fontId="6" fillId="13" borderId="2" xfId="0" applyNumberFormat="1" applyFont="1" applyFill="1" applyBorder="1" applyAlignment="1" applyProtection="1">
      <alignment horizontal="center" vertical="center" wrapText="1"/>
      <protection locked="0"/>
    </xf>
    <xf numFmtId="0" fontId="12" fillId="18" borderId="1" xfId="0" applyFont="1" applyFill="1" applyBorder="1" applyAlignment="1">
      <alignment vertical="center"/>
    </xf>
    <xf numFmtId="0" fontId="0" fillId="5" borderId="0" xfId="0" applyFill="1" applyBorder="1" applyAlignment="1">
      <alignment vertical="center"/>
    </xf>
    <xf numFmtId="0" fontId="0" fillId="5" borderId="60" xfId="0" applyFill="1" applyBorder="1" applyAlignment="1">
      <alignment vertical="center"/>
    </xf>
    <xf numFmtId="0" fontId="0" fillId="5" borderId="61" xfId="0" applyFill="1" applyBorder="1" applyAlignment="1">
      <alignment vertical="center"/>
    </xf>
    <xf numFmtId="0" fontId="13" fillId="5" borderId="60" xfId="0" applyFont="1" applyFill="1" applyBorder="1" applyAlignment="1">
      <alignment horizontal="center" vertical="top" wrapText="1"/>
    </xf>
    <xf numFmtId="0" fontId="13" fillId="5" borderId="0" xfId="0" applyFont="1" applyFill="1" applyBorder="1" applyAlignment="1">
      <alignment horizontal="center" vertical="top" wrapText="1"/>
    </xf>
    <xf numFmtId="0" fontId="13" fillId="5" borderId="61" xfId="0" applyFont="1" applyFill="1" applyBorder="1" applyAlignment="1">
      <alignment horizontal="center" vertical="top" wrapText="1"/>
    </xf>
    <xf numFmtId="0" fontId="13" fillId="5" borderId="0" xfId="0" applyFont="1" applyFill="1" applyBorder="1" applyAlignment="1">
      <alignment horizontal="center" vertical="top" wrapText="1"/>
    </xf>
    <xf numFmtId="0" fontId="0" fillId="5" borderId="60" xfId="0" applyFill="1" applyBorder="1"/>
    <xf numFmtId="0" fontId="0" fillId="5" borderId="0" xfId="0" applyFill="1" applyBorder="1"/>
    <xf numFmtId="0" fontId="0" fillId="5" borderId="61" xfId="0" applyFill="1" applyBorder="1"/>
    <xf numFmtId="0" fontId="0" fillId="5" borderId="62" xfId="0" applyFill="1" applyBorder="1"/>
    <xf numFmtId="0" fontId="0" fillId="5" borderId="13" xfId="0" applyFill="1" applyBorder="1"/>
    <xf numFmtId="0" fontId="0" fillId="5" borderId="63" xfId="0" applyFill="1" applyBorder="1"/>
    <xf numFmtId="0" fontId="5" fillId="5" borderId="61" xfId="0" applyFont="1" applyFill="1" applyBorder="1" applyAlignment="1">
      <alignment vertical="center"/>
    </xf>
    <xf numFmtId="0" fontId="5" fillId="5" borderId="0" xfId="0" applyFont="1" applyFill="1" applyBorder="1" applyAlignment="1">
      <alignment vertical="center"/>
    </xf>
    <xf numFmtId="0" fontId="5" fillId="5" borderId="60" xfId="0" applyFont="1" applyFill="1" applyBorder="1" applyAlignment="1">
      <alignment vertical="center"/>
    </xf>
    <xf numFmtId="0" fontId="5" fillId="0" borderId="1" xfId="3" applyFont="1" applyFill="1" applyBorder="1" applyAlignment="1" applyProtection="1">
      <alignment horizontal="left" vertical="center" wrapText="1"/>
      <protection locked="0"/>
    </xf>
    <xf numFmtId="0" fontId="0" fillId="0" borderId="0" xfId="0" applyFill="1"/>
    <xf numFmtId="0" fontId="6" fillId="13" borderId="1" xfId="0" applyFont="1" applyFill="1" applyBorder="1" applyAlignment="1" applyProtection="1">
      <alignment horizontal="center" vertical="center"/>
      <protection locked="0"/>
    </xf>
    <xf numFmtId="1" fontId="5" fillId="6" borderId="1" xfId="0" applyNumberFormat="1" applyFont="1" applyFill="1" applyBorder="1" applyAlignment="1" applyProtection="1">
      <alignment horizontal="center" vertical="center"/>
    </xf>
    <xf numFmtId="1" fontId="6" fillId="13" borderId="1" xfId="0" applyNumberFormat="1" applyFont="1" applyFill="1" applyBorder="1" applyAlignment="1" applyProtection="1">
      <alignment horizontal="center" vertical="center" wrapText="1"/>
      <protection locked="0"/>
    </xf>
    <xf numFmtId="1" fontId="2" fillId="15" borderId="1" xfId="0" applyNumberFormat="1" applyFont="1" applyFill="1" applyBorder="1" applyAlignment="1" applyProtection="1">
      <alignment horizontal="center"/>
      <protection locked="0"/>
    </xf>
    <xf numFmtId="0" fontId="13" fillId="5" borderId="0" xfId="0" applyFont="1" applyFill="1"/>
    <xf numFmtId="0" fontId="13" fillId="5" borderId="0" xfId="0" applyFont="1" applyFill="1" applyAlignment="1">
      <alignment vertical="top"/>
    </xf>
    <xf numFmtId="0" fontId="14" fillId="6" borderId="4" xfId="0" applyFont="1" applyFill="1" applyBorder="1" applyAlignment="1">
      <alignment horizontal="left" vertical="top"/>
    </xf>
    <xf numFmtId="0" fontId="14" fillId="6" borderId="3" xfId="0" applyFont="1" applyFill="1" applyBorder="1" applyAlignment="1">
      <alignment horizontal="left" vertical="top"/>
    </xf>
    <xf numFmtId="0" fontId="14" fillId="6" borderId="2" xfId="0" applyFont="1" applyFill="1" applyBorder="1" applyAlignment="1">
      <alignment horizontal="left" vertical="top"/>
    </xf>
    <xf numFmtId="0" fontId="13" fillId="5" borderId="1" xfId="0" applyFont="1" applyFill="1" applyBorder="1" applyAlignment="1">
      <alignment vertical="top"/>
    </xf>
    <xf numFmtId="0" fontId="14" fillId="6" borderId="1" xfId="0" applyFont="1" applyFill="1" applyBorder="1" applyAlignment="1">
      <alignment vertical="top"/>
    </xf>
    <xf numFmtId="0" fontId="17" fillId="5" borderId="1" xfId="0" applyFont="1" applyFill="1" applyBorder="1" applyAlignment="1">
      <alignment vertical="top"/>
    </xf>
    <xf numFmtId="0" fontId="14" fillId="5" borderId="0" xfId="0" applyFont="1" applyFill="1" applyAlignment="1">
      <alignment vertical="top" wrapText="1"/>
    </xf>
    <xf numFmtId="0" fontId="17" fillId="5" borderId="0" xfId="0" applyFont="1" applyFill="1" applyAlignment="1">
      <alignment vertical="top"/>
    </xf>
    <xf numFmtId="0" fontId="13" fillId="5" borderId="0" xfId="0" applyFont="1" applyFill="1" applyBorder="1" applyAlignment="1">
      <alignment vertical="top"/>
    </xf>
    <xf numFmtId="0" fontId="13" fillId="5" borderId="0" xfId="0" applyFont="1" applyFill="1" applyBorder="1" applyAlignment="1">
      <alignment horizontal="left" vertical="top" wrapText="1"/>
    </xf>
    <xf numFmtId="0" fontId="13" fillId="5" borderId="1" xfId="0" applyFont="1" applyFill="1" applyBorder="1" applyAlignment="1">
      <alignment vertical="top"/>
    </xf>
    <xf numFmtId="0" fontId="14" fillId="6" borderId="1" xfId="0" applyFont="1" applyFill="1" applyBorder="1" applyAlignment="1">
      <alignment horizontal="center" vertical="top"/>
    </xf>
    <xf numFmtId="0" fontId="14" fillId="6" borderId="66" xfId="0" applyFont="1" applyFill="1" applyBorder="1" applyAlignment="1">
      <alignment vertical="top"/>
    </xf>
    <xf numFmtId="0" fontId="14" fillId="6" borderId="66" xfId="0" applyFont="1" applyFill="1" applyBorder="1" applyAlignment="1">
      <alignment vertical="top" wrapText="1"/>
    </xf>
    <xf numFmtId="0" fontId="13" fillId="8" borderId="0" xfId="0" applyFont="1" applyFill="1" applyAlignment="1">
      <alignment horizontal="centerContinuous"/>
    </xf>
    <xf numFmtId="0" fontId="7" fillId="8" borderId="0" xfId="0" applyFont="1" applyFill="1" applyAlignment="1">
      <alignment horizontal="centerContinuous" vertical="center"/>
    </xf>
    <xf numFmtId="0" fontId="20" fillId="0" borderId="0" xfId="4"/>
    <xf numFmtId="0" fontId="19" fillId="20" borderId="0" xfId="4" applyFont="1" applyFill="1"/>
    <xf numFmtId="0" fontId="19" fillId="20" borderId="0" xfId="4" applyFont="1" applyFill="1" applyAlignment="1">
      <alignment vertical="top"/>
    </xf>
    <xf numFmtId="0" fontId="22" fillId="5" borderId="0" xfId="4" applyFont="1" applyFill="1"/>
    <xf numFmtId="0" fontId="21" fillId="21" borderId="1" xfId="4" applyFont="1" applyFill="1" applyBorder="1" applyAlignment="1">
      <alignment vertical="top"/>
    </xf>
    <xf numFmtId="0" fontId="21" fillId="20" borderId="0" xfId="4" applyFont="1" applyFill="1" applyBorder="1" applyAlignment="1">
      <alignment horizontal="left" vertical="top" wrapText="1"/>
    </xf>
    <xf numFmtId="0" fontId="23" fillId="20" borderId="0" xfId="4" applyFont="1" applyFill="1" applyAlignment="1">
      <alignment vertical="top"/>
    </xf>
    <xf numFmtId="0" fontId="18" fillId="20" borderId="0" xfId="4" applyFont="1" applyFill="1" applyBorder="1" applyAlignment="1">
      <alignment horizontal="left" vertical="top"/>
    </xf>
    <xf numFmtId="0" fontId="18" fillId="20" borderId="0" xfId="4" applyFont="1" applyFill="1" applyBorder="1" applyAlignment="1">
      <alignment horizontal="left" vertical="top" wrapText="1"/>
    </xf>
    <xf numFmtId="0" fontId="19" fillId="20" borderId="0" xfId="4" applyFont="1" applyFill="1" applyBorder="1" applyAlignment="1">
      <alignment vertical="top"/>
    </xf>
    <xf numFmtId="0" fontId="22" fillId="5" borderId="0" xfId="4" applyFont="1" applyFill="1" applyBorder="1"/>
    <xf numFmtId="0" fontId="21" fillId="21" borderId="1" xfId="4" applyFont="1" applyFill="1" applyBorder="1" applyAlignment="1">
      <alignment horizontal="center" vertical="center" wrapText="1"/>
    </xf>
    <xf numFmtId="0" fontId="21" fillId="21" borderId="1" xfId="4" applyFont="1" applyFill="1" applyBorder="1" applyAlignment="1">
      <alignment horizontal="center" vertical="center"/>
    </xf>
    <xf numFmtId="0" fontId="18" fillId="22" borderId="0" xfId="4" applyFont="1" applyFill="1" applyBorder="1" applyAlignment="1">
      <alignment horizontal="center" vertical="top"/>
    </xf>
    <xf numFmtId="14" fontId="18" fillId="22" borderId="0" xfId="4" applyNumberFormat="1" applyFont="1" applyFill="1" applyBorder="1" applyAlignment="1">
      <alignment horizontal="center" vertical="top"/>
    </xf>
    <xf numFmtId="0" fontId="20" fillId="5" borderId="0" xfId="4" applyFill="1"/>
    <xf numFmtId="0" fontId="6" fillId="5" borderId="1" xfId="0" applyFont="1" applyFill="1" applyBorder="1" applyAlignment="1" applyProtection="1">
      <alignment horizontal="center" vertical="center" wrapText="1"/>
    </xf>
    <xf numFmtId="0" fontId="6" fillId="5" borderId="5" xfId="0" applyFont="1" applyFill="1" applyBorder="1" applyAlignment="1" applyProtection="1">
      <alignment horizontal="center" vertical="center"/>
      <protection locked="0"/>
    </xf>
    <xf numFmtId="0" fontId="13" fillId="5" borderId="1" xfId="0" applyFont="1" applyFill="1" applyBorder="1" applyAlignment="1">
      <alignment vertical="top"/>
    </xf>
    <xf numFmtId="0" fontId="5" fillId="5" borderId="4" xfId="0" applyFont="1" applyFill="1" applyBorder="1" applyAlignment="1" applyProtection="1">
      <alignment vertical="center" wrapText="1"/>
    </xf>
    <xf numFmtId="0" fontId="14" fillId="6" borderId="2" xfId="0" applyFont="1" applyFill="1" applyBorder="1" applyAlignment="1">
      <alignment vertical="top"/>
    </xf>
    <xf numFmtId="0" fontId="14" fillId="6" borderId="2" xfId="0" applyFont="1" applyFill="1" applyBorder="1" applyAlignment="1">
      <alignment vertical="top" wrapText="1"/>
    </xf>
    <xf numFmtId="0" fontId="4" fillId="5" borderId="0" xfId="0" applyFont="1" applyFill="1" applyBorder="1" applyAlignment="1">
      <alignment horizontal="center" vertical="center" wrapText="1"/>
    </xf>
    <xf numFmtId="0" fontId="4" fillId="5" borderId="0" xfId="0" applyFont="1" applyFill="1" applyBorder="1" applyAlignment="1">
      <alignment horizontal="center" vertical="center"/>
    </xf>
    <xf numFmtId="0" fontId="13" fillId="5" borderId="0" xfId="0" applyFont="1" applyFill="1" applyBorder="1" applyAlignment="1">
      <alignment horizontal="left" vertical="top"/>
    </xf>
    <xf numFmtId="0" fontId="4" fillId="5" borderId="1" xfId="0" applyFont="1" applyFill="1" applyBorder="1" applyAlignment="1">
      <alignment vertical="top"/>
    </xf>
    <xf numFmtId="0" fontId="4" fillId="5" borderId="1" xfId="0" applyFont="1" applyFill="1" applyBorder="1" applyAlignment="1">
      <alignment horizontal="left" vertical="top"/>
    </xf>
    <xf numFmtId="0" fontId="13" fillId="5" borderId="0" xfId="0" applyFont="1" applyFill="1" applyAlignment="1">
      <alignment horizontal="centerContinuous"/>
    </xf>
    <xf numFmtId="0" fontId="4" fillId="5" borderId="0" xfId="0" applyFont="1" applyFill="1" applyBorder="1" applyAlignment="1">
      <alignment horizontal="center" vertical="top"/>
    </xf>
    <xf numFmtId="0" fontId="14" fillId="5" borderId="0" xfId="0" applyFont="1" applyFill="1" applyBorder="1" applyAlignment="1">
      <alignment horizontal="center" vertical="top"/>
    </xf>
    <xf numFmtId="0" fontId="14" fillId="5" borderId="0" xfId="0" applyFont="1" applyFill="1" applyBorder="1" applyAlignment="1">
      <alignment horizontal="left" vertical="top"/>
    </xf>
    <xf numFmtId="0" fontId="17" fillId="5" borderId="0" xfId="0" applyFont="1" applyFill="1" applyBorder="1" applyAlignment="1">
      <alignment horizontal="left" vertical="top"/>
    </xf>
    <xf numFmtId="0" fontId="4" fillId="5" borderId="0" xfId="0" applyFont="1" applyFill="1" applyBorder="1" applyAlignment="1">
      <alignment horizontal="left" vertical="top"/>
    </xf>
    <xf numFmtId="0" fontId="29" fillId="5" borderId="0" xfId="0" applyFont="1" applyFill="1" applyBorder="1" applyAlignment="1">
      <alignment horizontal="left" vertical="top"/>
    </xf>
    <xf numFmtId="0" fontId="4" fillId="5" borderId="0" xfId="0" applyFont="1" applyFill="1" applyAlignment="1">
      <alignment vertical="top"/>
    </xf>
    <xf numFmtId="0" fontId="13" fillId="5" borderId="0" xfId="0" applyFont="1" applyFill="1" applyBorder="1" applyAlignment="1">
      <alignment horizontal="center" vertical="top"/>
    </xf>
    <xf numFmtId="0" fontId="13" fillId="5" borderId="0" xfId="0" applyFont="1" applyFill="1" applyAlignment="1">
      <alignment wrapText="1"/>
    </xf>
    <xf numFmtId="0" fontId="7" fillId="8" borderId="0" xfId="0" applyFont="1" applyFill="1" applyAlignment="1">
      <alignment horizontal="centerContinuous" vertical="center" wrapText="1"/>
    </xf>
    <xf numFmtId="0" fontId="13" fillId="8" borderId="0" xfId="0" applyFont="1" applyFill="1" applyAlignment="1">
      <alignment horizontal="centerContinuous" wrapText="1"/>
    </xf>
    <xf numFmtId="0" fontId="13" fillId="5" borderId="0" xfId="0" applyFont="1" applyFill="1" applyAlignment="1">
      <alignment horizontal="centerContinuous" wrapText="1"/>
    </xf>
    <xf numFmtId="0" fontId="13" fillId="5" borderId="0" xfId="0" applyFont="1" applyFill="1" applyAlignment="1">
      <alignment vertical="top" wrapText="1"/>
    </xf>
    <xf numFmtId="0" fontId="4" fillId="5" borderId="0" xfId="0" applyFont="1" applyFill="1" applyBorder="1" applyAlignment="1">
      <alignment horizontal="center" vertical="top" wrapText="1"/>
    </xf>
    <xf numFmtId="0" fontId="14" fillId="5" borderId="0" xfId="0" applyFont="1" applyFill="1" applyBorder="1" applyAlignment="1">
      <alignment horizontal="center" vertical="top" wrapText="1"/>
    </xf>
    <xf numFmtId="0" fontId="14" fillId="6" borderId="1" xfId="0" applyFont="1" applyFill="1" applyBorder="1" applyAlignment="1">
      <alignment horizontal="center" vertical="top" wrapText="1"/>
    </xf>
    <xf numFmtId="0" fontId="14" fillId="5" borderId="0" xfId="0" applyFont="1" applyFill="1" applyBorder="1" applyAlignment="1">
      <alignment horizontal="left" vertical="top" wrapText="1"/>
    </xf>
    <xf numFmtId="0" fontId="17" fillId="5" borderId="0" xfId="0" applyFont="1" applyFill="1" applyBorder="1" applyAlignment="1">
      <alignment horizontal="left" vertical="top" wrapText="1"/>
    </xf>
    <xf numFmtId="0" fontId="4" fillId="5" borderId="0" xfId="0" applyFont="1" applyFill="1" applyBorder="1" applyAlignment="1">
      <alignment horizontal="left" vertical="top" wrapText="1"/>
    </xf>
    <xf numFmtId="0" fontId="4" fillId="5" borderId="2" xfId="0" applyFont="1" applyFill="1" applyBorder="1" applyAlignment="1">
      <alignment horizontal="left" vertical="top" wrapText="1"/>
    </xf>
    <xf numFmtId="0" fontId="17" fillId="5" borderId="3" xfId="0" applyFont="1" applyFill="1" applyBorder="1" applyAlignment="1">
      <alignment horizontal="left" vertical="top" wrapText="1"/>
    </xf>
    <xf numFmtId="0" fontId="17" fillId="5" borderId="4" xfId="0" applyFont="1" applyFill="1" applyBorder="1" applyAlignment="1">
      <alignment horizontal="left" vertical="top" wrapText="1"/>
    </xf>
    <xf numFmtId="0" fontId="29" fillId="5" borderId="0" xfId="0" applyFont="1" applyFill="1" applyBorder="1" applyAlignment="1">
      <alignment horizontal="left" vertical="top" wrapText="1"/>
    </xf>
    <xf numFmtId="0" fontId="4" fillId="5" borderId="1" xfId="0" applyFont="1" applyFill="1" applyBorder="1" applyAlignment="1">
      <alignment vertical="top" wrapText="1"/>
    </xf>
    <xf numFmtId="0" fontId="14" fillId="6" borderId="1" xfId="0" applyFont="1" applyFill="1" applyBorder="1" applyAlignment="1">
      <alignment vertical="top" wrapText="1"/>
    </xf>
    <xf numFmtId="0" fontId="3" fillId="9" borderId="26" xfId="0" applyFont="1" applyFill="1" applyBorder="1" applyAlignment="1">
      <alignment horizontal="center" vertical="center" wrapText="1"/>
    </xf>
    <xf numFmtId="0" fontId="11" fillId="9" borderId="71" xfId="0" applyFont="1" applyFill="1" applyBorder="1" applyAlignment="1">
      <alignment horizontal="center" vertical="center" textRotation="90" wrapText="1"/>
    </xf>
    <xf numFmtId="0" fontId="11" fillId="9" borderId="72" xfId="0" applyFont="1" applyFill="1" applyBorder="1" applyAlignment="1">
      <alignment horizontal="center" vertical="center" textRotation="90" wrapText="1"/>
    </xf>
    <xf numFmtId="0" fontId="0" fillId="5" borderId="41" xfId="0" applyFill="1" applyBorder="1"/>
    <xf numFmtId="0" fontId="0" fillId="5" borderId="53" xfId="0" applyFill="1" applyBorder="1"/>
    <xf numFmtId="0" fontId="0" fillId="13" borderId="1" xfId="0" applyFill="1" applyBorder="1" applyAlignment="1">
      <alignment horizontal="center"/>
    </xf>
    <xf numFmtId="0" fontId="4" fillId="5" borderId="4" xfId="0" applyFont="1" applyFill="1" applyBorder="1" applyAlignment="1">
      <alignment vertical="center" wrapText="1"/>
    </xf>
    <xf numFmtId="0" fontId="21" fillId="21" borderId="67" xfId="4" applyFont="1" applyFill="1" applyBorder="1" applyAlignment="1">
      <alignment horizontal="left" vertical="center" wrapText="1"/>
    </xf>
    <xf numFmtId="0" fontId="32" fillId="20" borderId="1" xfId="4" applyFont="1" applyFill="1" applyBorder="1" applyAlignment="1">
      <alignment horizontal="center" vertical="center" wrapText="1"/>
    </xf>
    <xf numFmtId="0" fontId="32" fillId="20" borderId="1" xfId="4" applyFont="1" applyFill="1" applyBorder="1" applyAlignment="1">
      <alignment horizontal="center" vertical="center"/>
    </xf>
    <xf numFmtId="0" fontId="32" fillId="20" borderId="1" xfId="4" applyFont="1" applyFill="1" applyBorder="1" applyAlignment="1">
      <alignment horizontal="center" vertical="top" wrapText="1"/>
    </xf>
    <xf numFmtId="0" fontId="32" fillId="20" borderId="1" xfId="4" applyFont="1" applyFill="1" applyBorder="1" applyAlignment="1">
      <alignment vertical="top" wrapText="1"/>
    </xf>
    <xf numFmtId="0" fontId="32" fillId="20" borderId="1" xfId="4" applyFont="1" applyFill="1" applyBorder="1" applyAlignment="1">
      <alignment vertical="top"/>
    </xf>
    <xf numFmtId="0" fontId="4" fillId="0" borderId="1" xfId="0" applyFont="1" applyFill="1" applyBorder="1" applyAlignment="1">
      <alignment horizontal="center" vertical="center"/>
    </xf>
    <xf numFmtId="0" fontId="8" fillId="6" borderId="1" xfId="0" applyFont="1" applyFill="1" applyBorder="1" applyAlignment="1">
      <alignment vertical="top"/>
    </xf>
    <xf numFmtId="0" fontId="14" fillId="6" borderId="3" xfId="0" applyFont="1" applyFill="1" applyBorder="1" applyAlignment="1">
      <alignment vertical="top"/>
    </xf>
    <xf numFmtId="0" fontId="14" fillId="6" borderId="4" xfId="0" applyFont="1" applyFill="1" applyBorder="1" applyAlignment="1">
      <alignment vertical="top"/>
    </xf>
    <xf numFmtId="0" fontId="31" fillId="0" borderId="0" xfId="0" applyFont="1" applyBorder="1" applyAlignment="1">
      <alignment horizontal="left"/>
    </xf>
    <xf numFmtId="0" fontId="14" fillId="5" borderId="0" xfId="0" applyFont="1" applyFill="1" applyBorder="1" applyAlignment="1">
      <alignment vertical="top"/>
    </xf>
    <xf numFmtId="0" fontId="5" fillId="0" borderId="1" xfId="0" applyFont="1" applyFill="1" applyBorder="1" applyAlignment="1" applyProtection="1">
      <alignment vertical="top" wrapText="1"/>
    </xf>
    <xf numFmtId="0" fontId="13" fillId="5" borderId="0" xfId="0" applyFont="1" applyFill="1" applyAlignment="1">
      <alignment horizontal="left" vertical="top"/>
    </xf>
    <xf numFmtId="0" fontId="2" fillId="14" borderId="1" xfId="0" applyFont="1" applyFill="1" applyBorder="1" applyAlignment="1">
      <alignment horizontal="center"/>
    </xf>
    <xf numFmtId="0" fontId="3" fillId="12" borderId="1" xfId="0" applyFont="1" applyFill="1" applyBorder="1" applyAlignment="1">
      <alignment horizontal="center"/>
    </xf>
    <xf numFmtId="0" fontId="4" fillId="5" borderId="1" xfId="0" applyFont="1" applyFill="1" applyBorder="1" applyAlignment="1">
      <alignment horizontal="center" vertical="center"/>
    </xf>
    <xf numFmtId="0" fontId="4" fillId="5" borderId="3" xfId="0" applyFont="1" applyFill="1" applyBorder="1" applyAlignment="1">
      <alignment vertical="center" wrapText="1"/>
    </xf>
    <xf numFmtId="0" fontId="0" fillId="0" borderId="0" xfId="0"/>
    <xf numFmtId="0" fontId="7" fillId="8" borderId="0" xfId="0" applyFont="1" applyFill="1" applyAlignment="1">
      <alignment horizontal="centerContinuous" vertical="center"/>
    </xf>
    <xf numFmtId="0" fontId="13" fillId="8" borderId="0" xfId="0" applyFont="1" applyFill="1" applyAlignment="1">
      <alignment horizontal="centerContinuous"/>
    </xf>
    <xf numFmtId="0" fontId="14" fillId="6" borderId="2" xfId="0" applyFont="1" applyFill="1" applyBorder="1" applyAlignment="1">
      <alignment vertical="top"/>
    </xf>
    <xf numFmtId="0" fontId="13" fillId="5" borderId="1" xfId="0" applyFont="1" applyFill="1" applyBorder="1" applyAlignment="1">
      <alignment vertical="top"/>
    </xf>
    <xf numFmtId="0" fontId="14" fillId="6" borderId="2" xfId="0" applyFont="1" applyFill="1" applyBorder="1" applyAlignment="1">
      <alignment vertical="top" wrapText="1"/>
    </xf>
    <xf numFmtId="0" fontId="4" fillId="5" borderId="0" xfId="0" applyFont="1" applyFill="1" applyBorder="1" applyAlignment="1">
      <alignment horizontal="center" vertical="center"/>
    </xf>
    <xf numFmtId="0" fontId="14" fillId="6" borderId="1" xfId="0" applyFont="1" applyFill="1" applyBorder="1" applyAlignment="1">
      <alignment horizontal="center" vertical="top"/>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0" xfId="0" applyFont="1" applyFill="1" applyBorder="1" applyAlignment="1">
      <alignment horizontal="center" vertical="center" wrapText="1"/>
    </xf>
    <xf numFmtId="0" fontId="4" fillId="5" borderId="1" xfId="0" applyFont="1" applyFill="1" applyBorder="1" applyAlignment="1">
      <alignment vertical="top"/>
    </xf>
    <xf numFmtId="0" fontId="13" fillId="5" borderId="0" xfId="0" applyFont="1" applyFill="1" applyBorder="1" applyAlignment="1">
      <alignment horizontal="left" vertical="top"/>
    </xf>
    <xf numFmtId="0" fontId="13" fillId="5" borderId="0" xfId="0" applyFont="1" applyFill="1" applyBorder="1" applyAlignment="1">
      <alignment horizontal="left" vertical="top" wrapText="1"/>
    </xf>
    <xf numFmtId="0" fontId="14" fillId="6" borderId="1" xfId="0" applyFont="1" applyFill="1" applyBorder="1" applyAlignment="1">
      <alignment vertical="top"/>
    </xf>
    <xf numFmtId="0" fontId="17" fillId="5" borderId="1" xfId="0" applyFont="1" applyFill="1" applyBorder="1" applyAlignment="1">
      <alignment vertical="top"/>
    </xf>
    <xf numFmtId="14" fontId="4" fillId="5" borderId="69" xfId="0" applyNumberFormat="1" applyFont="1" applyFill="1" applyBorder="1" applyAlignment="1">
      <alignment horizontal="center" vertical="top"/>
    </xf>
    <xf numFmtId="14" fontId="4" fillId="5" borderId="70" xfId="0" applyNumberFormat="1" applyFont="1" applyFill="1" applyBorder="1" applyAlignment="1">
      <alignment horizontal="center" vertical="top"/>
    </xf>
    <xf numFmtId="0" fontId="14" fillId="6" borderId="2" xfId="0" applyFont="1" applyFill="1" applyBorder="1" applyAlignment="1">
      <alignment horizontal="left" vertical="top"/>
    </xf>
    <xf numFmtId="0" fontId="14" fillId="6" borderId="3" xfId="0" applyFont="1" applyFill="1" applyBorder="1" applyAlignment="1">
      <alignment horizontal="left" vertical="top"/>
    </xf>
    <xf numFmtId="0" fontId="14" fillId="6" borderId="4" xfId="0" applyFont="1" applyFill="1" applyBorder="1" applyAlignment="1">
      <alignment horizontal="left" vertical="top"/>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4" fillId="5" borderId="1" xfId="0" applyFont="1" applyFill="1" applyBorder="1" applyAlignment="1">
      <alignment horizontal="left" vertical="top"/>
    </xf>
    <xf numFmtId="0" fontId="13" fillId="5" borderId="3" xfId="0" applyFont="1" applyFill="1" applyBorder="1" applyAlignment="1">
      <alignment horizontal="left" vertical="top"/>
    </xf>
    <xf numFmtId="0" fontId="13" fillId="5" borderId="4" xfId="0" applyFont="1" applyFill="1" applyBorder="1" applyAlignment="1">
      <alignment horizontal="left" vertical="top"/>
    </xf>
    <xf numFmtId="0" fontId="13" fillId="5" borderId="2" xfId="0" applyFont="1" applyFill="1" applyBorder="1" applyAlignment="1">
      <alignment horizontal="left" vertical="top" wrapText="1"/>
    </xf>
    <xf numFmtId="0" fontId="13" fillId="5" borderId="2" xfId="0" applyFont="1" applyFill="1" applyBorder="1" applyAlignment="1">
      <alignment horizontal="center" vertical="top"/>
    </xf>
    <xf numFmtId="0" fontId="13" fillId="5" borderId="3" xfId="0" applyFont="1" applyFill="1" applyBorder="1" applyAlignment="1">
      <alignment horizontal="center" vertical="top"/>
    </xf>
    <xf numFmtId="0" fontId="13" fillId="5" borderId="4" xfId="0" applyFont="1" applyFill="1" applyBorder="1" applyAlignment="1">
      <alignment horizontal="center" vertical="top"/>
    </xf>
    <xf numFmtId="0" fontId="31" fillId="0" borderId="0" xfId="0" applyFont="1" applyBorder="1"/>
    <xf numFmtId="0" fontId="5" fillId="5" borderId="1" xfId="0" applyFont="1" applyFill="1" applyBorder="1" applyAlignment="1">
      <alignment horizontal="center" vertical="center" wrapText="1"/>
    </xf>
    <xf numFmtId="0" fontId="4" fillId="5" borderId="0" xfId="0" applyFont="1" applyFill="1" applyBorder="1" applyAlignment="1">
      <alignment horizontal="left" wrapText="1"/>
    </xf>
    <xf numFmtId="0" fontId="13" fillId="5" borderId="0" xfId="0" applyFont="1" applyFill="1" applyBorder="1" applyAlignment="1">
      <alignment horizontal="left" vertical="top"/>
    </xf>
    <xf numFmtId="0" fontId="13" fillId="5" borderId="0" xfId="0" applyFont="1" applyFill="1" applyAlignment="1">
      <alignment vertical="top"/>
    </xf>
    <xf numFmtId="0" fontId="13" fillId="5" borderId="1" xfId="0" applyFont="1" applyFill="1" applyBorder="1" applyAlignment="1">
      <alignment vertical="top"/>
    </xf>
    <xf numFmtId="0" fontId="17" fillId="5" borderId="1" xfId="0" applyFont="1" applyFill="1" applyBorder="1" applyAlignment="1">
      <alignment vertical="top"/>
    </xf>
    <xf numFmtId="0" fontId="14" fillId="6" borderId="1" xfId="0" applyFont="1" applyFill="1" applyBorder="1" applyAlignment="1">
      <alignment vertical="top"/>
    </xf>
    <xf numFmtId="0" fontId="4" fillId="5" borderId="1" xfId="0" applyFont="1" applyFill="1" applyBorder="1" applyAlignment="1">
      <alignment vertical="top"/>
    </xf>
    <xf numFmtId="0" fontId="13" fillId="5" borderId="0" xfId="0" applyFont="1" applyFill="1" applyBorder="1" applyAlignment="1">
      <alignment horizontal="left" vertical="top" wrapText="1"/>
    </xf>
    <xf numFmtId="0" fontId="4" fillId="5" borderId="0" xfId="0" applyFont="1" applyFill="1" applyBorder="1" applyAlignment="1">
      <alignment horizontal="center" vertical="center"/>
    </xf>
    <xf numFmtId="0" fontId="4" fillId="5" borderId="0"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4" fillId="6" borderId="1" xfId="0" applyFont="1" applyFill="1" applyBorder="1" applyAlignment="1">
      <alignment horizontal="center" vertical="top"/>
    </xf>
    <xf numFmtId="0" fontId="14" fillId="6" borderId="2" xfId="0" applyFont="1" applyFill="1" applyBorder="1" applyAlignment="1">
      <alignment vertical="top"/>
    </xf>
    <xf numFmtId="0" fontId="14" fillId="6" borderId="2" xfId="0" applyFont="1" applyFill="1" applyBorder="1" applyAlignment="1">
      <alignment vertical="top" wrapText="1"/>
    </xf>
    <xf numFmtId="0" fontId="13" fillId="8" borderId="0" xfId="0" applyFont="1" applyFill="1" applyAlignment="1">
      <alignment horizontal="centerContinuous"/>
    </xf>
    <xf numFmtId="0" fontId="7" fillId="8" borderId="0" xfId="0" applyFont="1" applyFill="1" applyAlignment="1">
      <alignment horizontal="centerContinuous" vertical="center"/>
    </xf>
    <xf numFmtId="0" fontId="4" fillId="5" borderId="2" xfId="0" applyFont="1" applyFill="1" applyBorder="1" applyAlignment="1">
      <alignment vertical="top"/>
    </xf>
    <xf numFmtId="0" fontId="4" fillId="5" borderId="3" xfId="0" applyFont="1" applyFill="1" applyBorder="1" applyAlignment="1">
      <alignment vertical="top"/>
    </xf>
    <xf numFmtId="0" fontId="4" fillId="5" borderId="4" xfId="0" applyFont="1" applyFill="1" applyBorder="1" applyAlignment="1">
      <alignment vertical="top"/>
    </xf>
    <xf numFmtId="0" fontId="4" fillId="0" borderId="1" xfId="0" applyFont="1" applyBorder="1" applyAlignment="1">
      <alignment horizontal="justify" vertical="center"/>
    </xf>
    <xf numFmtId="0" fontId="13" fillId="5" borderId="0" xfId="0" applyFont="1" applyFill="1" applyBorder="1" applyAlignment="1">
      <alignment horizontal="left" vertical="top"/>
    </xf>
    <xf numFmtId="0" fontId="13" fillId="5" borderId="0" xfId="0" applyFont="1" applyFill="1" applyAlignment="1">
      <alignment vertical="top"/>
    </xf>
    <xf numFmtId="0" fontId="13" fillId="5" borderId="1" xfId="0" applyFont="1" applyFill="1" applyBorder="1" applyAlignment="1">
      <alignment vertical="top"/>
    </xf>
    <xf numFmtId="0" fontId="17" fillId="5" borderId="1" xfId="0" applyFont="1" applyFill="1" applyBorder="1" applyAlignment="1">
      <alignment vertical="top"/>
    </xf>
    <xf numFmtId="0" fontId="14" fillId="6" borderId="1" xfId="0" applyFont="1" applyFill="1" applyBorder="1" applyAlignment="1">
      <alignment vertical="top"/>
    </xf>
    <xf numFmtId="0" fontId="4" fillId="5" borderId="1" xfId="0" applyFont="1" applyFill="1" applyBorder="1" applyAlignment="1">
      <alignment vertical="top"/>
    </xf>
    <xf numFmtId="0" fontId="4" fillId="5" borderId="1" xfId="0" applyFont="1" applyFill="1" applyBorder="1" applyAlignment="1">
      <alignment vertical="top" wrapText="1"/>
    </xf>
    <xf numFmtId="0" fontId="13" fillId="5" borderId="0" xfId="0" applyFont="1" applyFill="1" applyBorder="1" applyAlignment="1">
      <alignment horizontal="left" vertical="top" wrapText="1"/>
    </xf>
    <xf numFmtId="0" fontId="4" fillId="5" borderId="0" xfId="0" applyFont="1" applyFill="1" applyBorder="1" applyAlignment="1">
      <alignment horizontal="center" vertical="center"/>
    </xf>
    <xf numFmtId="0" fontId="4" fillId="5" borderId="0"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4" fillId="6" borderId="1" xfId="0" applyFont="1" applyFill="1" applyBorder="1" applyAlignment="1">
      <alignment horizontal="center" vertical="top"/>
    </xf>
    <xf numFmtId="0" fontId="14" fillId="6" borderId="2" xfId="0" applyFont="1" applyFill="1" applyBorder="1" applyAlignment="1">
      <alignment vertical="top"/>
    </xf>
    <xf numFmtId="0" fontId="14" fillId="6" borderId="2" xfId="0" applyFont="1" applyFill="1" applyBorder="1" applyAlignment="1">
      <alignment vertical="top" wrapText="1"/>
    </xf>
    <xf numFmtId="0" fontId="13" fillId="8" borderId="0" xfId="0" applyFont="1" applyFill="1" applyAlignment="1">
      <alignment horizontal="centerContinuous"/>
    </xf>
    <xf numFmtId="0" fontId="7" fillId="8" borderId="0" xfId="0" applyFont="1" applyFill="1" applyAlignment="1">
      <alignment horizontal="centerContinuous" vertical="center"/>
    </xf>
    <xf numFmtId="0" fontId="5" fillId="6" borderId="1" xfId="0" applyFont="1" applyFill="1" applyBorder="1" applyAlignment="1" applyProtection="1">
      <alignment horizontal="center" vertical="center"/>
      <protection locked="0"/>
    </xf>
    <xf numFmtId="0" fontId="37" fillId="24" borderId="5" xfId="0" applyFont="1" applyFill="1" applyBorder="1" applyAlignment="1">
      <alignment horizontal="center" vertical="center"/>
    </xf>
    <xf numFmtId="0" fontId="38" fillId="24" borderId="6" xfId="0" applyFont="1" applyFill="1" applyBorder="1" applyAlignment="1">
      <alignment horizontal="center" vertical="center" wrapText="1"/>
    </xf>
    <xf numFmtId="0" fontId="37" fillId="24" borderId="6" xfId="0" applyFont="1" applyFill="1" applyBorder="1" applyAlignment="1">
      <alignment horizontal="center" vertical="center"/>
    </xf>
    <xf numFmtId="0" fontId="5" fillId="5" borderId="1" xfId="0" applyFont="1" applyFill="1" applyBorder="1" applyAlignment="1" applyProtection="1">
      <alignment horizontal="center" vertical="center" wrapText="1"/>
    </xf>
    <xf numFmtId="0" fontId="2" fillId="11" borderId="5" xfId="0" applyFont="1" applyFill="1" applyBorder="1" applyAlignment="1" applyProtection="1">
      <alignment horizontal="center"/>
      <protection locked="0"/>
    </xf>
    <xf numFmtId="0" fontId="0" fillId="5" borderId="0" xfId="0" applyFill="1" applyAlignment="1">
      <alignment horizontal="center"/>
    </xf>
    <xf numFmtId="0" fontId="6" fillId="11" borderId="5" xfId="0" applyFont="1" applyFill="1" applyBorder="1" applyAlignment="1" applyProtection="1">
      <alignment horizontal="center" vertical="center"/>
      <protection locked="0"/>
    </xf>
    <xf numFmtId="0" fontId="5" fillId="5" borderId="0" xfId="0" applyFont="1" applyFill="1" applyAlignment="1">
      <alignment horizontal="center" vertical="center"/>
    </xf>
    <xf numFmtId="0" fontId="2" fillId="15" borderId="14" xfId="0" applyFont="1" applyFill="1" applyBorder="1" applyAlignment="1" applyProtection="1">
      <alignment horizontal="center" vertical="center"/>
      <protection locked="0"/>
    </xf>
    <xf numFmtId="0" fontId="35" fillId="5" borderId="0" xfId="5" applyFill="1"/>
    <xf numFmtId="0" fontId="6" fillId="5" borderId="18" xfId="5" applyFont="1" applyFill="1" applyBorder="1" applyAlignment="1" applyProtection="1">
      <alignment vertical="top" wrapText="1"/>
    </xf>
    <xf numFmtId="0" fontId="6" fillId="5" borderId="4" xfId="5" applyFont="1" applyFill="1" applyBorder="1" applyProtection="1">
      <protection locked="0"/>
    </xf>
    <xf numFmtId="0" fontId="6" fillId="5" borderId="18" xfId="5" applyFont="1" applyFill="1" applyBorder="1" applyAlignment="1" applyProtection="1">
      <alignment vertical="center" wrapText="1"/>
    </xf>
    <xf numFmtId="0" fontId="6" fillId="5" borderId="4" xfId="5" applyFont="1" applyFill="1" applyBorder="1" applyAlignment="1" applyProtection="1">
      <alignment vertical="center" wrapText="1"/>
    </xf>
    <xf numFmtId="0" fontId="6" fillId="5" borderId="1" xfId="5" applyFont="1" applyFill="1" applyBorder="1" applyAlignment="1" applyProtection="1">
      <alignment vertical="center" wrapText="1"/>
    </xf>
    <xf numFmtId="0" fontId="6" fillId="5" borderId="12" xfId="5" applyFont="1" applyFill="1" applyBorder="1" applyAlignment="1" applyProtection="1">
      <alignment vertical="top" wrapText="1"/>
    </xf>
    <xf numFmtId="0" fontId="6" fillId="5" borderId="4" xfId="5" applyFont="1" applyFill="1" applyBorder="1" applyAlignment="1" applyProtection="1">
      <alignment vertical="top" wrapText="1"/>
    </xf>
    <xf numFmtId="0" fontId="6" fillId="5" borderId="1" xfId="5" applyFont="1" applyFill="1" applyBorder="1" applyAlignment="1" applyProtection="1">
      <alignment vertical="top" wrapText="1"/>
    </xf>
    <xf numFmtId="0" fontId="6" fillId="5" borderId="6" xfId="5" applyFont="1" applyFill="1" applyBorder="1" applyAlignment="1" applyProtection="1">
      <alignment vertical="center" wrapText="1"/>
    </xf>
    <xf numFmtId="0" fontId="6" fillId="5" borderId="1" xfId="5" applyFont="1" applyFill="1" applyBorder="1" applyProtection="1">
      <protection locked="0"/>
    </xf>
    <xf numFmtId="0" fontId="6" fillId="0" borderId="56" xfId="5" applyFont="1" applyFill="1" applyBorder="1" applyAlignment="1" applyProtection="1">
      <alignment vertical="top" wrapText="1"/>
    </xf>
    <xf numFmtId="0" fontId="39" fillId="5" borderId="0" xfId="0" applyFont="1" applyFill="1"/>
    <xf numFmtId="0" fontId="40" fillId="5" borderId="0" xfId="0" applyFont="1" applyFill="1" applyBorder="1"/>
    <xf numFmtId="0" fontId="41" fillId="5" borderId="0" xfId="0" applyFont="1" applyFill="1" applyBorder="1"/>
    <xf numFmtId="0" fontId="2" fillId="5" borderId="0" xfId="0" applyFont="1" applyFill="1" applyBorder="1" applyAlignment="1" applyProtection="1">
      <alignment horizontal="centerContinuous" vertical="center" wrapText="1"/>
    </xf>
    <xf numFmtId="1" fontId="2" fillId="5" borderId="0" xfId="0" applyNumberFormat="1" applyFont="1" applyFill="1" applyBorder="1" applyAlignment="1" applyProtection="1">
      <alignment horizontal="center"/>
      <protection locked="0"/>
    </xf>
    <xf numFmtId="0" fontId="2" fillId="5" borderId="0" xfId="0" applyFont="1" applyFill="1" applyBorder="1" applyAlignment="1" applyProtection="1">
      <alignment horizontal="center"/>
      <protection locked="0"/>
    </xf>
    <xf numFmtId="0" fontId="2" fillId="5" borderId="0" xfId="0" applyFont="1" applyFill="1" applyBorder="1" applyAlignment="1" applyProtection="1">
      <alignment horizontal="center" vertical="center"/>
      <protection locked="0"/>
    </xf>
    <xf numFmtId="0" fontId="43" fillId="25" borderId="0" xfId="6" applyAlignment="1">
      <alignment horizontal="center" vertical="center" wrapText="1"/>
    </xf>
    <xf numFmtId="166" fontId="42" fillId="5" borderId="0" xfId="0" applyNumberFormat="1" applyFont="1" applyFill="1" applyAlignment="1">
      <alignment horizontal="center"/>
    </xf>
    <xf numFmtId="0" fontId="13" fillId="5" borderId="63" xfId="0" applyFont="1" applyFill="1" applyBorder="1" applyAlignment="1">
      <alignment horizontal="center" vertical="top" wrapText="1"/>
    </xf>
    <xf numFmtId="0" fontId="13" fillId="5" borderId="13" xfId="0" applyFont="1" applyFill="1" applyBorder="1" applyAlignment="1">
      <alignment horizontal="center" vertical="top" wrapText="1"/>
    </xf>
    <xf numFmtId="0" fontId="13" fillId="5" borderId="62" xfId="0" applyFont="1" applyFill="1" applyBorder="1" applyAlignment="1">
      <alignment horizontal="center" vertical="top" wrapText="1"/>
    </xf>
    <xf numFmtId="0" fontId="13" fillId="5" borderId="61" xfId="0" applyFont="1" applyFill="1" applyBorder="1" applyAlignment="1">
      <alignment horizontal="center" vertical="top" wrapText="1"/>
    </xf>
    <xf numFmtId="0" fontId="13" fillId="5" borderId="0" xfId="0" applyFont="1" applyFill="1" applyBorder="1" applyAlignment="1">
      <alignment horizontal="center" vertical="top" wrapText="1"/>
    </xf>
    <xf numFmtId="0" fontId="13" fillId="5" borderId="60" xfId="0" applyFont="1" applyFill="1" applyBorder="1" applyAlignment="1">
      <alignment horizontal="center" vertical="top" wrapText="1"/>
    </xf>
    <xf numFmtId="0" fontId="13" fillId="5" borderId="59" xfId="0" applyFont="1" applyFill="1" applyBorder="1" applyAlignment="1">
      <alignment horizontal="center" vertical="top" wrapText="1"/>
    </xf>
    <xf numFmtId="0" fontId="13" fillId="5" borderId="58" xfId="0" applyFont="1" applyFill="1" applyBorder="1" applyAlignment="1">
      <alignment horizontal="center" vertical="top" wrapText="1"/>
    </xf>
    <xf numFmtId="0" fontId="13" fillId="5" borderId="57" xfId="0" applyFont="1" applyFill="1" applyBorder="1" applyAlignment="1">
      <alignment horizontal="center" vertical="top" wrapText="1"/>
    </xf>
    <xf numFmtId="0" fontId="6" fillId="5" borderId="61" xfId="0" applyFont="1" applyFill="1" applyBorder="1" applyAlignment="1">
      <alignment horizontal="left" vertical="top" wrapText="1"/>
    </xf>
    <xf numFmtId="0" fontId="6" fillId="5" borderId="0" xfId="0" applyFont="1" applyFill="1" applyBorder="1" applyAlignment="1">
      <alignment horizontal="left" vertical="top" wrapText="1"/>
    </xf>
    <xf numFmtId="0" fontId="6" fillId="5" borderId="60" xfId="0" applyFont="1" applyFill="1" applyBorder="1" applyAlignment="1">
      <alignment horizontal="left" vertical="top" wrapText="1"/>
    </xf>
    <xf numFmtId="0" fontId="5" fillId="5" borderId="61" xfId="0" applyFont="1" applyFill="1" applyBorder="1" applyAlignment="1">
      <alignment horizontal="left" vertical="top" wrapText="1"/>
    </xf>
    <xf numFmtId="0" fontId="5" fillId="5" borderId="0" xfId="0" applyFont="1" applyFill="1" applyBorder="1" applyAlignment="1">
      <alignment horizontal="left" vertical="top" wrapText="1"/>
    </xf>
    <xf numFmtId="0" fontId="5" fillId="5" borderId="60" xfId="0" applyFont="1" applyFill="1" applyBorder="1" applyAlignment="1">
      <alignment horizontal="left" vertical="top" wrapText="1"/>
    </xf>
    <xf numFmtId="0" fontId="6" fillId="19" borderId="0" xfId="0" applyFont="1" applyFill="1" applyAlignment="1">
      <alignment horizontal="left"/>
    </xf>
    <xf numFmtId="0" fontId="5" fillId="5" borderId="59" xfId="0" applyFont="1" applyFill="1" applyBorder="1" applyAlignment="1">
      <alignment horizontal="left" vertical="top" wrapText="1"/>
    </xf>
    <xf numFmtId="0" fontId="5" fillId="5" borderId="58" xfId="0" applyFont="1" applyFill="1" applyBorder="1" applyAlignment="1">
      <alignment horizontal="left" vertical="top" wrapText="1"/>
    </xf>
    <xf numFmtId="0" fontId="5" fillId="5" borderId="57" xfId="0" applyFont="1" applyFill="1" applyBorder="1" applyAlignment="1">
      <alignment horizontal="left" vertical="top" wrapText="1"/>
    </xf>
    <xf numFmtId="0" fontId="6" fillId="11" borderId="0" xfId="0" applyFont="1" applyFill="1" applyAlignment="1">
      <alignment horizontal="left"/>
    </xf>
    <xf numFmtId="0" fontId="6" fillId="15" borderId="0" xfId="0" applyFont="1" applyFill="1" applyAlignment="1">
      <alignment horizontal="left"/>
    </xf>
    <xf numFmtId="0" fontId="6" fillId="12" borderId="1" xfId="0" applyFont="1" applyFill="1" applyBorder="1" applyAlignment="1">
      <alignment horizontal="center" vertical="center"/>
    </xf>
    <xf numFmtId="0" fontId="6" fillId="12" borderId="5" xfId="0" applyFont="1" applyFill="1" applyBorder="1" applyAlignment="1">
      <alignment horizontal="center" vertical="center"/>
    </xf>
    <xf numFmtId="0" fontId="6" fillId="12" borderId="6" xfId="0" applyFont="1" applyFill="1" applyBorder="1" applyAlignment="1">
      <alignment horizontal="center" vertical="center"/>
    </xf>
    <xf numFmtId="0" fontId="37" fillId="24" borderId="1" xfId="0" applyFont="1" applyFill="1" applyBorder="1" applyAlignment="1">
      <alignment horizontal="center" vertical="center"/>
    </xf>
    <xf numFmtId="0" fontId="37" fillId="24" borderId="5" xfId="0" applyFont="1" applyFill="1" applyBorder="1" applyAlignment="1">
      <alignment horizontal="center" vertical="center"/>
    </xf>
    <xf numFmtId="0" fontId="37" fillId="24" borderId="6" xfId="0" applyFont="1" applyFill="1" applyBorder="1" applyAlignment="1">
      <alignment horizontal="center" vertical="center"/>
    </xf>
    <xf numFmtId="0" fontId="6" fillId="12" borderId="17" xfId="0" applyFont="1" applyFill="1" applyBorder="1" applyAlignment="1">
      <alignment horizontal="center"/>
    </xf>
    <xf numFmtId="0" fontId="6" fillId="12" borderId="0" xfId="0" applyFont="1" applyFill="1" applyBorder="1" applyAlignment="1">
      <alignment horizontal="center"/>
    </xf>
    <xf numFmtId="0" fontId="6" fillId="7" borderId="7" xfId="0" applyFont="1" applyFill="1" applyBorder="1" applyAlignment="1">
      <alignment horizontal="center" vertical="center"/>
    </xf>
    <xf numFmtId="0" fontId="6" fillId="7" borderId="17" xfId="0" applyFont="1" applyFill="1" applyBorder="1" applyAlignment="1">
      <alignment horizontal="center" vertical="center"/>
    </xf>
    <xf numFmtId="0" fontId="6" fillId="7" borderId="9" xfId="0" applyFont="1" applyFill="1" applyBorder="1" applyAlignment="1">
      <alignment horizontal="center" vertical="center"/>
    </xf>
    <xf numFmtId="0" fontId="2" fillId="10" borderId="1" xfId="0" applyFont="1" applyFill="1" applyBorder="1" applyAlignment="1" applyProtection="1">
      <alignment horizontal="center" vertical="center" wrapText="1"/>
      <protection locked="0"/>
    </xf>
    <xf numFmtId="0" fontId="2" fillId="11" borderId="2" xfId="0" applyFont="1" applyFill="1" applyBorder="1" applyAlignment="1" applyProtection="1">
      <alignment horizontal="center"/>
      <protection locked="0"/>
    </xf>
    <xf numFmtId="0" fontId="2" fillId="11" borderId="3" xfId="0" applyFont="1" applyFill="1" applyBorder="1" applyAlignment="1" applyProtection="1">
      <alignment horizontal="center"/>
      <protection locked="0"/>
    </xf>
    <xf numFmtId="0" fontId="2" fillId="11" borderId="4" xfId="0" applyFont="1" applyFill="1" applyBorder="1" applyAlignment="1" applyProtection="1">
      <alignment horizontal="center"/>
      <protection locked="0"/>
    </xf>
    <xf numFmtId="0" fontId="3" fillId="12" borderId="1" xfId="0" applyFont="1" applyFill="1" applyBorder="1" applyAlignment="1">
      <alignment horizontal="center" vertical="center"/>
    </xf>
    <xf numFmtId="1" fontId="5" fillId="6" borderId="5" xfId="0" applyNumberFormat="1"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1" fontId="5" fillId="6" borderId="1" xfId="0" applyNumberFormat="1"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protection locked="0"/>
    </xf>
    <xf numFmtId="0" fontId="6" fillId="5" borderId="8" xfId="0" applyFont="1" applyFill="1" applyBorder="1" applyAlignment="1" applyProtection="1">
      <alignment horizontal="center" vertical="center"/>
      <protection locked="0"/>
    </xf>
    <xf numFmtId="0" fontId="5" fillId="6" borderId="6" xfId="0" applyFont="1" applyFill="1" applyBorder="1" applyAlignment="1" applyProtection="1">
      <alignment horizontal="center" vertical="center"/>
      <protection locked="0"/>
    </xf>
    <xf numFmtId="1" fontId="5" fillId="6" borderId="7" xfId="0" applyNumberFormat="1" applyFont="1" applyFill="1" applyBorder="1" applyAlignment="1" applyProtection="1">
      <alignment horizontal="center" vertical="center"/>
      <protection locked="0"/>
    </xf>
    <xf numFmtId="0" fontId="5" fillId="6" borderId="17" xfId="0" applyFont="1" applyFill="1" applyBorder="1" applyAlignment="1" applyProtection="1">
      <alignment horizontal="center" vertical="center"/>
      <protection locked="0"/>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5" fillId="6" borderId="5" xfId="0" applyFont="1" applyFill="1" applyBorder="1" applyAlignment="1" applyProtection="1">
      <alignment horizontal="center" vertical="center"/>
      <protection locked="0"/>
    </xf>
    <xf numFmtId="1" fontId="5" fillId="6" borderId="6" xfId="0" applyNumberFormat="1" applyFont="1" applyFill="1" applyBorder="1" applyAlignment="1" applyProtection="1">
      <alignment horizontal="center" vertical="center"/>
      <protection locked="0"/>
    </xf>
    <xf numFmtId="1" fontId="5" fillId="6" borderId="8" xfId="0" applyNumberFormat="1" applyFont="1" applyFill="1" applyBorder="1" applyAlignment="1" applyProtection="1">
      <alignment horizontal="center" vertical="center"/>
      <protection locked="0"/>
    </xf>
    <xf numFmtId="0" fontId="6" fillId="5" borderId="8" xfId="0" applyFont="1" applyFill="1" applyBorder="1" applyAlignment="1" applyProtection="1">
      <alignment horizontal="center" vertical="center" wrapText="1"/>
    </xf>
    <xf numFmtId="0" fontId="3" fillId="16" borderId="1" xfId="0" applyFont="1" applyFill="1" applyBorder="1" applyAlignment="1">
      <alignment horizontal="center" vertical="center"/>
    </xf>
    <xf numFmtId="0" fontId="3" fillId="16" borderId="6" xfId="0" applyFont="1" applyFill="1" applyBorder="1" applyAlignment="1">
      <alignment horizontal="center" vertical="center"/>
    </xf>
    <xf numFmtId="0" fontId="6" fillId="5" borderId="1" xfId="0" applyFont="1" applyFill="1" applyBorder="1" applyAlignment="1" applyProtection="1">
      <alignment horizontal="center" vertical="center" wrapText="1"/>
    </xf>
    <xf numFmtId="0" fontId="6" fillId="5" borderId="5" xfId="0" applyFont="1" applyFill="1" applyBorder="1" applyAlignment="1" applyProtection="1">
      <alignment horizontal="center" vertical="center" wrapText="1"/>
    </xf>
    <xf numFmtId="0" fontId="6" fillId="5" borderId="6" xfId="0" applyFont="1" applyFill="1" applyBorder="1" applyAlignment="1" applyProtection="1">
      <alignment horizontal="center" vertical="center" wrapText="1"/>
    </xf>
    <xf numFmtId="0" fontId="3" fillId="12" borderId="8" xfId="0" applyFont="1" applyFill="1" applyBorder="1" applyAlignment="1">
      <alignment horizontal="center" vertical="center"/>
    </xf>
    <xf numFmtId="0" fontId="6" fillId="5" borderId="1"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protection locked="0"/>
    </xf>
    <xf numFmtId="0" fontId="5" fillId="5" borderId="5" xfId="0" applyFont="1" applyFill="1" applyBorder="1" applyAlignment="1" applyProtection="1">
      <alignment horizontal="center" vertical="center" wrapText="1"/>
    </xf>
    <xf numFmtId="0" fontId="5" fillId="5" borderId="6" xfId="0" applyFont="1" applyFill="1" applyBorder="1" applyAlignment="1" applyProtection="1">
      <alignment horizontal="center" vertical="center" wrapText="1"/>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8" xfId="0" applyFont="1" applyFill="1" applyBorder="1" applyAlignment="1" applyProtection="1">
      <alignment horizontal="center" vertical="center" wrapText="1"/>
    </xf>
    <xf numFmtId="0" fontId="3" fillId="9" borderId="24" xfId="0" applyFont="1" applyFill="1" applyBorder="1" applyAlignment="1">
      <alignment horizontal="center" vertical="center"/>
    </xf>
    <xf numFmtId="0" fontId="3" fillId="9" borderId="2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 fillId="9" borderId="26" xfId="0" applyFont="1" applyFill="1" applyBorder="1" applyAlignment="1">
      <alignment horizontal="center" vertical="center"/>
    </xf>
    <xf numFmtId="0" fontId="3" fillId="9" borderId="22" xfId="0" applyFont="1" applyFill="1" applyBorder="1" applyAlignment="1">
      <alignment horizontal="center" vertical="center" wrapText="1"/>
    </xf>
    <xf numFmtId="0" fontId="3" fillId="9" borderId="25"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3" fillId="9" borderId="13" xfId="0" applyFont="1" applyFill="1" applyBorder="1" applyAlignment="1">
      <alignment horizontal="center" vertical="center"/>
    </xf>
    <xf numFmtId="0" fontId="6" fillId="17" borderId="15" xfId="0" applyFont="1" applyFill="1" applyBorder="1" applyAlignment="1">
      <alignment horizontal="center" vertical="center"/>
    </xf>
    <xf numFmtId="0" fontId="6" fillId="17" borderId="14" xfId="0" applyFont="1" applyFill="1" applyBorder="1" applyAlignment="1">
      <alignment horizontal="center" vertical="center"/>
    </xf>
    <xf numFmtId="0" fontId="3" fillId="16" borderId="44" xfId="0" applyFont="1" applyFill="1" applyBorder="1" applyAlignment="1">
      <alignment horizontal="center" vertical="center" wrapText="1"/>
    </xf>
    <xf numFmtId="0" fontId="3" fillId="16" borderId="45" xfId="0" applyFont="1" applyFill="1" applyBorder="1" applyAlignment="1">
      <alignment horizontal="center" vertical="center" wrapText="1"/>
    </xf>
    <xf numFmtId="0" fontId="3" fillId="16" borderId="4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3" fillId="17" borderId="31" xfId="0" applyFont="1" applyFill="1" applyBorder="1" applyAlignment="1">
      <alignment horizontal="center" vertical="center" wrapText="1"/>
    </xf>
    <xf numFmtId="0" fontId="3" fillId="17" borderId="32" xfId="0" applyFont="1" applyFill="1" applyBorder="1" applyAlignment="1">
      <alignment horizontal="center" vertical="center" wrapText="1"/>
    </xf>
    <xf numFmtId="0" fontId="3" fillId="17" borderId="34" xfId="0" applyFont="1" applyFill="1" applyBorder="1" applyAlignment="1">
      <alignment horizontal="center" vertical="center" wrapText="1"/>
    </xf>
    <xf numFmtId="0" fontId="2" fillId="10" borderId="15" xfId="0" applyFont="1" applyFill="1" applyBorder="1" applyAlignment="1">
      <alignment horizontal="center" vertical="center"/>
    </xf>
    <xf numFmtId="0" fontId="2" fillId="10" borderId="14" xfId="0" applyFont="1" applyFill="1" applyBorder="1" applyAlignment="1">
      <alignment horizontal="center" vertical="center"/>
    </xf>
    <xf numFmtId="0" fontId="2" fillId="10" borderId="16" xfId="0" applyFont="1" applyFill="1" applyBorder="1" applyAlignment="1">
      <alignment horizontal="center" vertical="center"/>
    </xf>
    <xf numFmtId="0" fontId="3" fillId="9" borderId="15" xfId="0" applyFont="1" applyFill="1" applyBorder="1" applyAlignment="1">
      <alignment horizontal="center" vertical="center"/>
    </xf>
    <xf numFmtId="0" fontId="3" fillId="9" borderId="14" xfId="0" applyFont="1" applyFill="1" applyBorder="1" applyAlignment="1">
      <alignment horizontal="center" vertical="center"/>
    </xf>
    <xf numFmtId="0" fontId="3" fillId="9" borderId="16" xfId="0" applyFont="1" applyFill="1" applyBorder="1" applyAlignment="1">
      <alignment horizontal="center" vertical="center"/>
    </xf>
    <xf numFmtId="0" fontId="5" fillId="5" borderId="0" xfId="0" applyFont="1" applyFill="1" applyAlignment="1">
      <alignment horizontal="left" wrapText="1"/>
    </xf>
    <xf numFmtId="0" fontId="6" fillId="7" borderId="1" xfId="0" applyFont="1" applyFill="1" applyBorder="1" applyAlignment="1">
      <alignment horizontal="center" vertical="center"/>
    </xf>
    <xf numFmtId="0" fontId="6" fillId="6" borderId="1" xfId="0" applyFont="1" applyFill="1" applyBorder="1" applyAlignment="1" applyProtection="1">
      <alignment horizontal="center" vertical="center" wrapText="1"/>
    </xf>
    <xf numFmtId="0" fontId="6" fillId="6" borderId="1" xfId="0" applyFont="1" applyFill="1" applyBorder="1" applyAlignment="1" applyProtection="1">
      <alignment horizontal="center" vertical="center"/>
      <protection locked="0"/>
    </xf>
    <xf numFmtId="0" fontId="3" fillId="13" borderId="1" xfId="0" applyFont="1" applyFill="1" applyBorder="1" applyAlignment="1">
      <alignment horizontal="center"/>
    </xf>
    <xf numFmtId="0" fontId="4" fillId="5" borderId="66" xfId="0" applyFont="1" applyFill="1" applyBorder="1" applyAlignment="1">
      <alignment horizontal="center" vertical="top"/>
    </xf>
    <xf numFmtId="0" fontId="4" fillId="5" borderId="66" xfId="0" applyFont="1" applyFill="1" applyBorder="1" applyAlignment="1">
      <alignment horizontal="center" vertical="center"/>
    </xf>
    <xf numFmtId="0" fontId="14" fillId="6" borderId="2" xfId="0" applyFont="1" applyFill="1" applyBorder="1" applyAlignment="1">
      <alignment horizontal="left" vertical="top"/>
    </xf>
    <xf numFmtId="0" fontId="14" fillId="6" borderId="3" xfId="0" applyFont="1" applyFill="1" applyBorder="1" applyAlignment="1">
      <alignment horizontal="left" vertical="top"/>
    </xf>
    <xf numFmtId="0" fontId="14" fillId="6" borderId="4" xfId="0" applyFont="1" applyFill="1" applyBorder="1" applyAlignment="1">
      <alignment horizontal="left" vertical="top"/>
    </xf>
    <xf numFmtId="0" fontId="4" fillId="5" borderId="2" xfId="0" applyFont="1" applyFill="1" applyBorder="1" applyAlignment="1">
      <alignment horizontal="left" vertical="top" wrapText="1"/>
    </xf>
    <xf numFmtId="0" fontId="4" fillId="5" borderId="3" xfId="0" applyFont="1" applyFill="1" applyBorder="1" applyAlignment="1">
      <alignment horizontal="left" vertical="top"/>
    </xf>
    <xf numFmtId="0" fontId="4" fillId="5" borderId="4" xfId="0" applyFont="1" applyFill="1" applyBorder="1" applyAlignment="1">
      <alignment horizontal="left" vertical="top"/>
    </xf>
    <xf numFmtId="0" fontId="14" fillId="6" borderId="66" xfId="0" applyFont="1" applyFill="1" applyBorder="1" applyAlignment="1">
      <alignment horizontal="center" vertical="top"/>
    </xf>
    <xf numFmtId="14" fontId="4" fillId="5" borderId="66" xfId="0" applyNumberFormat="1" applyFont="1" applyFill="1" applyBorder="1" applyAlignment="1">
      <alignment horizontal="center" vertical="top"/>
    </xf>
    <xf numFmtId="0" fontId="4" fillId="5" borderId="2" xfId="0" quotePrefix="1"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8" fillId="6" borderId="2" xfId="0" applyFont="1" applyFill="1" applyBorder="1" applyAlignment="1">
      <alignment horizontal="left" vertical="top"/>
    </xf>
    <xf numFmtId="0" fontId="8" fillId="6" borderId="3" xfId="0" applyFont="1" applyFill="1" applyBorder="1" applyAlignment="1">
      <alignment horizontal="left" vertical="top"/>
    </xf>
    <xf numFmtId="0" fontId="8" fillId="6" borderId="4" xfId="0" applyFont="1" applyFill="1" applyBorder="1" applyAlignment="1">
      <alignment horizontal="left" vertical="top"/>
    </xf>
    <xf numFmtId="0" fontId="4" fillId="5" borderId="1" xfId="0" applyFont="1" applyFill="1" applyBorder="1" applyAlignment="1">
      <alignment horizontal="left" vertical="center"/>
    </xf>
    <xf numFmtId="0" fontId="4" fillId="5" borderId="2" xfId="0" applyFont="1" applyFill="1" applyBorder="1" applyAlignment="1">
      <alignment horizontal="center" vertical="top"/>
    </xf>
    <xf numFmtId="0" fontId="4" fillId="5" borderId="3" xfId="0" applyFont="1" applyFill="1" applyBorder="1" applyAlignment="1">
      <alignment horizontal="center" vertical="top"/>
    </xf>
    <xf numFmtId="0" fontId="4" fillId="5" borderId="4" xfId="0" applyFont="1" applyFill="1" applyBorder="1" applyAlignment="1">
      <alignment horizontal="center" vertical="top"/>
    </xf>
    <xf numFmtId="0" fontId="4" fillId="5" borderId="2" xfId="0" applyFont="1" applyFill="1" applyBorder="1" applyAlignment="1">
      <alignment horizontal="left" vertical="top"/>
    </xf>
    <xf numFmtId="0" fontId="34" fillId="5" borderId="2" xfId="0" applyFont="1" applyFill="1" applyBorder="1" applyAlignment="1">
      <alignment horizontal="left" vertical="top" wrapText="1"/>
    </xf>
    <xf numFmtId="0" fontId="34" fillId="5" borderId="3" xfId="0" applyFont="1" applyFill="1" applyBorder="1" applyAlignment="1">
      <alignment horizontal="left" vertical="top" wrapText="1"/>
    </xf>
    <xf numFmtId="0" fontId="34" fillId="5" borderId="4" xfId="0" applyFont="1" applyFill="1" applyBorder="1" applyAlignment="1">
      <alignment horizontal="left" vertical="top" wrapText="1"/>
    </xf>
    <xf numFmtId="0" fontId="4" fillId="5" borderId="1" xfId="0" applyFont="1" applyFill="1" applyBorder="1" applyAlignment="1">
      <alignment horizontal="left" vertical="top"/>
    </xf>
    <xf numFmtId="0" fontId="4" fillId="5" borderId="69" xfId="0" applyFont="1" applyFill="1" applyBorder="1" applyAlignment="1">
      <alignment horizontal="center" vertical="top"/>
    </xf>
    <xf numFmtId="0" fontId="4" fillId="5" borderId="73" xfId="0" applyFont="1" applyFill="1" applyBorder="1" applyAlignment="1">
      <alignment horizontal="center" vertical="top"/>
    </xf>
    <xf numFmtId="0" fontId="4" fillId="5" borderId="70" xfId="0" applyFont="1" applyFill="1" applyBorder="1" applyAlignment="1">
      <alignment horizontal="center" vertical="top"/>
    </xf>
    <xf numFmtId="0" fontId="4" fillId="5" borderId="69" xfId="0" applyFont="1" applyFill="1" applyBorder="1" applyAlignment="1">
      <alignment horizontal="center" vertical="center"/>
    </xf>
    <xf numFmtId="0" fontId="4" fillId="5" borderId="73" xfId="0" applyFont="1" applyFill="1" applyBorder="1" applyAlignment="1">
      <alignment horizontal="center" vertical="center"/>
    </xf>
    <xf numFmtId="0" fontId="4" fillId="5" borderId="70" xfId="0" applyFont="1" applyFill="1" applyBorder="1" applyAlignment="1">
      <alignment horizontal="center" vertical="center"/>
    </xf>
    <xf numFmtId="0" fontId="14" fillId="6" borderId="69" xfId="0" applyFont="1" applyFill="1" applyBorder="1" applyAlignment="1">
      <alignment horizontal="center" vertical="top"/>
    </xf>
    <xf numFmtId="0" fontId="14" fillId="6" borderId="73" xfId="0" applyFont="1" applyFill="1" applyBorder="1" applyAlignment="1">
      <alignment horizontal="center" vertical="top"/>
    </xf>
    <xf numFmtId="0" fontId="14" fillId="6" borderId="70" xfId="0" applyFont="1" applyFill="1" applyBorder="1" applyAlignment="1">
      <alignment horizontal="center" vertical="top"/>
    </xf>
    <xf numFmtId="0" fontId="4" fillId="5" borderId="3" xfId="0" quotePrefix="1" applyFont="1" applyFill="1" applyBorder="1" applyAlignment="1">
      <alignment horizontal="left" vertical="top" wrapText="1"/>
    </xf>
    <xf numFmtId="0" fontId="4" fillId="5" borderId="4" xfId="0" quotePrefix="1" applyFont="1" applyFill="1" applyBorder="1" applyAlignment="1">
      <alignment horizontal="left" vertical="top" wrapText="1"/>
    </xf>
    <xf numFmtId="0" fontId="5" fillId="5" borderId="2" xfId="0" quotePrefix="1" applyFont="1" applyFill="1" applyBorder="1" applyAlignment="1">
      <alignment horizontal="left" vertical="top" wrapText="1"/>
    </xf>
    <xf numFmtId="0" fontId="5" fillId="5" borderId="3" xfId="0" applyFont="1" applyFill="1" applyBorder="1" applyAlignment="1">
      <alignment horizontal="left" vertical="top" wrapText="1"/>
    </xf>
    <xf numFmtId="0" fontId="5" fillId="5" borderId="4" xfId="0" applyFont="1" applyFill="1" applyBorder="1" applyAlignment="1">
      <alignment horizontal="left" vertical="top" wrapText="1"/>
    </xf>
    <xf numFmtId="14" fontId="4" fillId="5" borderId="69" xfId="0" applyNumberFormat="1" applyFont="1" applyFill="1" applyBorder="1" applyAlignment="1">
      <alignment horizontal="center" vertical="top"/>
    </xf>
    <xf numFmtId="14" fontId="4" fillId="5" borderId="70" xfId="0" applyNumberFormat="1" applyFont="1" applyFill="1" applyBorder="1" applyAlignment="1">
      <alignment horizontal="center" vertical="top"/>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13" fillId="5" borderId="2" xfId="0" applyFont="1" applyFill="1" applyBorder="1" applyAlignment="1">
      <alignment horizontal="left" vertical="top" wrapText="1"/>
    </xf>
    <xf numFmtId="0" fontId="13" fillId="5" borderId="3" xfId="0" applyFont="1" applyFill="1" applyBorder="1" applyAlignment="1">
      <alignment horizontal="left" vertical="top"/>
    </xf>
    <xf numFmtId="0" fontId="13" fillId="5" borderId="4" xfId="0" applyFont="1" applyFill="1" applyBorder="1" applyAlignment="1">
      <alignment horizontal="left" vertical="top"/>
    </xf>
    <xf numFmtId="0" fontId="13" fillId="5" borderId="2" xfId="0" applyFont="1" applyFill="1" applyBorder="1" applyAlignment="1">
      <alignment horizontal="center" vertical="top"/>
    </xf>
    <xf numFmtId="0" fontId="13" fillId="5" borderId="3" xfId="0" applyFont="1" applyFill="1" applyBorder="1" applyAlignment="1">
      <alignment horizontal="center" vertical="top"/>
    </xf>
    <xf numFmtId="0" fontId="13" fillId="5" borderId="4" xfId="0" applyFont="1" applyFill="1" applyBorder="1" applyAlignment="1">
      <alignment horizontal="center" vertical="top"/>
    </xf>
    <xf numFmtId="0" fontId="4" fillId="5" borderId="7" xfId="0" applyFont="1" applyFill="1" applyBorder="1" applyAlignment="1">
      <alignment horizontal="left" vertical="center"/>
    </xf>
    <xf numFmtId="0" fontId="4" fillId="5" borderId="65" xfId="0" applyFont="1" applyFill="1" applyBorder="1" applyAlignment="1">
      <alignment horizontal="left" vertical="center"/>
    </xf>
    <xf numFmtId="0" fontId="4" fillId="5" borderId="10" xfId="0" applyFont="1" applyFill="1" applyBorder="1" applyAlignment="1">
      <alignment horizontal="left" vertical="center"/>
    </xf>
    <xf numFmtId="0" fontId="4" fillId="0" borderId="1" xfId="0" applyFont="1" applyBorder="1" applyAlignment="1">
      <alignment horizontal="left" vertical="top" wrapText="1"/>
    </xf>
    <xf numFmtId="0" fontId="4" fillId="0" borderId="7" xfId="0" applyFont="1" applyBorder="1" applyAlignment="1">
      <alignment horizontal="left" vertical="top" wrapText="1"/>
    </xf>
    <xf numFmtId="0" fontId="4" fillId="0" borderId="65" xfId="0" applyFont="1" applyBorder="1" applyAlignment="1">
      <alignment horizontal="left" vertical="top" wrapText="1"/>
    </xf>
    <xf numFmtId="0" fontId="4" fillId="0" borderId="10" xfId="0" applyFont="1" applyBorder="1" applyAlignment="1">
      <alignment horizontal="left" vertical="top" wrapText="1"/>
    </xf>
    <xf numFmtId="0" fontId="14" fillId="6" borderId="2" xfId="0" applyFont="1" applyFill="1" applyBorder="1" applyAlignment="1">
      <alignment horizontal="left" vertical="top" wrapText="1"/>
    </xf>
    <xf numFmtId="0" fontId="14" fillId="6" borderId="3" xfId="0" applyFont="1" applyFill="1" applyBorder="1" applyAlignment="1">
      <alignment horizontal="left" vertical="top" wrapText="1"/>
    </xf>
    <xf numFmtId="0" fontId="14" fillId="6" borderId="4" xfId="0" applyFont="1" applyFill="1" applyBorder="1" applyAlignment="1">
      <alignment horizontal="left" vertical="top" wrapText="1"/>
    </xf>
    <xf numFmtId="0" fontId="14" fillId="6" borderId="1" xfId="0" applyFont="1" applyFill="1" applyBorder="1" applyAlignment="1">
      <alignment horizontal="left" vertical="top"/>
    </xf>
    <xf numFmtId="0" fontId="7" fillId="8" borderId="0" xfId="0" applyFont="1" applyFill="1" applyAlignment="1">
      <alignment horizontal="center" vertical="center"/>
    </xf>
    <xf numFmtId="0" fontId="17" fillId="5" borderId="3" xfId="0" applyFont="1" applyFill="1" applyBorder="1" applyAlignment="1">
      <alignment horizontal="left" vertical="top"/>
    </xf>
    <xf numFmtId="0" fontId="17" fillId="5" borderId="4" xfId="0" applyFont="1" applyFill="1" applyBorder="1" applyAlignment="1">
      <alignment horizontal="left" vertical="top"/>
    </xf>
    <xf numFmtId="0" fontId="4" fillId="5" borderId="2" xfId="0" applyFont="1" applyFill="1" applyBorder="1" applyAlignment="1">
      <alignment vertical="center" wrapText="1"/>
    </xf>
    <xf numFmtId="0" fontId="4" fillId="5" borderId="3" xfId="0" applyFont="1" applyFill="1" applyBorder="1" applyAlignment="1">
      <alignment vertical="center" wrapText="1"/>
    </xf>
    <xf numFmtId="0" fontId="4" fillId="5" borderId="2" xfId="0" applyFont="1" applyFill="1" applyBorder="1" applyAlignment="1">
      <alignment vertical="center"/>
    </xf>
    <xf numFmtId="0" fontId="4" fillId="5" borderId="3" xfId="0" applyFont="1" applyFill="1" applyBorder="1" applyAlignment="1">
      <alignment vertical="center"/>
    </xf>
    <xf numFmtId="0" fontId="4" fillId="5" borderId="4" xfId="0" applyFont="1" applyFill="1" applyBorder="1" applyAlignment="1">
      <alignment vertical="center"/>
    </xf>
    <xf numFmtId="0" fontId="17" fillId="5" borderId="2" xfId="0" applyFont="1" applyFill="1" applyBorder="1" applyAlignment="1">
      <alignment horizontal="left" vertical="top"/>
    </xf>
    <xf numFmtId="0" fontId="27" fillId="5" borderId="2" xfId="0" applyFont="1" applyFill="1" applyBorder="1" applyAlignment="1">
      <alignment horizontal="left" vertical="top" wrapText="1"/>
    </xf>
    <xf numFmtId="0" fontId="11" fillId="5" borderId="3" xfId="0" applyFont="1" applyFill="1" applyBorder="1" applyAlignment="1">
      <alignment horizontal="left" vertical="top"/>
    </xf>
    <xf numFmtId="0" fontId="11" fillId="5" borderId="4" xfId="0" applyFont="1" applyFill="1" applyBorder="1" applyAlignment="1">
      <alignment horizontal="left" vertical="top"/>
    </xf>
    <xf numFmtId="0" fontId="4" fillId="5" borderId="7" xfId="0" applyFont="1" applyFill="1" applyBorder="1" applyAlignment="1">
      <alignment vertical="top" wrapText="1"/>
    </xf>
    <xf numFmtId="0" fontId="4" fillId="5" borderId="65" xfId="0" applyFont="1" applyFill="1" applyBorder="1" applyAlignment="1">
      <alignment vertical="top" wrapText="1"/>
    </xf>
    <xf numFmtId="0" fontId="4" fillId="5" borderId="10" xfId="0" applyFont="1" applyFill="1" applyBorder="1" applyAlignment="1">
      <alignment vertical="top" wrapText="1"/>
    </xf>
    <xf numFmtId="0" fontId="4" fillId="5" borderId="9" xfId="0" applyFont="1" applyFill="1" applyBorder="1" applyAlignment="1">
      <alignment vertical="top" wrapText="1"/>
    </xf>
    <xf numFmtId="0" fontId="4" fillId="5" borderId="64" xfId="0" applyFont="1" applyFill="1" applyBorder="1" applyAlignment="1">
      <alignment vertical="top" wrapText="1"/>
    </xf>
    <xf numFmtId="0" fontId="4" fillId="5" borderId="12" xfId="0" applyFont="1" applyFill="1" applyBorder="1" applyAlignment="1">
      <alignment vertical="top" wrapText="1"/>
    </xf>
    <xf numFmtId="0" fontId="4" fillId="5" borderId="7" xfId="0" applyFont="1" applyFill="1" applyBorder="1" applyAlignment="1">
      <alignment horizontal="left" vertical="top" wrapText="1"/>
    </xf>
    <xf numFmtId="0" fontId="4" fillId="5" borderId="65"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17" xfId="0" applyFont="1" applyFill="1" applyBorder="1" applyAlignment="1">
      <alignment horizontal="left" vertical="top" wrapText="1"/>
    </xf>
    <xf numFmtId="0" fontId="4" fillId="5" borderId="0" xfId="0" applyFont="1" applyFill="1" applyBorder="1" applyAlignment="1">
      <alignment horizontal="left" vertical="top" wrapText="1"/>
    </xf>
    <xf numFmtId="0" fontId="4" fillId="5" borderId="11"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5" borderId="64" xfId="0" applyFont="1" applyFill="1" applyBorder="1" applyAlignment="1">
      <alignment horizontal="left" vertical="top" wrapText="1"/>
    </xf>
    <xf numFmtId="0" fontId="4" fillId="5" borderId="12" xfId="0" applyFont="1" applyFill="1" applyBorder="1" applyAlignment="1">
      <alignment horizontal="left" vertical="top" wrapText="1"/>
    </xf>
    <xf numFmtId="0" fontId="26" fillId="5" borderId="3" xfId="0" applyFont="1" applyFill="1" applyBorder="1" applyAlignment="1">
      <alignment horizontal="left" vertical="top"/>
    </xf>
    <xf numFmtId="0" fontId="26" fillId="5" borderId="4" xfId="0" applyFont="1" applyFill="1" applyBorder="1" applyAlignment="1">
      <alignment horizontal="left" vertical="top"/>
    </xf>
    <xf numFmtId="0" fontId="6" fillId="5" borderId="1" xfId="0" applyFont="1" applyFill="1" applyBorder="1" applyAlignment="1" applyProtection="1">
      <alignment horizontal="center" vertical="center"/>
      <protection locked="0"/>
    </xf>
    <xf numFmtId="0" fontId="5" fillId="5" borderId="2" xfId="0" applyFont="1" applyFill="1" applyBorder="1" applyAlignment="1">
      <alignment horizontal="left" vertical="top"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0" borderId="1" xfId="0" quotePrefix="1" applyFont="1" applyBorder="1" applyAlignment="1">
      <alignment horizontal="left" vertical="top" wrapText="1"/>
    </xf>
    <xf numFmtId="0" fontId="4" fillId="5" borderId="7" xfId="0" applyFont="1" applyFill="1" applyBorder="1" applyAlignment="1">
      <alignment horizontal="center" vertical="center"/>
    </xf>
    <xf numFmtId="0" fontId="4" fillId="5" borderId="65" xfId="0" applyFont="1" applyFill="1" applyBorder="1" applyAlignment="1">
      <alignment horizontal="center" vertical="center"/>
    </xf>
    <xf numFmtId="0" fontId="4" fillId="5" borderId="10" xfId="0" applyFont="1" applyFill="1" applyBorder="1" applyAlignment="1">
      <alignment horizontal="center" vertical="center"/>
    </xf>
    <xf numFmtId="0" fontId="17" fillId="5" borderId="2" xfId="0" applyFont="1" applyFill="1" applyBorder="1" applyAlignment="1">
      <alignment horizontal="left" vertical="top" wrapText="1"/>
    </xf>
    <xf numFmtId="0" fontId="17" fillId="5" borderId="3" xfId="0" applyFont="1" applyFill="1" applyBorder="1" applyAlignment="1">
      <alignment horizontal="left" vertical="top" wrapText="1"/>
    </xf>
    <xf numFmtId="0" fontId="17" fillId="5" borderId="4" xfId="0" applyFont="1" applyFill="1" applyBorder="1" applyAlignment="1">
      <alignment horizontal="left" vertical="top" wrapText="1"/>
    </xf>
    <xf numFmtId="0" fontId="14" fillId="6" borderId="2" xfId="0" applyFont="1" applyFill="1" applyBorder="1" applyAlignment="1">
      <alignment horizontal="center" vertical="top"/>
    </xf>
    <xf numFmtId="0" fontId="14" fillId="6" borderId="3" xfId="0" applyFont="1" applyFill="1" applyBorder="1" applyAlignment="1">
      <alignment horizontal="center" vertical="top"/>
    </xf>
    <xf numFmtId="0" fontId="14" fillId="6" borderId="4" xfId="0" applyFont="1" applyFill="1" applyBorder="1" applyAlignment="1">
      <alignment horizontal="center" vertical="top"/>
    </xf>
    <xf numFmtId="0" fontId="13" fillId="5" borderId="3" xfId="0" applyFont="1" applyFill="1" applyBorder="1" applyAlignment="1">
      <alignment horizontal="left" vertical="top" wrapText="1"/>
    </xf>
    <xf numFmtId="0" fontId="13" fillId="5" borderId="4" xfId="0" applyFont="1" applyFill="1" applyBorder="1" applyAlignment="1">
      <alignment horizontal="left" vertical="top" wrapText="1"/>
    </xf>
    <xf numFmtId="0" fontId="4" fillId="5" borderId="1" xfId="0" applyFont="1" applyFill="1" applyBorder="1" applyAlignment="1">
      <alignment horizontal="left" vertical="top" wrapText="1"/>
    </xf>
    <xf numFmtId="0" fontId="13" fillId="5" borderId="2" xfId="0" applyFont="1" applyFill="1" applyBorder="1" applyAlignment="1">
      <alignment horizontal="center" vertical="top" wrapText="1"/>
    </xf>
    <xf numFmtId="0" fontId="13" fillId="5" borderId="3" xfId="0" applyFont="1" applyFill="1" applyBorder="1" applyAlignment="1">
      <alignment horizontal="center" vertical="top" wrapText="1"/>
    </xf>
    <xf numFmtId="0" fontId="13" fillId="5" borderId="4" xfId="0" applyFont="1" applyFill="1" applyBorder="1" applyAlignment="1">
      <alignment horizontal="center"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4" fillId="5" borderId="1" xfId="0" applyFont="1" applyFill="1" applyBorder="1" applyAlignment="1">
      <alignment horizontal="left" vertical="center" wrapText="1"/>
    </xf>
    <xf numFmtId="0" fontId="4" fillId="5" borderId="66" xfId="0" applyFont="1" applyFill="1" applyBorder="1" applyAlignment="1">
      <alignment horizontal="center" vertical="top" wrapText="1"/>
    </xf>
    <xf numFmtId="0" fontId="4" fillId="5" borderId="66" xfId="0" applyFont="1" applyFill="1" applyBorder="1" applyAlignment="1">
      <alignment horizontal="center" vertical="center" wrapText="1"/>
    </xf>
    <xf numFmtId="0" fontId="14" fillId="6" borderId="66" xfId="0" applyFont="1" applyFill="1" applyBorder="1" applyAlignment="1">
      <alignment horizontal="center" vertical="top" wrapText="1"/>
    </xf>
    <xf numFmtId="0" fontId="14" fillId="6" borderId="69" xfId="0" applyFont="1" applyFill="1" applyBorder="1" applyAlignment="1">
      <alignment horizontal="center" vertical="top" wrapText="1"/>
    </xf>
    <xf numFmtId="0" fontId="14" fillId="6" borderId="70" xfId="0" applyFont="1" applyFill="1" applyBorder="1" applyAlignment="1">
      <alignment horizontal="center" vertical="top" wrapText="1"/>
    </xf>
    <xf numFmtId="14" fontId="4" fillId="5" borderId="69" xfId="0" applyNumberFormat="1" applyFont="1" applyFill="1" applyBorder="1" applyAlignment="1">
      <alignment horizontal="center" vertical="top" wrapText="1"/>
    </xf>
    <xf numFmtId="14" fontId="4" fillId="5" borderId="70" xfId="0" applyNumberFormat="1" applyFont="1" applyFill="1" applyBorder="1" applyAlignment="1">
      <alignment horizontal="center" vertical="top" wrapText="1"/>
    </xf>
    <xf numFmtId="0" fontId="11" fillId="5" borderId="2" xfId="0" applyFont="1" applyFill="1" applyBorder="1" applyAlignment="1">
      <alignment horizontal="left" vertical="top" wrapText="1"/>
    </xf>
    <xf numFmtId="0" fontId="36" fillId="5" borderId="2" xfId="5" applyFont="1" applyFill="1" applyBorder="1" applyAlignment="1" applyProtection="1">
      <alignment horizontal="left" vertical="top" wrapText="1"/>
    </xf>
    <xf numFmtId="0" fontId="4" fillId="5" borderId="1" xfId="0" applyFont="1" applyFill="1" applyBorder="1" applyAlignment="1">
      <alignment horizontal="center" vertical="center"/>
    </xf>
    <xf numFmtId="0" fontId="4" fillId="5" borderId="7" xfId="0" applyFont="1" applyFill="1" applyBorder="1" applyAlignment="1">
      <alignment vertical="center"/>
    </xf>
    <xf numFmtId="0" fontId="4" fillId="5" borderId="65" xfId="0" applyFont="1" applyFill="1" applyBorder="1" applyAlignment="1">
      <alignment vertical="center"/>
    </xf>
    <xf numFmtId="0" fontId="4" fillId="5" borderId="10" xfId="0" applyFont="1" applyFill="1" applyBorder="1" applyAlignment="1">
      <alignment vertical="center"/>
    </xf>
    <xf numFmtId="0" fontId="4" fillId="5" borderId="1" xfId="0" applyFont="1" applyFill="1" applyBorder="1" applyAlignment="1">
      <alignment vertical="center"/>
    </xf>
    <xf numFmtId="0" fontId="11" fillId="5" borderId="9" xfId="0" applyFont="1" applyFill="1" applyBorder="1" applyAlignment="1">
      <alignment horizontal="left" vertical="top" wrapText="1"/>
    </xf>
    <xf numFmtId="0" fontId="11" fillId="5" borderId="64" xfId="0" applyFont="1" applyFill="1" applyBorder="1" applyAlignment="1">
      <alignment horizontal="left" vertical="top" wrapText="1"/>
    </xf>
    <xf numFmtId="0" fontId="11" fillId="5" borderId="12" xfId="0" applyFont="1" applyFill="1" applyBorder="1" applyAlignment="1">
      <alignment horizontal="left" vertical="top" wrapText="1"/>
    </xf>
    <xf numFmtId="0" fontId="11" fillId="5" borderId="7" xfId="0" applyFont="1" applyFill="1" applyBorder="1" applyAlignment="1">
      <alignment horizontal="left" vertical="top" wrapText="1"/>
    </xf>
    <xf numFmtId="0" fontId="11" fillId="5" borderId="65" xfId="0" applyFont="1" applyFill="1" applyBorder="1" applyAlignment="1">
      <alignment horizontal="left" vertical="top"/>
    </xf>
    <xf numFmtId="0" fontId="11" fillId="5" borderId="10" xfId="0" applyFont="1" applyFill="1" applyBorder="1" applyAlignment="1">
      <alignment horizontal="left" vertical="top"/>
    </xf>
    <xf numFmtId="0" fontId="13" fillId="5" borderId="66" xfId="0" applyFont="1" applyFill="1" applyBorder="1" applyAlignment="1">
      <alignment horizontal="center" vertical="top"/>
    </xf>
    <xf numFmtId="14" fontId="13" fillId="5" borderId="66" xfId="0" applyNumberFormat="1" applyFont="1" applyFill="1" applyBorder="1" applyAlignment="1">
      <alignment horizontal="center" vertical="top"/>
    </xf>
    <xf numFmtId="0" fontId="4" fillId="5" borderId="7" xfId="0" applyFont="1" applyFill="1" applyBorder="1" applyAlignment="1">
      <alignment horizontal="left" vertical="top"/>
    </xf>
    <xf numFmtId="0" fontId="4" fillId="5" borderId="65" xfId="0" applyFont="1" applyFill="1" applyBorder="1" applyAlignment="1">
      <alignment horizontal="left" vertical="top"/>
    </xf>
    <xf numFmtId="0" fontId="13" fillId="5" borderId="1" xfId="0" applyFont="1" applyFill="1" applyBorder="1" applyAlignment="1">
      <alignment horizontal="left" vertical="top"/>
    </xf>
    <xf numFmtId="0" fontId="4" fillId="5" borderId="9" xfId="0" applyFont="1" applyFill="1" applyBorder="1" applyAlignment="1">
      <alignment horizontal="center" vertical="center"/>
    </xf>
    <xf numFmtId="0" fontId="4" fillId="5" borderId="64" xfId="0" applyFont="1" applyFill="1" applyBorder="1" applyAlignment="1">
      <alignment horizontal="center" vertical="center"/>
    </xf>
    <xf numFmtId="0" fontId="4" fillId="5" borderId="12" xfId="0" applyFont="1" applyFill="1" applyBorder="1" applyAlignment="1">
      <alignment horizontal="center" vertical="center"/>
    </xf>
    <xf numFmtId="0" fontId="14" fillId="6" borderId="1" xfId="0" applyFont="1" applyFill="1" applyBorder="1" applyAlignment="1">
      <alignment horizontal="left" vertical="center"/>
    </xf>
    <xf numFmtId="0" fontId="4" fillId="5" borderId="66" xfId="0" applyFont="1" applyFill="1" applyBorder="1" applyAlignment="1">
      <alignment horizontal="left" vertical="center" wrapText="1"/>
    </xf>
    <xf numFmtId="14" fontId="4" fillId="5" borderId="66" xfId="0" applyNumberFormat="1" applyFont="1" applyFill="1" applyBorder="1" applyAlignment="1">
      <alignment horizontal="center" vertical="center"/>
    </xf>
    <xf numFmtId="0" fontId="31" fillId="20" borderId="67" xfId="0" applyFont="1" applyFill="1" applyBorder="1" applyAlignment="1">
      <alignment horizontal="center" vertical="top"/>
    </xf>
    <xf numFmtId="14" fontId="32" fillId="20" borderId="67" xfId="0" applyNumberFormat="1" applyFont="1" applyFill="1" applyBorder="1" applyAlignment="1">
      <alignment horizontal="center" vertical="top"/>
    </xf>
    <xf numFmtId="0" fontId="32" fillId="20" borderId="67" xfId="0" applyFont="1" applyFill="1" applyBorder="1" applyAlignment="1">
      <alignment horizontal="center" vertical="top"/>
    </xf>
    <xf numFmtId="0" fontId="32" fillId="20" borderId="67" xfId="0" applyFont="1" applyFill="1" applyBorder="1" applyAlignment="1">
      <alignment horizontal="left" vertical="top"/>
    </xf>
    <xf numFmtId="0" fontId="19" fillId="20" borderId="67" xfId="4" applyFont="1" applyFill="1" applyBorder="1" applyAlignment="1">
      <alignment horizontal="center" vertical="center"/>
    </xf>
    <xf numFmtId="0" fontId="32" fillId="20" borderId="67" xfId="4" applyFont="1" applyFill="1" applyBorder="1" applyAlignment="1">
      <alignment horizontal="center" vertical="center"/>
    </xf>
    <xf numFmtId="0" fontId="25" fillId="23" borderId="0" xfId="4" applyFont="1" applyFill="1" applyBorder="1" applyAlignment="1">
      <alignment horizontal="center" vertical="center"/>
    </xf>
    <xf numFmtId="0" fontId="32" fillId="20" borderId="67" xfId="4" applyFont="1" applyFill="1" applyBorder="1" applyAlignment="1">
      <alignment horizontal="left" vertical="top"/>
    </xf>
    <xf numFmtId="14" fontId="32" fillId="20" borderId="67" xfId="4" applyNumberFormat="1" applyFont="1" applyFill="1" applyBorder="1" applyAlignment="1">
      <alignment horizontal="center" vertical="top"/>
    </xf>
    <xf numFmtId="0" fontId="32" fillId="20" borderId="67" xfId="4" applyFont="1" applyFill="1" applyBorder="1" applyAlignment="1">
      <alignment horizontal="center" vertical="top"/>
    </xf>
    <xf numFmtId="0" fontId="21" fillId="21" borderId="1" xfId="4" applyFont="1" applyFill="1" applyBorder="1" applyAlignment="1">
      <alignment horizontal="center" vertical="top"/>
    </xf>
    <xf numFmtId="0" fontId="24" fillId="21" borderId="67" xfId="4" applyFont="1" applyFill="1" applyBorder="1" applyAlignment="1">
      <alignment horizontal="center" vertical="top"/>
    </xf>
    <xf numFmtId="0" fontId="21" fillId="21" borderId="68" xfId="4" applyFont="1" applyFill="1" applyBorder="1" applyAlignment="1">
      <alignment horizontal="center" vertical="top"/>
    </xf>
    <xf numFmtId="165" fontId="32" fillId="20" borderId="67" xfId="4" applyNumberFormat="1" applyFont="1" applyFill="1" applyBorder="1" applyAlignment="1">
      <alignment horizontal="center" vertical="center"/>
    </xf>
    <xf numFmtId="0" fontId="32" fillId="20" borderId="67" xfId="4" applyFont="1" applyFill="1" applyBorder="1" applyAlignment="1">
      <alignment horizontal="center" vertical="center" wrapText="1"/>
    </xf>
    <xf numFmtId="0" fontId="32" fillId="20" borderId="1" xfId="4" applyFont="1" applyFill="1" applyBorder="1" applyAlignment="1">
      <alignment horizontal="left" vertical="top"/>
    </xf>
    <xf numFmtId="0" fontId="21" fillId="21" borderId="1" xfId="4" applyFont="1" applyFill="1" applyBorder="1" applyAlignment="1">
      <alignment horizontal="left" vertical="top"/>
    </xf>
    <xf numFmtId="0" fontId="32" fillId="20" borderId="1" xfId="4" applyFont="1" applyFill="1" applyBorder="1" applyAlignment="1">
      <alignment horizontal="left" vertical="center" wrapText="1"/>
    </xf>
    <xf numFmtId="0" fontId="21" fillId="21" borderId="1" xfId="4" applyFont="1" applyFill="1" applyBorder="1" applyAlignment="1">
      <alignment horizontal="left" vertical="center"/>
    </xf>
    <xf numFmtId="0" fontId="32" fillId="20" borderId="1" xfId="4" applyFont="1" applyFill="1" applyBorder="1" applyAlignment="1">
      <alignment vertical="top" wrapText="1"/>
    </xf>
    <xf numFmtId="0" fontId="18" fillId="20" borderId="2" xfId="4" applyFont="1" applyFill="1" applyBorder="1" applyAlignment="1">
      <alignment horizontal="left" vertical="top"/>
    </xf>
    <xf numFmtId="0" fontId="18" fillId="20" borderId="3" xfId="4" applyFont="1" applyFill="1" applyBorder="1" applyAlignment="1">
      <alignment horizontal="left" vertical="top"/>
    </xf>
    <xf numFmtId="0" fontId="18" fillId="20" borderId="4" xfId="4" applyFont="1" applyFill="1" applyBorder="1" applyAlignment="1">
      <alignment horizontal="left" vertical="top"/>
    </xf>
    <xf numFmtId="0" fontId="18" fillId="20" borderId="1" xfId="4" applyFont="1" applyFill="1" applyBorder="1" applyAlignment="1">
      <alignment horizontal="left" vertical="top" wrapText="1"/>
    </xf>
    <xf numFmtId="0" fontId="18" fillId="20" borderId="1" xfId="4" applyFont="1" applyFill="1" applyBorder="1" applyAlignment="1">
      <alignment horizontal="left" vertical="top"/>
    </xf>
    <xf numFmtId="0" fontId="21" fillId="21" borderId="1" xfId="4" applyFont="1" applyFill="1" applyBorder="1" applyAlignment="1">
      <alignment horizontal="left" vertical="top" wrapText="1"/>
    </xf>
    <xf numFmtId="0" fontId="32" fillId="20" borderId="1" xfId="4" applyFont="1" applyFill="1" applyBorder="1" applyAlignment="1">
      <alignment horizontal="center" vertical="top"/>
    </xf>
    <xf numFmtId="0" fontId="30" fillId="20" borderId="7" xfId="4" applyFont="1" applyFill="1" applyBorder="1" applyAlignment="1">
      <alignment horizontal="left" vertical="top" wrapText="1"/>
    </xf>
    <xf numFmtId="0" fontId="30" fillId="20" borderId="65" xfId="4" applyFont="1" applyFill="1" applyBorder="1" applyAlignment="1">
      <alignment horizontal="left" vertical="top" wrapText="1"/>
    </xf>
    <xf numFmtId="0" fontId="30" fillId="20" borderId="10" xfId="4" applyFont="1" applyFill="1" applyBorder="1" applyAlignment="1">
      <alignment horizontal="left" vertical="top" wrapText="1"/>
    </xf>
    <xf numFmtId="0" fontId="21" fillId="20" borderId="9" xfId="4" applyFont="1" applyFill="1" applyBorder="1" applyAlignment="1">
      <alignment horizontal="left" vertical="top" wrapText="1"/>
    </xf>
    <xf numFmtId="0" fontId="21" fillId="20" borderId="64" xfId="4" applyFont="1" applyFill="1" applyBorder="1" applyAlignment="1">
      <alignment horizontal="left" vertical="top" wrapText="1"/>
    </xf>
    <xf numFmtId="0" fontId="21" fillId="20" borderId="12" xfId="4" applyFont="1" applyFill="1" applyBorder="1" applyAlignment="1">
      <alignment horizontal="left" vertical="top" wrapText="1"/>
    </xf>
    <xf numFmtId="0" fontId="6" fillId="5" borderId="74" xfId="0" applyFont="1" applyFill="1" applyBorder="1" applyAlignment="1" applyProtection="1">
      <alignment horizontal="center" vertical="center" wrapText="1"/>
    </xf>
    <xf numFmtId="0" fontId="6" fillId="5" borderId="74" xfId="0" applyFont="1" applyFill="1" applyBorder="1" applyAlignment="1" applyProtection="1">
      <alignment horizontal="center" vertical="center"/>
      <protection locked="0"/>
    </xf>
    <xf numFmtId="0" fontId="3" fillId="12" borderId="74" xfId="0" applyFont="1" applyFill="1" applyBorder="1" applyAlignment="1">
      <alignment horizontal="center" vertical="center"/>
    </xf>
    <xf numFmtId="1" fontId="5" fillId="6" borderId="74" xfId="0" applyNumberFormat="1" applyFont="1" applyFill="1" applyBorder="1" applyAlignment="1" applyProtection="1">
      <alignment horizontal="center" vertical="center"/>
      <protection locked="0"/>
    </xf>
  </cellXfs>
  <cellStyles count="7">
    <cellStyle name="20 % - Accent4" xfId="1" builtinId="42"/>
    <cellStyle name="40 % - Accent6" xfId="3" builtinId="51"/>
    <cellStyle name="60 % - Accent4" xfId="2" builtinId="44"/>
    <cellStyle name="Accent2" xfId="6" builtinId="33"/>
    <cellStyle name="Lien hypertexte" xfId="5" builtinId="8"/>
    <cellStyle name="Normal" xfId="0" builtinId="0"/>
    <cellStyle name="Normal 2" xfId="4"/>
  </cellStyles>
  <dxfs count="0"/>
  <tableStyles count="0" defaultTableStyle="TableStyleMedium2" defaultPivotStyle="PivotStyleLight16"/>
  <colors>
    <mruColors>
      <color rgb="FFA6D1D1"/>
      <color rgb="FFFF8080"/>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69850</xdr:colOff>
      <xdr:row>1</xdr:row>
      <xdr:rowOff>38100</xdr:rowOff>
    </xdr:from>
    <xdr:ext cx="533400" cy="505619"/>
    <xdr:pic>
      <xdr:nvPicPr>
        <xdr:cNvPr id="2" name="Picture 1">
          <a:extLst>
            <a:ext uri="{FF2B5EF4-FFF2-40B4-BE49-F238E27FC236}">
              <a16:creationId xmlns="" xmlns:a16="http://schemas.microsoft.com/office/drawing/2014/main" id="{E9545973-ADBF-409A-8C9C-7EA501A5F7DA}"/>
            </a:ext>
          </a:extLst>
        </xdr:cNvPr>
        <xdr:cNvPicPr>
          <a:picLocks noChangeAspect="1" noChangeArrowheads="1"/>
        </xdr:cNvPicPr>
      </xdr:nvPicPr>
      <xdr:blipFill>
        <a:blip xmlns:r="http://schemas.openxmlformats.org/officeDocument/2006/relationships" r:embed="rId1" cstate="print"/>
        <a:srcRect r="45454"/>
        <a:stretch>
          <a:fillRect/>
        </a:stretch>
      </xdr:blipFill>
      <xdr:spPr bwMode="auto">
        <a:xfrm>
          <a:off x="679450" y="222250"/>
          <a:ext cx="533400" cy="505619"/>
        </a:xfrm>
        <a:prstGeom prst="rect">
          <a:avLst/>
        </a:prstGeom>
        <a:noFill/>
        <a:ln w="9525">
          <a:noFill/>
          <a:miter lim="800000"/>
          <a:headEnd/>
          <a:tailEnd/>
        </a:ln>
      </xdr:spPr>
    </xdr:pic>
    <xdr:clientData/>
  </xdr:oneCellAnchor>
  <xdr:oneCellAnchor>
    <xdr:from>
      <xdr:col>11</xdr:col>
      <xdr:colOff>2089150</xdr:colOff>
      <xdr:row>1</xdr:row>
      <xdr:rowOff>69851</xdr:rowOff>
    </xdr:from>
    <xdr:ext cx="367844" cy="438150"/>
    <xdr:pic>
      <xdr:nvPicPr>
        <xdr:cNvPr id="3" name="Picture 2" descr="Résultat de recherche d'images pour &quot;iset réseau&quot;">
          <a:extLst>
            <a:ext uri="{FF2B5EF4-FFF2-40B4-BE49-F238E27FC236}">
              <a16:creationId xmlns="" xmlns:a16="http://schemas.microsoft.com/office/drawing/2014/main" id="{B1C5256D-2CD9-4019-A3BB-0816FFA502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0" y="254001"/>
          <a:ext cx="367844" cy="438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2454731</xdr:colOff>
      <xdr:row>1</xdr:row>
      <xdr:rowOff>92906</xdr:rowOff>
    </xdr:from>
    <xdr:ext cx="835944" cy="376994"/>
    <xdr:pic>
      <xdr:nvPicPr>
        <xdr:cNvPr id="4" name="Picture 3" descr="Résultat de recherche d'images pour &quot;fed tic&quot;">
          <a:extLst>
            <a:ext uri="{FF2B5EF4-FFF2-40B4-BE49-F238E27FC236}">
              <a16:creationId xmlns="" xmlns:a16="http://schemas.microsoft.com/office/drawing/2014/main" id="{95FA4BE4-36D4-4790-8CF2-A8EFB30C0A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12481" y="277056"/>
          <a:ext cx="835944" cy="37699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3165931</xdr:colOff>
      <xdr:row>1</xdr:row>
      <xdr:rowOff>35756</xdr:rowOff>
    </xdr:from>
    <xdr:ext cx="427794" cy="427794"/>
    <xdr:pic>
      <xdr:nvPicPr>
        <xdr:cNvPr id="5" name="Picture 4" descr="Résultat de recherche d'images pour &quot;tact tunisie&quot;">
          <a:extLst>
            <a:ext uri="{FF2B5EF4-FFF2-40B4-BE49-F238E27FC236}">
              <a16:creationId xmlns="" xmlns:a16="http://schemas.microsoft.com/office/drawing/2014/main" id="{7E0DD6F9-A6AE-4940-BB50-896A4CC321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0511" y="226256"/>
          <a:ext cx="427794" cy="42779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76026</xdr:colOff>
      <xdr:row>11</xdr:row>
      <xdr:rowOff>142144</xdr:rowOff>
    </xdr:from>
    <xdr:ext cx="26670" cy="0"/>
    <xdr:sp macro="" textlink="">
      <xdr:nvSpPr>
        <xdr:cNvPr id="2" name="Shape 13">
          <a:extLst>
            <a:ext uri="{FF2B5EF4-FFF2-40B4-BE49-F238E27FC236}">
              <a16:creationId xmlns="" xmlns:a16="http://schemas.microsoft.com/office/drawing/2014/main" id="{56265B76-59E6-4618-AC6C-7BC7A2A13AFF}"/>
            </a:ext>
          </a:extLst>
        </xdr:cNvPr>
        <xdr:cNvSpPr/>
      </xdr:nvSpPr>
      <xdr:spPr>
        <a:xfrm>
          <a:off x="20218226" y="63778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4</xdr:col>
      <xdr:colOff>76026</xdr:colOff>
      <xdr:row>13</xdr:row>
      <xdr:rowOff>142144</xdr:rowOff>
    </xdr:from>
    <xdr:ext cx="26670" cy="0"/>
    <xdr:sp macro="" textlink="">
      <xdr:nvSpPr>
        <xdr:cNvPr id="3" name="Shape 13">
          <a:extLst>
            <a:ext uri="{FF2B5EF4-FFF2-40B4-BE49-F238E27FC236}">
              <a16:creationId xmlns="" xmlns:a16="http://schemas.microsoft.com/office/drawing/2014/main" id="{6C922A33-D0D7-4BF0-B505-543BD7E11308}"/>
            </a:ext>
          </a:extLst>
        </xdr:cNvPr>
        <xdr:cNvSpPr/>
      </xdr:nvSpPr>
      <xdr:spPr>
        <a:xfrm>
          <a:off x="20218226" y="67461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76026</xdr:colOff>
      <xdr:row>10</xdr:row>
      <xdr:rowOff>142144</xdr:rowOff>
    </xdr:from>
    <xdr:ext cx="26670" cy="0"/>
    <xdr:sp macro="" textlink="">
      <xdr:nvSpPr>
        <xdr:cNvPr id="2" name="Shape 13">
          <a:extLst>
            <a:ext uri="{FF2B5EF4-FFF2-40B4-BE49-F238E27FC236}">
              <a16:creationId xmlns="" xmlns:a16="http://schemas.microsoft.com/office/drawing/2014/main" id="{93F08C1F-87F3-4458-976F-E3FF4F15990A}"/>
            </a:ext>
          </a:extLst>
        </xdr:cNvPr>
        <xdr:cNvSpPr/>
      </xdr:nvSpPr>
      <xdr:spPr>
        <a:xfrm>
          <a:off x="2920826" y="21741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3" name="Shape 13">
          <a:extLst>
            <a:ext uri="{FF2B5EF4-FFF2-40B4-BE49-F238E27FC236}">
              <a16:creationId xmlns="" xmlns:a16="http://schemas.microsoft.com/office/drawing/2014/main" id="{15DF14D9-0A8F-41E6-A55F-A305047ED1DF}"/>
            </a:ext>
          </a:extLst>
        </xdr:cNvPr>
        <xdr:cNvSpPr/>
      </xdr:nvSpPr>
      <xdr:spPr>
        <a:xfrm>
          <a:off x="2920826" y="25424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76026</xdr:colOff>
      <xdr:row>10</xdr:row>
      <xdr:rowOff>142144</xdr:rowOff>
    </xdr:from>
    <xdr:ext cx="26670" cy="0"/>
    <xdr:sp macro="" textlink="">
      <xdr:nvSpPr>
        <xdr:cNvPr id="2" name="Shape 13">
          <a:extLst>
            <a:ext uri="{FF2B5EF4-FFF2-40B4-BE49-F238E27FC236}">
              <a16:creationId xmlns="" xmlns:a16="http://schemas.microsoft.com/office/drawing/2014/main" id="{091FE305-F602-4602-AA19-F57F1C2D33E5}"/>
            </a:ext>
          </a:extLst>
        </xdr:cNvPr>
        <xdr:cNvSpPr/>
      </xdr:nvSpPr>
      <xdr:spPr>
        <a:xfrm>
          <a:off x="678006" y="1970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12</xdr:row>
      <xdr:rowOff>142144</xdr:rowOff>
    </xdr:from>
    <xdr:ext cx="26670" cy="0"/>
    <xdr:sp macro="" textlink="">
      <xdr:nvSpPr>
        <xdr:cNvPr id="3" name="Shape 13">
          <a:extLst>
            <a:ext uri="{FF2B5EF4-FFF2-40B4-BE49-F238E27FC236}">
              <a16:creationId xmlns="" xmlns:a16="http://schemas.microsoft.com/office/drawing/2014/main" id="{9A02C655-C6C5-4FF8-8F7F-8BF6F0DDE222}"/>
            </a:ext>
          </a:extLst>
        </xdr:cNvPr>
        <xdr:cNvSpPr/>
      </xdr:nvSpPr>
      <xdr:spPr>
        <a:xfrm>
          <a:off x="678006" y="233670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76026</xdr:colOff>
      <xdr:row>10</xdr:row>
      <xdr:rowOff>0</xdr:rowOff>
    </xdr:from>
    <xdr:ext cx="26670" cy="0"/>
    <xdr:sp macro="" textlink="">
      <xdr:nvSpPr>
        <xdr:cNvPr id="2" name="Shape 13">
          <a:extLst>
            <a:ext uri="{FF2B5EF4-FFF2-40B4-BE49-F238E27FC236}">
              <a16:creationId xmlns="" xmlns:a16="http://schemas.microsoft.com/office/drawing/2014/main" id="{6945A1BA-0418-4F94-9085-EB49151427F6}"/>
            </a:ext>
          </a:extLst>
        </xdr:cNvPr>
        <xdr:cNvSpPr/>
      </xdr:nvSpPr>
      <xdr:spPr>
        <a:xfrm>
          <a:off x="678006" y="197094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oneCellAnchor>
    <xdr:from>
      <xdr:col>1</xdr:col>
      <xdr:colOff>76026</xdr:colOff>
      <xdr:row>10</xdr:row>
      <xdr:rowOff>0</xdr:rowOff>
    </xdr:from>
    <xdr:ext cx="26670" cy="0"/>
    <xdr:sp macro="" textlink="">
      <xdr:nvSpPr>
        <xdr:cNvPr id="3" name="Shape 13">
          <a:extLst>
            <a:ext uri="{FF2B5EF4-FFF2-40B4-BE49-F238E27FC236}">
              <a16:creationId xmlns="" xmlns:a16="http://schemas.microsoft.com/office/drawing/2014/main" id="{11D24F4B-CEBF-414C-A3AF-00774225A3C7}"/>
            </a:ext>
          </a:extLst>
        </xdr:cNvPr>
        <xdr:cNvSpPr/>
      </xdr:nvSpPr>
      <xdr:spPr>
        <a:xfrm>
          <a:off x="678006" y="2336704"/>
          <a:ext cx="26670" cy="0"/>
        </a:xfrm>
        <a:custGeom>
          <a:avLst/>
          <a:gdLst/>
          <a:ahLst/>
          <a:cxnLst/>
          <a:rect l="0" t="0" r="0" b="0"/>
          <a:pathLst>
            <a:path w="26670">
              <a:moveTo>
                <a:pt x="0" y="0"/>
              </a:moveTo>
              <a:lnTo>
                <a:pt x="26607" y="0"/>
              </a:lnTo>
            </a:path>
          </a:pathLst>
        </a:custGeom>
        <a:ln w="8865">
          <a:solidFill>
            <a:srgbClr val="000000"/>
          </a:solidFill>
        </a:ln>
      </xdr:spPr>
    </xdr:sp>
    <xdr:clientData/>
  </xdr:oneCellAnchor>
</xdr:wsDr>
</file>

<file path=xl/theme/theme1.xml><?xml version="1.0" encoding="utf-8"?>
<a:theme xmlns:a="http://schemas.openxmlformats.org/drawingml/2006/main" name="Office Theme">
  <a:themeElements>
    <a:clrScheme name="Numu Consulting">
      <a:dk1>
        <a:srgbClr val="008080"/>
      </a:dk1>
      <a:lt1>
        <a:srgbClr val="FFFFFF"/>
      </a:lt1>
      <a:dk2>
        <a:srgbClr val="008080"/>
      </a:dk2>
      <a:lt2>
        <a:srgbClr val="FFFFFF"/>
      </a:lt2>
      <a:accent1>
        <a:srgbClr val="C8C8C8"/>
      </a:accent1>
      <a:accent2>
        <a:srgbClr val="6AB2B2"/>
      </a:accent2>
      <a:accent3>
        <a:srgbClr val="AAAAAA"/>
      </a:accent3>
      <a:accent4>
        <a:srgbClr val="008080"/>
      </a:accent4>
      <a:accent5>
        <a:srgbClr val="7D7D7D"/>
      </a:accent5>
      <a:accent6>
        <a:srgbClr val="1E6262"/>
      </a:accent6>
      <a:hlink>
        <a:srgbClr val="909090"/>
      </a:hlink>
      <a:folHlink>
        <a:srgbClr val="6A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8"/>
  <sheetViews>
    <sheetView tabSelected="1" topLeftCell="A5" workbookViewId="0">
      <selection activeCell="K29" sqref="K29"/>
    </sheetView>
  </sheetViews>
  <sheetFormatPr baseColWidth="10" defaultColWidth="8.85546875" defaultRowHeight="15" x14ac:dyDescent="0.25"/>
  <cols>
    <col min="1" max="1" width="2.140625" style="1" customWidth="1"/>
    <col min="2" max="11" width="8.85546875" style="1"/>
    <col min="12" max="12" width="53" style="1" customWidth="1"/>
    <col min="13" max="16384" width="8.85546875" style="1"/>
  </cols>
  <sheetData>
    <row r="1" spans="2:12" ht="15.75" thickBot="1" x14ac:dyDescent="0.3"/>
    <row r="2" spans="2:12" ht="14.45" customHeight="1" x14ac:dyDescent="0.25">
      <c r="B2" s="139"/>
      <c r="C2" s="138"/>
      <c r="D2" s="138"/>
      <c r="E2" s="138"/>
      <c r="F2" s="138"/>
      <c r="G2" s="138"/>
      <c r="H2" s="138"/>
      <c r="I2" s="138"/>
      <c r="J2" s="138"/>
      <c r="K2" s="138"/>
      <c r="L2" s="137"/>
    </row>
    <row r="3" spans="2:12" x14ac:dyDescent="0.25">
      <c r="B3" s="136"/>
      <c r="C3" s="135"/>
      <c r="D3" s="135"/>
      <c r="E3" s="135"/>
      <c r="F3" s="135"/>
      <c r="G3" s="135"/>
      <c r="H3" s="135"/>
      <c r="I3" s="135"/>
      <c r="J3" s="135"/>
      <c r="K3" s="135"/>
      <c r="L3" s="134"/>
    </row>
    <row r="4" spans="2:12" ht="18.75" x14ac:dyDescent="0.3">
      <c r="B4" s="136"/>
      <c r="C4" s="135"/>
      <c r="D4" s="135"/>
      <c r="E4" s="338" t="s">
        <v>693</v>
      </c>
      <c r="F4" s="339"/>
      <c r="G4" s="339"/>
      <c r="H4" s="339"/>
      <c r="I4" s="135"/>
      <c r="J4" s="135"/>
      <c r="K4" s="135"/>
      <c r="L4" s="134"/>
    </row>
    <row r="5" spans="2:12" ht="15.75" x14ac:dyDescent="0.25">
      <c r="B5" s="136"/>
      <c r="C5" s="135"/>
      <c r="D5" s="135"/>
      <c r="E5" s="340"/>
      <c r="F5" s="340"/>
      <c r="G5" s="346">
        <v>43282</v>
      </c>
      <c r="H5" s="346"/>
      <c r="I5" s="135"/>
      <c r="J5" s="135"/>
      <c r="K5" s="135"/>
      <c r="L5" s="134"/>
    </row>
    <row r="6" spans="2:12" x14ac:dyDescent="0.25">
      <c r="B6" s="136"/>
      <c r="C6" s="135"/>
      <c r="D6" s="135"/>
      <c r="E6" s="135"/>
      <c r="F6" s="135"/>
      <c r="G6" s="135"/>
      <c r="H6" s="135"/>
      <c r="I6" s="135"/>
      <c r="J6" s="135"/>
      <c r="K6" s="135"/>
      <c r="L6" s="134"/>
    </row>
    <row r="7" spans="2:12" ht="15.75" thickBot="1" x14ac:dyDescent="0.3">
      <c r="B7" s="129"/>
      <c r="C7" s="127"/>
      <c r="D7" s="127"/>
      <c r="E7" s="127"/>
      <c r="F7" s="127"/>
      <c r="G7" s="127"/>
      <c r="H7" s="127"/>
      <c r="I7" s="127"/>
      <c r="J7" s="127"/>
      <c r="K7" s="127"/>
      <c r="L7" s="128"/>
    </row>
    <row r="8" spans="2:12" ht="14.45" customHeight="1" x14ac:dyDescent="0.25">
      <c r="B8" s="347" t="s">
        <v>256</v>
      </c>
      <c r="C8" s="348"/>
      <c r="D8" s="348"/>
      <c r="E8" s="348"/>
      <c r="F8" s="348"/>
      <c r="G8" s="348"/>
      <c r="H8" s="348"/>
      <c r="I8" s="348"/>
      <c r="J8" s="348"/>
      <c r="K8" s="348"/>
      <c r="L8" s="349"/>
    </row>
    <row r="9" spans="2:12" x14ac:dyDescent="0.25">
      <c r="B9" s="350"/>
      <c r="C9" s="351"/>
      <c r="D9" s="351"/>
      <c r="E9" s="351"/>
      <c r="F9" s="351"/>
      <c r="G9" s="351"/>
      <c r="H9" s="351"/>
      <c r="I9" s="351"/>
      <c r="J9" s="351"/>
      <c r="K9" s="351"/>
      <c r="L9" s="352"/>
    </row>
    <row r="10" spans="2:12" x14ac:dyDescent="0.25">
      <c r="B10" s="350"/>
      <c r="C10" s="351"/>
      <c r="D10" s="351"/>
      <c r="E10" s="351"/>
      <c r="F10" s="351"/>
      <c r="G10" s="351"/>
      <c r="H10" s="351"/>
      <c r="I10" s="351"/>
      <c r="J10" s="351"/>
      <c r="K10" s="351"/>
      <c r="L10" s="352"/>
    </row>
    <row r="11" spans="2:12" x14ac:dyDescent="0.25">
      <c r="B11" s="350"/>
      <c r="C11" s="351"/>
      <c r="D11" s="351"/>
      <c r="E11" s="351"/>
      <c r="F11" s="351"/>
      <c r="G11" s="351"/>
      <c r="H11" s="351"/>
      <c r="I11" s="351"/>
      <c r="J11" s="351"/>
      <c r="K11" s="351"/>
      <c r="L11" s="352"/>
    </row>
    <row r="12" spans="2:12" ht="15.75" thickBot="1" x14ac:dyDescent="0.3">
      <c r="B12" s="353"/>
      <c r="C12" s="354"/>
      <c r="D12" s="354"/>
      <c r="E12" s="354"/>
      <c r="F12" s="354"/>
      <c r="G12" s="354"/>
      <c r="H12" s="354"/>
      <c r="I12" s="354"/>
      <c r="J12" s="354"/>
      <c r="K12" s="354"/>
      <c r="L12" s="355"/>
    </row>
    <row r="13" spans="2:12" ht="15.75" x14ac:dyDescent="0.25">
      <c r="B13" s="132"/>
      <c r="C13" s="131"/>
      <c r="D13" s="131"/>
      <c r="E13" s="131"/>
      <c r="F13" s="131"/>
      <c r="G13" s="131"/>
      <c r="H13" s="131"/>
      <c r="I13" s="131"/>
      <c r="J13" s="131"/>
      <c r="K13" s="131"/>
      <c r="L13" s="130"/>
    </row>
    <row r="14" spans="2:12" ht="14.1" customHeight="1" x14ac:dyDescent="0.25">
      <c r="B14" s="356" t="s">
        <v>255</v>
      </c>
      <c r="C14" s="357"/>
      <c r="D14" s="357"/>
      <c r="E14" s="357"/>
      <c r="F14" s="357"/>
      <c r="G14" s="357"/>
      <c r="H14" s="357"/>
      <c r="I14" s="357"/>
      <c r="J14" s="357"/>
      <c r="K14" s="357"/>
      <c r="L14" s="358"/>
    </row>
    <row r="15" spans="2:12" x14ac:dyDescent="0.25">
      <c r="B15" s="359" t="s">
        <v>257</v>
      </c>
      <c r="C15" s="360"/>
      <c r="D15" s="360"/>
      <c r="E15" s="360"/>
      <c r="F15" s="360"/>
      <c r="G15" s="360"/>
      <c r="H15" s="360"/>
      <c r="I15" s="360"/>
      <c r="J15" s="360"/>
      <c r="K15" s="360"/>
      <c r="L15" s="361"/>
    </row>
    <row r="16" spans="2:12" x14ac:dyDescent="0.25">
      <c r="B16" s="140" t="s">
        <v>258</v>
      </c>
      <c r="C16" s="141"/>
      <c r="D16" s="141"/>
      <c r="E16" s="141"/>
      <c r="F16" s="141"/>
      <c r="G16" s="141"/>
      <c r="H16" s="141"/>
      <c r="I16" s="141"/>
      <c r="J16" s="141"/>
      <c r="K16" s="141"/>
      <c r="L16" s="142"/>
    </row>
    <row r="17" spans="2:12" x14ac:dyDescent="0.25">
      <c r="B17" s="359" t="s">
        <v>259</v>
      </c>
      <c r="C17" s="360"/>
      <c r="D17" s="360"/>
      <c r="E17" s="360"/>
      <c r="F17" s="360"/>
      <c r="G17" s="360"/>
      <c r="H17" s="360"/>
      <c r="I17" s="360"/>
      <c r="J17" s="360"/>
      <c r="K17" s="360"/>
      <c r="L17" s="361"/>
    </row>
    <row r="18" spans="2:12" x14ac:dyDescent="0.25">
      <c r="B18" s="140" t="s">
        <v>260</v>
      </c>
      <c r="C18" s="141"/>
      <c r="D18" s="141"/>
      <c r="E18" s="141"/>
      <c r="F18" s="141"/>
      <c r="G18" s="141"/>
      <c r="H18" s="141"/>
      <c r="I18" s="141"/>
      <c r="J18" s="141"/>
      <c r="K18" s="141"/>
      <c r="L18" s="142"/>
    </row>
    <row r="19" spans="2:12" x14ac:dyDescent="0.25">
      <c r="B19" s="359" t="s">
        <v>261</v>
      </c>
      <c r="C19" s="360"/>
      <c r="D19" s="360"/>
      <c r="E19" s="360"/>
      <c r="F19" s="360"/>
      <c r="G19" s="360"/>
      <c r="H19" s="360"/>
      <c r="I19" s="360"/>
      <c r="J19" s="360"/>
      <c r="K19" s="360"/>
      <c r="L19" s="361"/>
    </row>
    <row r="20" spans="2:12" x14ac:dyDescent="0.25">
      <c r="B20" s="140" t="s">
        <v>262</v>
      </c>
      <c r="C20" s="141"/>
      <c r="D20" s="141"/>
      <c r="E20" s="141"/>
      <c r="F20" s="141"/>
      <c r="G20" s="141"/>
      <c r="H20" s="141"/>
      <c r="I20" s="141"/>
      <c r="J20" s="141"/>
      <c r="K20" s="141"/>
      <c r="L20" s="142"/>
    </row>
    <row r="21" spans="2:12" ht="15.75" thickBot="1" x14ac:dyDescent="0.3">
      <c r="B21" s="363" t="s">
        <v>263</v>
      </c>
      <c r="C21" s="364"/>
      <c r="D21" s="364"/>
      <c r="E21" s="364"/>
      <c r="F21" s="364"/>
      <c r="G21" s="364"/>
      <c r="H21" s="364"/>
      <c r="I21" s="364"/>
      <c r="J21" s="364"/>
      <c r="K21" s="364"/>
      <c r="L21" s="365"/>
    </row>
    <row r="22" spans="2:12" x14ac:dyDescent="0.25">
      <c r="B22" s="127"/>
      <c r="C22" s="127"/>
      <c r="D22" s="127"/>
      <c r="E22" s="127"/>
      <c r="F22" s="127"/>
      <c r="G22" s="127"/>
      <c r="H22" s="127"/>
      <c r="I22" s="127"/>
      <c r="J22" s="127"/>
      <c r="K22" s="127"/>
      <c r="L22" s="127"/>
    </row>
    <row r="24" spans="2:12" x14ac:dyDescent="0.25">
      <c r="B24" s="366" t="s">
        <v>254</v>
      </c>
      <c r="C24" s="366"/>
      <c r="D24" s="366"/>
    </row>
    <row r="25" spans="2:12" x14ac:dyDescent="0.25">
      <c r="B25" s="367" t="s">
        <v>253</v>
      </c>
      <c r="C25" s="367"/>
      <c r="D25" s="367"/>
    </row>
    <row r="26" spans="2:12" x14ac:dyDescent="0.25">
      <c r="B26" s="362" t="s">
        <v>252</v>
      </c>
      <c r="C26" s="362"/>
      <c r="D26" s="362"/>
    </row>
    <row r="28" spans="2:12" x14ac:dyDescent="0.25">
      <c r="K28" s="1" t="s">
        <v>701</v>
      </c>
    </row>
  </sheetData>
  <mergeCells count="10">
    <mergeCell ref="G5:H5"/>
    <mergeCell ref="B8:L12"/>
    <mergeCell ref="B14:L14"/>
    <mergeCell ref="B15:L15"/>
    <mergeCell ref="B26:D26"/>
    <mergeCell ref="B17:L17"/>
    <mergeCell ref="B19:L19"/>
    <mergeCell ref="B21:L21"/>
    <mergeCell ref="B24:D24"/>
    <mergeCell ref="B25:D25"/>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B5:H35"/>
  <sheetViews>
    <sheetView topLeftCell="A3" workbookViewId="0">
      <selection activeCell="F33" sqref="F33:G33"/>
    </sheetView>
  </sheetViews>
  <sheetFormatPr baseColWidth="10" defaultColWidth="8.85546875" defaultRowHeight="15" x14ac:dyDescent="0.25"/>
  <cols>
    <col min="1" max="2" width="8.85546875" style="1"/>
    <col min="3" max="3" width="21.140625" style="1" customWidth="1"/>
    <col min="4" max="4" width="17.85546875" style="1" bestFit="1" customWidth="1"/>
    <col min="5" max="5" width="23.140625" style="1" bestFit="1" customWidth="1"/>
    <col min="6" max="6" width="21.85546875" style="1" bestFit="1" customWidth="1"/>
    <col min="7" max="7" width="37.85546875" style="1" bestFit="1" customWidth="1"/>
    <col min="8" max="8" width="39.5703125" style="1" bestFit="1" customWidth="1"/>
    <col min="9" max="9" width="12.140625" style="1" bestFit="1" customWidth="1"/>
    <col min="10" max="16384" width="8.85546875" style="1"/>
  </cols>
  <sheetData>
    <row r="5" spans="2:8" x14ac:dyDescent="0.25">
      <c r="B5" s="3" t="s">
        <v>1</v>
      </c>
      <c r="C5" s="25" t="s">
        <v>236</v>
      </c>
      <c r="D5" s="25"/>
      <c r="E5" s="25"/>
      <c r="F5" s="25"/>
      <c r="G5" s="25"/>
      <c r="H5" s="25"/>
    </row>
    <row r="6" spans="2:8" x14ac:dyDescent="0.25">
      <c r="C6" s="10" t="s">
        <v>83</v>
      </c>
      <c r="D6" s="11"/>
      <c r="E6" s="11"/>
      <c r="F6" s="11" t="s">
        <v>0</v>
      </c>
      <c r="G6" s="12"/>
      <c r="H6" s="12"/>
    </row>
    <row r="7" spans="2:8" x14ac:dyDescent="0.25">
      <c r="B7" s="368" t="s">
        <v>2</v>
      </c>
      <c r="C7" s="369" t="s">
        <v>3</v>
      </c>
      <c r="D7" s="369" t="s">
        <v>4</v>
      </c>
      <c r="E7" s="369" t="s">
        <v>5</v>
      </c>
      <c r="F7" s="9" t="s">
        <v>72</v>
      </c>
      <c r="G7" s="21"/>
      <c r="H7" s="21"/>
    </row>
    <row r="8" spans="2:8" x14ac:dyDescent="0.25">
      <c r="B8" s="368"/>
      <c r="C8" s="370"/>
      <c r="D8" s="370"/>
      <c r="E8" s="370"/>
      <c r="F8" s="110" t="s">
        <v>240</v>
      </c>
      <c r="G8" s="110" t="s">
        <v>241</v>
      </c>
      <c r="H8" s="110" t="s">
        <v>242</v>
      </c>
    </row>
    <row r="9" spans="2:8" x14ac:dyDescent="0.25">
      <c r="B9" s="6">
        <v>1</v>
      </c>
      <c r="C9" s="8" t="s">
        <v>84</v>
      </c>
      <c r="D9" s="8" t="s">
        <v>104</v>
      </c>
      <c r="E9" s="8" t="s">
        <v>105</v>
      </c>
      <c r="F9" s="7" t="s">
        <v>69</v>
      </c>
      <c r="G9" s="7" t="s">
        <v>69</v>
      </c>
      <c r="H9" s="7"/>
    </row>
    <row r="10" spans="2:8" x14ac:dyDescent="0.25">
      <c r="B10" s="6">
        <v>2</v>
      </c>
      <c r="C10" s="8" t="s">
        <v>85</v>
      </c>
      <c r="D10" s="8" t="s">
        <v>104</v>
      </c>
      <c r="E10" s="8" t="s">
        <v>106</v>
      </c>
      <c r="F10" s="7" t="s">
        <v>69</v>
      </c>
      <c r="G10" s="7" t="s">
        <v>69</v>
      </c>
      <c r="H10" s="7"/>
    </row>
    <row r="11" spans="2:8" x14ac:dyDescent="0.25">
      <c r="B11" s="6">
        <v>3</v>
      </c>
      <c r="C11" s="8" t="s">
        <v>86</v>
      </c>
      <c r="D11" s="8" t="s">
        <v>104</v>
      </c>
      <c r="E11" s="8" t="s">
        <v>106</v>
      </c>
      <c r="F11" s="7"/>
      <c r="G11" s="7" t="s">
        <v>69</v>
      </c>
      <c r="H11" s="7"/>
    </row>
    <row r="12" spans="2:8" x14ac:dyDescent="0.25">
      <c r="B12" s="6">
        <v>4</v>
      </c>
      <c r="C12" s="8" t="s">
        <v>87</v>
      </c>
      <c r="D12" s="8" t="s">
        <v>104</v>
      </c>
      <c r="E12" s="8" t="s">
        <v>106</v>
      </c>
      <c r="F12" s="7"/>
      <c r="G12" s="7" t="s">
        <v>69</v>
      </c>
      <c r="H12" s="7"/>
    </row>
    <row r="13" spans="2:8" x14ac:dyDescent="0.25">
      <c r="B13" s="6">
        <v>5</v>
      </c>
      <c r="C13" s="8" t="s">
        <v>88</v>
      </c>
      <c r="D13" s="8" t="s">
        <v>104</v>
      </c>
      <c r="E13" s="8" t="s">
        <v>106</v>
      </c>
      <c r="F13" s="7"/>
      <c r="G13" s="7" t="s">
        <v>69</v>
      </c>
      <c r="H13" s="7"/>
    </row>
    <row r="14" spans="2:8" x14ac:dyDescent="0.25">
      <c r="B14" s="6">
        <v>6</v>
      </c>
      <c r="C14" s="8" t="s">
        <v>89</v>
      </c>
      <c r="D14" s="8" t="s">
        <v>104</v>
      </c>
      <c r="E14" s="8" t="s">
        <v>106</v>
      </c>
      <c r="F14" s="2"/>
      <c r="G14" s="7" t="s">
        <v>69</v>
      </c>
      <c r="H14" s="2"/>
    </row>
    <row r="15" spans="2:8" x14ac:dyDescent="0.25">
      <c r="B15" s="6">
        <v>7</v>
      </c>
      <c r="C15" s="8" t="s">
        <v>90</v>
      </c>
      <c r="D15" s="8" t="s">
        <v>104</v>
      </c>
      <c r="E15" s="8" t="s">
        <v>106</v>
      </c>
      <c r="F15" s="2"/>
      <c r="G15" s="7" t="s">
        <v>69</v>
      </c>
      <c r="H15" s="2"/>
    </row>
    <row r="16" spans="2:8" x14ac:dyDescent="0.25">
      <c r="B16" s="6">
        <v>8</v>
      </c>
      <c r="C16" s="8" t="s">
        <v>91</v>
      </c>
      <c r="D16" s="8" t="s">
        <v>104</v>
      </c>
      <c r="E16" s="8" t="s">
        <v>106</v>
      </c>
      <c r="F16" s="2"/>
      <c r="G16" s="7" t="s">
        <v>69</v>
      </c>
      <c r="H16" s="2"/>
    </row>
    <row r="17" spans="2:8" x14ac:dyDescent="0.25">
      <c r="B17" s="6">
        <v>9</v>
      </c>
      <c r="C17" s="8" t="s">
        <v>92</v>
      </c>
      <c r="D17" s="8" t="s">
        <v>104</v>
      </c>
      <c r="E17" s="8" t="s">
        <v>106</v>
      </c>
      <c r="F17" s="2"/>
      <c r="G17" s="7" t="s">
        <v>69</v>
      </c>
      <c r="H17" s="2"/>
    </row>
    <row r="18" spans="2:8" x14ac:dyDescent="0.25">
      <c r="B18" s="6">
        <v>10</v>
      </c>
      <c r="C18" s="8" t="s">
        <v>93</v>
      </c>
      <c r="D18" s="8" t="s">
        <v>104</v>
      </c>
      <c r="E18" s="8" t="s">
        <v>106</v>
      </c>
      <c r="F18" s="2"/>
      <c r="G18" s="7" t="s">
        <v>69</v>
      </c>
      <c r="H18" s="2"/>
    </row>
    <row r="19" spans="2:8" x14ac:dyDescent="0.25">
      <c r="B19" s="6">
        <v>11</v>
      </c>
      <c r="C19" s="8" t="s">
        <v>94</v>
      </c>
      <c r="D19" s="8" t="s">
        <v>264</v>
      </c>
      <c r="E19" s="8" t="s">
        <v>106</v>
      </c>
      <c r="F19" s="2"/>
      <c r="G19" s="7" t="s">
        <v>69</v>
      </c>
      <c r="H19" s="2"/>
    </row>
    <row r="20" spans="2:8" x14ac:dyDescent="0.25">
      <c r="B20" s="6">
        <v>12</v>
      </c>
      <c r="C20" s="8" t="s">
        <v>95</v>
      </c>
      <c r="D20" s="8" t="s">
        <v>104</v>
      </c>
      <c r="E20" s="8" t="s">
        <v>106</v>
      </c>
      <c r="F20" s="2"/>
      <c r="G20" s="7" t="s">
        <v>69</v>
      </c>
      <c r="H20" s="2"/>
    </row>
    <row r="21" spans="2:8" x14ac:dyDescent="0.25">
      <c r="B21" s="6">
        <v>13</v>
      </c>
      <c r="C21" s="8" t="s">
        <v>96</v>
      </c>
      <c r="D21" s="8" t="s">
        <v>104</v>
      </c>
      <c r="E21" s="8" t="s">
        <v>106</v>
      </c>
      <c r="F21" s="2"/>
      <c r="G21" s="7" t="s">
        <v>69</v>
      </c>
      <c r="H21" s="2"/>
    </row>
    <row r="22" spans="2:8" x14ac:dyDescent="0.25">
      <c r="B22" s="6">
        <v>14</v>
      </c>
      <c r="C22" s="8" t="s">
        <v>97</v>
      </c>
      <c r="D22" s="8" t="s">
        <v>107</v>
      </c>
      <c r="E22" s="8" t="s">
        <v>108</v>
      </c>
      <c r="F22" s="7" t="s">
        <v>69</v>
      </c>
      <c r="G22" s="2"/>
      <c r="H22" s="7" t="s">
        <v>69</v>
      </c>
    </row>
    <row r="23" spans="2:8" x14ac:dyDescent="0.25">
      <c r="B23" s="6">
        <v>15</v>
      </c>
      <c r="C23" s="8" t="s">
        <v>98</v>
      </c>
      <c r="D23" s="8" t="s">
        <v>109</v>
      </c>
      <c r="E23" s="8" t="s">
        <v>108</v>
      </c>
      <c r="F23" s="7" t="s">
        <v>69</v>
      </c>
      <c r="G23" s="2"/>
      <c r="H23" s="7" t="s">
        <v>69</v>
      </c>
    </row>
    <row r="24" spans="2:8" x14ac:dyDescent="0.25">
      <c r="B24" s="6">
        <v>16</v>
      </c>
      <c r="C24" s="8" t="s">
        <v>99</v>
      </c>
      <c r="D24" s="8" t="s">
        <v>110</v>
      </c>
      <c r="E24" s="8" t="s">
        <v>108</v>
      </c>
      <c r="F24" s="7" t="s">
        <v>69</v>
      </c>
      <c r="G24" s="2"/>
      <c r="H24" s="7" t="s">
        <v>69</v>
      </c>
    </row>
    <row r="25" spans="2:8" x14ac:dyDescent="0.25">
      <c r="B25" s="6">
        <v>17</v>
      </c>
      <c r="C25" s="8" t="s">
        <v>100</v>
      </c>
      <c r="D25" s="8" t="s">
        <v>111</v>
      </c>
      <c r="E25" s="8" t="s">
        <v>108</v>
      </c>
      <c r="F25" s="7" t="s">
        <v>69</v>
      </c>
      <c r="G25" s="2"/>
      <c r="H25" s="7" t="s">
        <v>69</v>
      </c>
    </row>
    <row r="26" spans="2:8" x14ac:dyDescent="0.25">
      <c r="B26" s="6">
        <v>18</v>
      </c>
      <c r="C26" s="8" t="s">
        <v>101</v>
      </c>
      <c r="D26" s="8" t="s">
        <v>112</v>
      </c>
      <c r="E26" s="8" t="s">
        <v>113</v>
      </c>
      <c r="F26" s="7" t="s">
        <v>69</v>
      </c>
      <c r="G26" s="2"/>
      <c r="H26" s="7" t="s">
        <v>69</v>
      </c>
    </row>
    <row r="27" spans="2:8" x14ac:dyDescent="0.25">
      <c r="B27" s="6">
        <v>19</v>
      </c>
      <c r="C27" s="8" t="s">
        <v>102</v>
      </c>
      <c r="D27" s="8" t="s">
        <v>112</v>
      </c>
      <c r="E27" s="8" t="s">
        <v>114</v>
      </c>
      <c r="F27" s="7" t="s">
        <v>69</v>
      </c>
      <c r="G27" s="2"/>
      <c r="H27" s="7" t="s">
        <v>69</v>
      </c>
    </row>
    <row r="28" spans="2:8" x14ac:dyDescent="0.25">
      <c r="B28" s="6">
        <v>20</v>
      </c>
      <c r="C28" s="8" t="s">
        <v>116</v>
      </c>
      <c r="D28" s="8" t="s">
        <v>115</v>
      </c>
      <c r="E28" s="8" t="s">
        <v>108</v>
      </c>
      <c r="F28" s="7" t="s">
        <v>69</v>
      </c>
      <c r="G28" s="2"/>
      <c r="H28" s="7" t="s">
        <v>69</v>
      </c>
    </row>
    <row r="29" spans="2:8" x14ac:dyDescent="0.25">
      <c r="B29" s="6">
        <v>21</v>
      </c>
      <c r="C29" s="8" t="s">
        <v>103</v>
      </c>
      <c r="D29" s="8" t="s">
        <v>117</v>
      </c>
      <c r="E29" s="8" t="s">
        <v>108</v>
      </c>
      <c r="F29" s="7" t="s">
        <v>69</v>
      </c>
      <c r="G29" s="2"/>
      <c r="H29" s="7" t="s">
        <v>69</v>
      </c>
    </row>
    <row r="30" spans="2:8" x14ac:dyDescent="0.25">
      <c r="B30" s="6">
        <v>22</v>
      </c>
      <c r="C30" s="8" t="s">
        <v>237</v>
      </c>
      <c r="D30" s="8" t="s">
        <v>107</v>
      </c>
      <c r="E30" s="8" t="s">
        <v>238</v>
      </c>
      <c r="F30" s="7" t="s">
        <v>69</v>
      </c>
      <c r="G30" s="2"/>
      <c r="H30" s="7"/>
    </row>
    <row r="31" spans="2:8" x14ac:dyDescent="0.25">
      <c r="B31" s="6">
        <v>23</v>
      </c>
      <c r="C31" s="8" t="s">
        <v>239</v>
      </c>
      <c r="D31" s="8" t="s">
        <v>249</v>
      </c>
      <c r="E31" s="8" t="s">
        <v>250</v>
      </c>
      <c r="F31" s="2"/>
      <c r="G31" s="2"/>
      <c r="H31" s="7" t="s">
        <v>70</v>
      </c>
    </row>
    <row r="32" spans="2:8" x14ac:dyDescent="0.25">
      <c r="B32" s="6">
        <v>24</v>
      </c>
      <c r="C32" s="8" t="s">
        <v>251</v>
      </c>
      <c r="D32" s="126" t="s">
        <v>107</v>
      </c>
      <c r="E32" s="126" t="s">
        <v>106</v>
      </c>
      <c r="F32" s="2"/>
      <c r="G32" s="2"/>
      <c r="H32" s="7" t="s">
        <v>70</v>
      </c>
    </row>
    <row r="33" spans="2:8" x14ac:dyDescent="0.25">
      <c r="B33" s="6">
        <v>25</v>
      </c>
      <c r="C33" s="8" t="s">
        <v>118</v>
      </c>
      <c r="D33" s="8" t="s">
        <v>119</v>
      </c>
      <c r="E33" s="8" t="s">
        <v>120</v>
      </c>
      <c r="F33" s="7" t="s">
        <v>69</v>
      </c>
      <c r="G33" s="7" t="s">
        <v>69</v>
      </c>
      <c r="H33" s="8"/>
    </row>
    <row r="34" spans="2:8" x14ac:dyDescent="0.25">
      <c r="B34" s="6">
        <v>26</v>
      </c>
      <c r="C34" s="8" t="s">
        <v>121</v>
      </c>
      <c r="D34" s="8" t="s">
        <v>122</v>
      </c>
      <c r="E34" s="8" t="s">
        <v>123</v>
      </c>
      <c r="F34" s="7" t="s">
        <v>69</v>
      </c>
      <c r="G34" s="8"/>
      <c r="H34" s="8"/>
    </row>
    <row r="35" spans="2:8" x14ac:dyDescent="0.25">
      <c r="B35" s="6">
        <v>27</v>
      </c>
      <c r="C35" s="8" t="s">
        <v>341</v>
      </c>
      <c r="D35" s="126" t="s">
        <v>107</v>
      </c>
      <c r="E35" s="126" t="s">
        <v>238</v>
      </c>
      <c r="F35" s="2"/>
      <c r="G35" s="2"/>
      <c r="H35" s="7" t="s">
        <v>70</v>
      </c>
    </row>
  </sheetData>
  <mergeCells count="4">
    <mergeCell ref="B7:B8"/>
    <mergeCell ref="C7:C8"/>
    <mergeCell ref="D7:D8"/>
    <mergeCell ref="E7:E8"/>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B2:F12"/>
  <sheetViews>
    <sheetView topLeftCell="B1" workbookViewId="0">
      <selection activeCell="B6" sqref="B6"/>
    </sheetView>
  </sheetViews>
  <sheetFormatPr baseColWidth="10" defaultColWidth="8.85546875" defaultRowHeight="15" x14ac:dyDescent="0.25"/>
  <cols>
    <col min="1" max="1" width="8.85546875" style="1"/>
    <col min="2" max="2" width="15" style="1" customWidth="1"/>
    <col min="3" max="3" width="32" style="1" customWidth="1"/>
    <col min="4" max="4" width="49" style="1" customWidth="1"/>
    <col min="5" max="5" width="20.5703125" style="1" customWidth="1"/>
    <col min="6" max="6" width="26.140625" style="1" customWidth="1"/>
    <col min="7" max="7" width="20.85546875" style="1" bestFit="1" customWidth="1"/>
    <col min="8" max="16384" width="8.85546875" style="1"/>
  </cols>
  <sheetData>
    <row r="2" spans="2:6" x14ac:dyDescent="0.25">
      <c r="B2" s="3" t="s">
        <v>1</v>
      </c>
      <c r="C2" s="25" t="s">
        <v>236</v>
      </c>
    </row>
    <row r="4" spans="2:6" ht="15.75" x14ac:dyDescent="0.25">
      <c r="B4" s="26" t="s">
        <v>2</v>
      </c>
      <c r="C4" s="26" t="s">
        <v>129</v>
      </c>
      <c r="D4" s="26" t="s">
        <v>6</v>
      </c>
      <c r="E4" s="26" t="s">
        <v>76</v>
      </c>
      <c r="F4" s="26" t="s">
        <v>73</v>
      </c>
    </row>
    <row r="5" spans="2:6" ht="81" customHeight="1" x14ac:dyDescent="0.25">
      <c r="B5" s="14">
        <v>1</v>
      </c>
      <c r="C5" s="4" t="s">
        <v>124</v>
      </c>
      <c r="D5" s="23" t="s">
        <v>127</v>
      </c>
      <c r="E5" s="27" t="s">
        <v>75</v>
      </c>
      <c r="F5" s="24" t="s">
        <v>128</v>
      </c>
    </row>
    <row r="6" spans="2:6" ht="54" customHeight="1" x14ac:dyDescent="0.25">
      <c r="B6" s="14">
        <v>2</v>
      </c>
      <c r="C6" s="4" t="s">
        <v>125</v>
      </c>
      <c r="D6" s="23" t="s">
        <v>126</v>
      </c>
      <c r="E6" s="27" t="s">
        <v>75</v>
      </c>
      <c r="F6" s="24" t="s">
        <v>74</v>
      </c>
    </row>
    <row r="7" spans="2:6" ht="83.1" customHeight="1" x14ac:dyDescent="0.25">
      <c r="B7" s="14">
        <v>3</v>
      </c>
      <c r="C7" s="5" t="s">
        <v>132</v>
      </c>
      <c r="D7" s="23" t="s">
        <v>134</v>
      </c>
      <c r="E7" s="35" t="s">
        <v>133</v>
      </c>
      <c r="F7" s="24" t="s">
        <v>74</v>
      </c>
    </row>
    <row r="8" spans="2:6" ht="60" customHeight="1" x14ac:dyDescent="0.25">
      <c r="B8" s="14">
        <v>4</v>
      </c>
      <c r="C8" s="4" t="s">
        <v>135</v>
      </c>
      <c r="D8" s="23" t="s">
        <v>136</v>
      </c>
      <c r="E8" s="27" t="s">
        <v>75</v>
      </c>
      <c r="F8" s="24" t="s">
        <v>74</v>
      </c>
    </row>
    <row r="10" spans="2:6" x14ac:dyDescent="0.25">
      <c r="B10" s="28" t="s">
        <v>77</v>
      </c>
    </row>
    <row r="12" spans="2:6" x14ac:dyDescent="0.25">
      <c r="B12" s="108" t="s">
        <v>235</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1"/>
  </sheetPr>
  <dimension ref="B2:C32"/>
  <sheetViews>
    <sheetView workbookViewId="0">
      <selection activeCell="B33" sqref="B33"/>
    </sheetView>
  </sheetViews>
  <sheetFormatPr baseColWidth="10" defaultColWidth="8.85546875" defaultRowHeight="15" x14ac:dyDescent="0.25"/>
  <cols>
    <col min="1" max="2" width="8.85546875" style="1"/>
    <col min="3" max="3" width="54.85546875" style="1" customWidth="1"/>
    <col min="4" max="5" width="8.85546875" style="1"/>
    <col min="6" max="6" width="8.85546875" style="1" customWidth="1"/>
    <col min="7" max="16384" width="8.85546875" style="1"/>
  </cols>
  <sheetData>
    <row r="2" spans="2:3" x14ac:dyDescent="0.25">
      <c r="B2" s="3" t="s">
        <v>1</v>
      </c>
      <c r="C2" s="25" t="s">
        <v>236</v>
      </c>
    </row>
    <row r="4" spans="2:3" x14ac:dyDescent="0.25">
      <c r="B4" s="16" t="s">
        <v>2</v>
      </c>
      <c r="C4" s="16" t="s">
        <v>20</v>
      </c>
    </row>
    <row r="5" spans="2:3" x14ac:dyDescent="0.25">
      <c r="B5" s="22">
        <v>1</v>
      </c>
      <c r="C5" s="13" t="s">
        <v>145</v>
      </c>
    </row>
    <row r="6" spans="2:3" x14ac:dyDescent="0.25">
      <c r="B6" s="22">
        <v>2</v>
      </c>
      <c r="C6" s="13" t="s">
        <v>137</v>
      </c>
    </row>
    <row r="7" spans="2:3" x14ac:dyDescent="0.25">
      <c r="B7" s="22">
        <v>3</v>
      </c>
      <c r="C7" s="13" t="s">
        <v>138</v>
      </c>
    </row>
    <row r="8" spans="2:3" x14ac:dyDescent="0.25">
      <c r="B8" s="22">
        <v>4</v>
      </c>
      <c r="C8" s="13" t="s">
        <v>139</v>
      </c>
    </row>
    <row r="9" spans="2:3" x14ac:dyDescent="0.25">
      <c r="B9" s="22">
        <v>5</v>
      </c>
      <c r="C9" s="13" t="s">
        <v>9</v>
      </c>
    </row>
    <row r="10" spans="2:3" x14ac:dyDescent="0.25">
      <c r="B10" s="22">
        <v>6</v>
      </c>
      <c r="C10" s="13" t="s">
        <v>12</v>
      </c>
    </row>
    <row r="11" spans="2:3" x14ac:dyDescent="0.25">
      <c r="B11" s="22">
        <v>7</v>
      </c>
      <c r="C11" s="13" t="s">
        <v>11</v>
      </c>
    </row>
    <row r="12" spans="2:3" x14ac:dyDescent="0.25">
      <c r="B12" s="22">
        <v>8</v>
      </c>
      <c r="C12" s="13" t="s">
        <v>140</v>
      </c>
    </row>
    <row r="13" spans="2:3" x14ac:dyDescent="0.25">
      <c r="B13" s="22">
        <v>9</v>
      </c>
      <c r="C13" s="13" t="s">
        <v>141</v>
      </c>
    </row>
    <row r="14" spans="2:3" x14ac:dyDescent="0.25">
      <c r="B14" s="22">
        <v>10</v>
      </c>
      <c r="C14" s="13" t="s">
        <v>142</v>
      </c>
    </row>
    <row r="15" spans="2:3" x14ac:dyDescent="0.25">
      <c r="B15" s="22">
        <v>11</v>
      </c>
      <c r="C15" s="13" t="s">
        <v>143</v>
      </c>
    </row>
    <row r="16" spans="2:3" x14ac:dyDescent="0.25">
      <c r="B16" s="22">
        <v>12</v>
      </c>
      <c r="C16" s="13" t="s">
        <v>144</v>
      </c>
    </row>
    <row r="17" spans="2:3" x14ac:dyDescent="0.25">
      <c r="B17" s="15" t="s">
        <v>2</v>
      </c>
      <c r="C17" s="15" t="s">
        <v>21</v>
      </c>
    </row>
    <row r="18" spans="2:3" x14ac:dyDescent="0.25">
      <c r="B18" s="22">
        <v>1</v>
      </c>
      <c r="C18" s="143" t="s">
        <v>13</v>
      </c>
    </row>
    <row r="19" spans="2:3" x14ac:dyDescent="0.25">
      <c r="B19" s="22">
        <v>2</v>
      </c>
      <c r="C19" s="143" t="s">
        <v>14</v>
      </c>
    </row>
    <row r="20" spans="2:3" x14ac:dyDescent="0.25">
      <c r="B20" s="22">
        <v>3</v>
      </c>
      <c r="C20" s="143" t="s">
        <v>10</v>
      </c>
    </row>
    <row r="21" spans="2:3" x14ac:dyDescent="0.25">
      <c r="B21" s="22">
        <v>5</v>
      </c>
      <c r="C21" s="143" t="s">
        <v>15</v>
      </c>
    </row>
    <row r="22" spans="2:3" x14ac:dyDescent="0.25">
      <c r="B22" s="22">
        <v>6</v>
      </c>
      <c r="C22" s="143" t="s">
        <v>16</v>
      </c>
    </row>
    <row r="23" spans="2:3" x14ac:dyDescent="0.25">
      <c r="B23" s="22">
        <v>7</v>
      </c>
      <c r="C23" s="143" t="s">
        <v>17</v>
      </c>
    </row>
    <row r="24" spans="2:3" x14ac:dyDescent="0.25">
      <c r="B24" s="22">
        <v>8</v>
      </c>
      <c r="C24" s="143" t="s">
        <v>18</v>
      </c>
    </row>
    <row r="25" spans="2:3" x14ac:dyDescent="0.25">
      <c r="B25" s="22">
        <v>9</v>
      </c>
      <c r="C25" s="143" t="s">
        <v>19</v>
      </c>
    </row>
    <row r="26" spans="2:3" x14ac:dyDescent="0.25">
      <c r="B26" s="22">
        <v>10</v>
      </c>
      <c r="C26" s="13" t="s">
        <v>147</v>
      </c>
    </row>
    <row r="27" spans="2:3" x14ac:dyDescent="0.25">
      <c r="B27" s="22">
        <v>11</v>
      </c>
      <c r="C27" s="13" t="s">
        <v>146</v>
      </c>
    </row>
    <row r="28" spans="2:3" x14ac:dyDescent="0.25">
      <c r="B28" s="22">
        <v>12</v>
      </c>
      <c r="C28" s="13" t="s">
        <v>7</v>
      </c>
    </row>
    <row r="29" spans="2:3" x14ac:dyDescent="0.25">
      <c r="B29" s="22">
        <v>13</v>
      </c>
      <c r="C29" s="13" t="s">
        <v>8</v>
      </c>
    </row>
    <row r="32" spans="2:3" x14ac:dyDescent="0.25">
      <c r="B32" s="14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1"/>
  </sheetPr>
  <dimension ref="C2:Q49"/>
  <sheetViews>
    <sheetView topLeftCell="D2" zoomScale="90" zoomScaleNormal="90" workbookViewId="0">
      <selection activeCell="G20" sqref="G20"/>
    </sheetView>
  </sheetViews>
  <sheetFormatPr baseColWidth="10" defaultColWidth="8.85546875" defaultRowHeight="15" x14ac:dyDescent="0.25"/>
  <cols>
    <col min="1" max="2" width="8.85546875" style="1"/>
    <col min="3" max="3" width="10.42578125" style="1" customWidth="1"/>
    <col min="4" max="4" width="12.85546875" style="1" bestFit="1" customWidth="1"/>
    <col min="5" max="5" width="38.5703125" style="1" bestFit="1" customWidth="1"/>
    <col min="6" max="6" width="15" style="1" customWidth="1"/>
    <col min="7" max="7" width="49.140625" style="1" customWidth="1"/>
    <col min="8" max="8" width="12.85546875" style="322" customWidth="1"/>
    <col min="9" max="12" width="8.85546875" style="322"/>
    <col min="13" max="13" width="8.85546875" style="324"/>
    <col min="14" max="17" width="8.85546875" style="322"/>
    <col min="18" max="16384" width="8.85546875" style="1"/>
  </cols>
  <sheetData>
    <row r="2" spans="3:17" x14ac:dyDescent="0.25">
      <c r="C2" s="3" t="s">
        <v>1</v>
      </c>
      <c r="D2" s="374" t="s">
        <v>236</v>
      </c>
      <c r="E2" s="375"/>
      <c r="F2" s="375"/>
      <c r="G2" s="375"/>
      <c r="H2" s="375"/>
      <c r="I2" s="375"/>
      <c r="J2" s="375"/>
      <c r="K2" s="375"/>
      <c r="L2" s="375"/>
      <c r="M2" s="375"/>
      <c r="N2" s="375"/>
      <c r="O2" s="375"/>
      <c r="P2" s="375"/>
      <c r="Q2" s="375"/>
    </row>
    <row r="4" spans="3:17" x14ac:dyDescent="0.25">
      <c r="C4" s="376" t="s">
        <v>78</v>
      </c>
      <c r="D4" s="18" t="s">
        <v>23</v>
      </c>
      <c r="E4" s="18"/>
      <c r="F4" s="18"/>
      <c r="G4" s="18" t="s">
        <v>22</v>
      </c>
      <c r="H4" s="380" t="s">
        <v>677</v>
      </c>
      <c r="I4" s="381"/>
      <c r="J4" s="381"/>
      <c r="K4" s="382"/>
      <c r="L4" s="321" t="s">
        <v>678</v>
      </c>
      <c r="M4" s="323"/>
      <c r="N4" s="321" t="s">
        <v>679</v>
      </c>
      <c r="O4" s="321"/>
      <c r="P4" s="321" t="s">
        <v>680</v>
      </c>
      <c r="Q4" s="321"/>
    </row>
    <row r="5" spans="3:17" x14ac:dyDescent="0.25">
      <c r="C5" s="377"/>
      <c r="D5" s="379" t="s">
        <v>30</v>
      </c>
      <c r="E5" s="379" t="s">
        <v>24</v>
      </c>
      <c r="F5" s="379" t="s">
        <v>25</v>
      </c>
      <c r="G5" s="379" t="s">
        <v>24</v>
      </c>
      <c r="H5" s="371" t="s">
        <v>681</v>
      </c>
      <c r="I5" s="371"/>
      <c r="J5" s="371"/>
      <c r="K5" s="371"/>
      <c r="L5" s="317" t="s">
        <v>682</v>
      </c>
      <c r="M5" s="372" t="s">
        <v>683</v>
      </c>
      <c r="N5" s="317" t="s">
        <v>682</v>
      </c>
      <c r="O5" s="372" t="s">
        <v>683</v>
      </c>
      <c r="P5" s="317" t="s">
        <v>684</v>
      </c>
      <c r="Q5" s="317" t="s">
        <v>376</v>
      </c>
    </row>
    <row r="6" spans="3:17" ht="29.25" customHeight="1" thickBot="1" x14ac:dyDescent="0.3">
      <c r="C6" s="378"/>
      <c r="D6" s="379"/>
      <c r="E6" s="379"/>
      <c r="F6" s="379"/>
      <c r="G6" s="379"/>
      <c r="H6" s="319" t="s">
        <v>685</v>
      </c>
      <c r="I6" s="319" t="s">
        <v>279</v>
      </c>
      <c r="J6" s="319" t="s">
        <v>278</v>
      </c>
      <c r="K6" s="319" t="s">
        <v>277</v>
      </c>
      <c r="L6" s="318" t="s">
        <v>686</v>
      </c>
      <c r="M6" s="373"/>
      <c r="N6" s="318" t="s">
        <v>686</v>
      </c>
      <c r="O6" s="373"/>
      <c r="P6" s="319" t="s">
        <v>687</v>
      </c>
      <c r="Q6" s="319"/>
    </row>
    <row r="7" spans="3:17" ht="14.45" customHeight="1" x14ac:dyDescent="0.25">
      <c r="C7" s="399" t="s">
        <v>79</v>
      </c>
      <c r="D7" s="393" t="s">
        <v>31</v>
      </c>
      <c r="E7" s="626" t="s">
        <v>696</v>
      </c>
      <c r="F7" s="395">
        <f>SUM(H7:H9)</f>
        <v>84</v>
      </c>
      <c r="G7" s="327" t="s">
        <v>697</v>
      </c>
      <c r="H7" s="39">
        <v>21</v>
      </c>
      <c r="I7" s="320">
        <v>1</v>
      </c>
      <c r="J7" s="320">
        <v>0.5</v>
      </c>
      <c r="K7" s="320">
        <v>0</v>
      </c>
      <c r="L7" s="320">
        <v>2</v>
      </c>
      <c r="M7" s="407">
        <v>6</v>
      </c>
      <c r="N7" s="320">
        <v>2</v>
      </c>
      <c r="O7" s="407">
        <v>6</v>
      </c>
      <c r="P7" s="320" t="s">
        <v>70</v>
      </c>
      <c r="Q7" s="320"/>
    </row>
    <row r="8" spans="3:17" ht="14.45" customHeight="1" x14ac:dyDescent="0.25">
      <c r="C8" s="399"/>
      <c r="D8" s="404"/>
      <c r="E8" s="398"/>
      <c r="F8" s="385"/>
      <c r="G8" s="327" t="s">
        <v>698</v>
      </c>
      <c r="H8" s="40">
        <v>21</v>
      </c>
      <c r="I8" s="320">
        <v>0</v>
      </c>
      <c r="J8" s="320">
        <v>0</v>
      </c>
      <c r="K8" s="320">
        <v>1.5</v>
      </c>
      <c r="L8" s="320">
        <v>2</v>
      </c>
      <c r="M8" s="411"/>
      <c r="N8" s="320">
        <v>2</v>
      </c>
      <c r="O8" s="411"/>
      <c r="P8" s="320" t="s">
        <v>70</v>
      </c>
      <c r="Q8" s="320"/>
    </row>
    <row r="9" spans="3:17" ht="14.45" customHeight="1" x14ac:dyDescent="0.25">
      <c r="C9" s="399"/>
      <c r="D9" s="394"/>
      <c r="E9" s="403"/>
      <c r="F9" s="390"/>
      <c r="G9" s="328" t="s">
        <v>150</v>
      </c>
      <c r="H9" s="40">
        <v>42</v>
      </c>
      <c r="I9" s="320">
        <v>0</v>
      </c>
      <c r="J9" s="320">
        <v>0</v>
      </c>
      <c r="K9" s="320">
        <v>3</v>
      </c>
      <c r="L9" s="320">
        <v>2</v>
      </c>
      <c r="M9" s="408"/>
      <c r="N9" s="320">
        <v>2</v>
      </c>
      <c r="O9" s="408"/>
      <c r="P9" s="320" t="s">
        <v>70</v>
      </c>
      <c r="Q9" s="320"/>
    </row>
    <row r="10" spans="3:17" ht="14.45" customHeight="1" x14ac:dyDescent="0.25">
      <c r="C10" s="399"/>
      <c r="D10" s="393" t="s">
        <v>31</v>
      </c>
      <c r="E10" s="402" t="s">
        <v>160</v>
      </c>
      <c r="F10" s="384">
        <f>SUM(H10:H11)</f>
        <v>42</v>
      </c>
      <c r="G10" s="327" t="s">
        <v>151</v>
      </c>
      <c r="H10" s="40">
        <v>21</v>
      </c>
      <c r="I10" s="320">
        <v>1</v>
      </c>
      <c r="J10" s="320">
        <v>0.5</v>
      </c>
      <c r="K10" s="320">
        <v>0</v>
      </c>
      <c r="L10" s="320">
        <v>3</v>
      </c>
      <c r="M10" s="407">
        <v>6</v>
      </c>
      <c r="N10" s="320">
        <v>3</v>
      </c>
      <c r="O10" s="407">
        <v>6</v>
      </c>
      <c r="P10" s="320" t="s">
        <v>70</v>
      </c>
      <c r="Q10" s="320"/>
    </row>
    <row r="11" spans="3:17" ht="14.45" customHeight="1" x14ac:dyDescent="0.25">
      <c r="C11" s="399"/>
      <c r="D11" s="394"/>
      <c r="E11" s="403"/>
      <c r="F11" s="396"/>
      <c r="G11" s="327" t="s">
        <v>152</v>
      </c>
      <c r="H11" s="40">
        <v>21</v>
      </c>
      <c r="I11" s="320">
        <v>0</v>
      </c>
      <c r="J11" s="320">
        <v>0</v>
      </c>
      <c r="K11" s="320">
        <v>1.5</v>
      </c>
      <c r="L11" s="320">
        <v>3</v>
      </c>
      <c r="M11" s="408"/>
      <c r="N11" s="320">
        <v>3</v>
      </c>
      <c r="O11" s="408"/>
      <c r="P11" s="320" t="s">
        <v>70</v>
      </c>
      <c r="Q11" s="320"/>
    </row>
    <row r="12" spans="3:17" ht="14.45" customHeight="1" x14ac:dyDescent="0.25">
      <c r="C12" s="399"/>
      <c r="D12" s="393" t="s">
        <v>31</v>
      </c>
      <c r="E12" s="402" t="s">
        <v>161</v>
      </c>
      <c r="F12" s="384">
        <f>SUM(H12:H13)</f>
        <v>42</v>
      </c>
      <c r="G12" s="329" t="s">
        <v>26</v>
      </c>
      <c r="H12" s="40">
        <v>21</v>
      </c>
      <c r="I12" s="320">
        <v>1</v>
      </c>
      <c r="J12" s="320">
        <v>0.5</v>
      </c>
      <c r="K12" s="320">
        <v>0</v>
      </c>
      <c r="L12" s="320">
        <v>2</v>
      </c>
      <c r="M12" s="407">
        <v>4</v>
      </c>
      <c r="N12" s="320">
        <v>2</v>
      </c>
      <c r="O12" s="407">
        <v>4</v>
      </c>
      <c r="P12" s="320" t="s">
        <v>70</v>
      </c>
      <c r="Q12" s="320"/>
    </row>
    <row r="13" spans="3:17" ht="14.45" customHeight="1" x14ac:dyDescent="0.25">
      <c r="C13" s="399"/>
      <c r="D13" s="394"/>
      <c r="E13" s="403"/>
      <c r="F13" s="396"/>
      <c r="G13" s="327" t="s">
        <v>153</v>
      </c>
      <c r="H13" s="40">
        <v>21</v>
      </c>
      <c r="I13" s="320">
        <v>0</v>
      </c>
      <c r="J13" s="320">
        <v>0</v>
      </c>
      <c r="K13" s="320">
        <v>1.5</v>
      </c>
      <c r="L13" s="320">
        <v>2</v>
      </c>
      <c r="M13" s="408"/>
      <c r="N13" s="320">
        <v>2</v>
      </c>
      <c r="O13" s="408"/>
      <c r="P13" s="320" t="s">
        <v>70</v>
      </c>
      <c r="Q13" s="320"/>
    </row>
    <row r="14" spans="3:17" ht="14.45" customHeight="1" x14ac:dyDescent="0.25">
      <c r="C14" s="399"/>
      <c r="D14" s="383" t="s">
        <v>31</v>
      </c>
      <c r="E14" s="402" t="s">
        <v>164</v>
      </c>
      <c r="F14" s="384">
        <f>SUM(H14:H15)</f>
        <v>63</v>
      </c>
      <c r="G14" s="327" t="s">
        <v>27</v>
      </c>
      <c r="H14" s="40">
        <v>21</v>
      </c>
      <c r="I14" s="320">
        <v>1</v>
      </c>
      <c r="J14" s="320">
        <v>0.5</v>
      </c>
      <c r="K14" s="320">
        <v>0</v>
      </c>
      <c r="L14" s="320">
        <v>3</v>
      </c>
      <c r="M14" s="407">
        <v>6</v>
      </c>
      <c r="N14" s="320">
        <v>3</v>
      </c>
      <c r="O14" s="407">
        <v>6</v>
      </c>
      <c r="P14" s="320" t="s">
        <v>70</v>
      </c>
      <c r="Q14" s="320"/>
    </row>
    <row r="15" spans="3:17" ht="14.45" customHeight="1" x14ac:dyDescent="0.25">
      <c r="C15" s="399"/>
      <c r="D15" s="383"/>
      <c r="E15" s="403"/>
      <c r="F15" s="396"/>
      <c r="G15" s="327" t="s">
        <v>154</v>
      </c>
      <c r="H15" s="40">
        <v>42</v>
      </c>
      <c r="I15" s="320">
        <v>0</v>
      </c>
      <c r="J15" s="320">
        <v>0</v>
      </c>
      <c r="K15" s="320">
        <v>3</v>
      </c>
      <c r="L15" s="320">
        <v>3</v>
      </c>
      <c r="M15" s="408"/>
      <c r="N15" s="320">
        <v>3</v>
      </c>
      <c r="O15" s="408"/>
      <c r="P15" s="320" t="s">
        <v>70</v>
      </c>
      <c r="Q15" s="320"/>
    </row>
    <row r="16" spans="3:17" ht="14.45" customHeight="1" x14ac:dyDescent="0.25">
      <c r="C16" s="399"/>
      <c r="D16" s="383" t="s">
        <v>32</v>
      </c>
      <c r="E16" s="388" t="s">
        <v>162</v>
      </c>
      <c r="F16" s="386">
        <f>SUM(H16:H17)</f>
        <v>63</v>
      </c>
      <c r="G16" s="330" t="s">
        <v>343</v>
      </c>
      <c r="H16" s="40">
        <v>21</v>
      </c>
      <c r="I16" s="320">
        <v>1</v>
      </c>
      <c r="J16" s="320">
        <v>0.5</v>
      </c>
      <c r="K16" s="320">
        <v>0</v>
      </c>
      <c r="L16" s="320">
        <v>2</v>
      </c>
      <c r="M16" s="407">
        <v>4</v>
      </c>
      <c r="N16" s="320">
        <v>2</v>
      </c>
      <c r="O16" s="407">
        <v>4</v>
      </c>
      <c r="P16" s="320" t="s">
        <v>70</v>
      </c>
      <c r="Q16" s="320"/>
    </row>
    <row r="17" spans="3:17" ht="14.45" customHeight="1" x14ac:dyDescent="0.25">
      <c r="C17" s="399"/>
      <c r="D17" s="383"/>
      <c r="E17" s="389"/>
      <c r="F17" s="386"/>
      <c r="G17" s="331" t="s">
        <v>68</v>
      </c>
      <c r="H17" s="40">
        <v>42</v>
      </c>
      <c r="I17" s="320">
        <v>1</v>
      </c>
      <c r="J17" s="320">
        <v>2</v>
      </c>
      <c r="K17" s="320">
        <v>0</v>
      </c>
      <c r="L17" s="320">
        <v>2</v>
      </c>
      <c r="M17" s="408"/>
      <c r="N17" s="320">
        <v>2</v>
      </c>
      <c r="O17" s="408"/>
      <c r="P17" s="320" t="s">
        <v>70</v>
      </c>
      <c r="Q17" s="320"/>
    </row>
    <row r="18" spans="3:17" ht="14.45" customHeight="1" thickBot="1" x14ac:dyDescent="0.3">
      <c r="C18" s="399"/>
      <c r="D18" s="113" t="s">
        <v>33</v>
      </c>
      <c r="E18" s="112" t="s">
        <v>163</v>
      </c>
      <c r="F18" s="114">
        <f>SUM(H18:H18)</f>
        <v>63</v>
      </c>
      <c r="G18" s="36" t="s">
        <v>265</v>
      </c>
      <c r="H18" s="40">
        <v>63</v>
      </c>
      <c r="I18" s="320" t="s">
        <v>688</v>
      </c>
      <c r="J18" s="320" t="s">
        <v>688</v>
      </c>
      <c r="K18" s="320" t="s">
        <v>688</v>
      </c>
      <c r="L18" s="320">
        <v>4</v>
      </c>
      <c r="M18" s="320">
        <v>4</v>
      </c>
      <c r="N18" s="320">
        <v>4</v>
      </c>
      <c r="O18" s="320">
        <v>4</v>
      </c>
      <c r="P18" s="320" t="s">
        <v>70</v>
      </c>
      <c r="Q18" s="320"/>
    </row>
    <row r="19" spans="3:17" ht="14.45" customHeight="1" thickBot="1" x14ac:dyDescent="0.3">
      <c r="C19" s="48"/>
      <c r="D19" s="44" t="s">
        <v>28</v>
      </c>
      <c r="E19" s="44"/>
      <c r="F19" s="49">
        <f>SUM(F7:F18)</f>
        <v>357</v>
      </c>
      <c r="G19" s="46" t="s">
        <v>28</v>
      </c>
      <c r="H19" s="145">
        <f>SUM(H7:H18)</f>
        <v>357</v>
      </c>
      <c r="I19" s="145">
        <f>SUM(I7:I18)+4.5</f>
        <v>10.5</v>
      </c>
      <c r="J19" s="145">
        <f t="shared" ref="J19:K19" si="0">SUM(J7:J18)</f>
        <v>4.5</v>
      </c>
      <c r="K19" s="145">
        <f t="shared" si="0"/>
        <v>10.5</v>
      </c>
      <c r="L19" s="145">
        <f>SUM(L7:L18)</f>
        <v>30</v>
      </c>
      <c r="M19" s="145">
        <f t="shared" ref="M19:O19" si="1">SUM(M7:M18)</f>
        <v>30</v>
      </c>
      <c r="N19" s="145">
        <f t="shared" si="1"/>
        <v>30</v>
      </c>
      <c r="O19" s="145">
        <f t="shared" si="1"/>
        <v>30</v>
      </c>
      <c r="P19" s="145"/>
      <c r="Q19" s="145"/>
    </row>
    <row r="20" spans="3:17" ht="14.45" customHeight="1" x14ac:dyDescent="0.25">
      <c r="C20" s="400" t="s">
        <v>80</v>
      </c>
      <c r="D20" s="394" t="s">
        <v>31</v>
      </c>
      <c r="E20" s="398" t="s">
        <v>175</v>
      </c>
      <c r="F20" s="397">
        <f>SUM(H20:H21)</f>
        <v>63</v>
      </c>
      <c r="G20" s="332" t="s">
        <v>165</v>
      </c>
      <c r="H20" s="146">
        <v>21</v>
      </c>
      <c r="I20" s="320">
        <v>1</v>
      </c>
      <c r="J20" s="320">
        <v>0.5</v>
      </c>
      <c r="K20" s="320">
        <v>0</v>
      </c>
      <c r="L20" s="320">
        <v>2</v>
      </c>
      <c r="M20" s="409">
        <v>5</v>
      </c>
      <c r="N20" s="320">
        <v>2</v>
      </c>
      <c r="O20" s="407">
        <v>5</v>
      </c>
      <c r="P20" s="320" t="s">
        <v>70</v>
      </c>
      <c r="Q20" s="320"/>
    </row>
    <row r="21" spans="3:17" ht="14.45" customHeight="1" x14ac:dyDescent="0.25">
      <c r="C21" s="399"/>
      <c r="D21" s="383"/>
      <c r="E21" s="398"/>
      <c r="F21" s="396"/>
      <c r="G21" s="333" t="s">
        <v>166</v>
      </c>
      <c r="H21" s="146">
        <v>42</v>
      </c>
      <c r="I21" s="320">
        <v>0</v>
      </c>
      <c r="J21" s="320">
        <v>0</v>
      </c>
      <c r="K21" s="320">
        <v>3</v>
      </c>
      <c r="L21" s="320">
        <v>3</v>
      </c>
      <c r="M21" s="410"/>
      <c r="N21" s="320">
        <v>3</v>
      </c>
      <c r="O21" s="408"/>
      <c r="P21" s="320" t="s">
        <v>70</v>
      </c>
      <c r="Q21" s="320"/>
    </row>
    <row r="22" spans="3:17" ht="14.45" customHeight="1" x14ac:dyDescent="0.25">
      <c r="C22" s="399"/>
      <c r="D22" s="29" t="s">
        <v>31</v>
      </c>
      <c r="E22" s="37" t="s">
        <v>176</v>
      </c>
      <c r="F22" s="38">
        <f>H22</f>
        <v>42</v>
      </c>
      <c r="G22" s="333" t="s">
        <v>167</v>
      </c>
      <c r="H22" s="146">
        <v>42</v>
      </c>
      <c r="I22" s="320">
        <v>0</v>
      </c>
      <c r="J22" s="320">
        <v>0</v>
      </c>
      <c r="K22" s="320">
        <v>3</v>
      </c>
      <c r="L22" s="320">
        <v>5</v>
      </c>
      <c r="M22" s="320">
        <v>5</v>
      </c>
      <c r="N22" s="320">
        <v>5</v>
      </c>
      <c r="O22" s="320">
        <v>5</v>
      </c>
      <c r="P22" s="320" t="s">
        <v>70</v>
      </c>
      <c r="Q22" s="320"/>
    </row>
    <row r="23" spans="3:17" ht="14.45" customHeight="1" x14ac:dyDescent="0.25">
      <c r="C23" s="399"/>
      <c r="D23" s="383" t="s">
        <v>31</v>
      </c>
      <c r="E23" s="405" t="s">
        <v>177</v>
      </c>
      <c r="F23" s="386">
        <f>SUM(H23:H25)</f>
        <v>63</v>
      </c>
      <c r="G23" s="333" t="s">
        <v>168</v>
      </c>
      <c r="H23" s="146">
        <v>21</v>
      </c>
      <c r="I23" s="320">
        <v>1</v>
      </c>
      <c r="J23" s="320">
        <v>0.5</v>
      </c>
      <c r="K23" s="320">
        <v>0</v>
      </c>
      <c r="L23" s="320">
        <v>2</v>
      </c>
      <c r="M23" s="407">
        <v>6</v>
      </c>
      <c r="N23" s="320">
        <v>2</v>
      </c>
      <c r="O23" s="407">
        <v>6</v>
      </c>
      <c r="P23" s="320" t="s">
        <v>70</v>
      </c>
      <c r="Q23" s="320"/>
    </row>
    <row r="24" spans="3:17" ht="14.45" customHeight="1" x14ac:dyDescent="0.25">
      <c r="C24" s="399"/>
      <c r="D24" s="383"/>
      <c r="E24" s="405"/>
      <c r="F24" s="386"/>
      <c r="G24" s="333" t="s">
        <v>169</v>
      </c>
      <c r="H24" s="146">
        <v>21</v>
      </c>
      <c r="I24" s="320">
        <v>1</v>
      </c>
      <c r="J24" s="320">
        <v>0.5</v>
      </c>
      <c r="K24" s="320">
        <v>0</v>
      </c>
      <c r="L24" s="320">
        <v>2</v>
      </c>
      <c r="M24" s="411"/>
      <c r="N24" s="320">
        <v>2</v>
      </c>
      <c r="O24" s="411"/>
      <c r="P24" s="320" t="s">
        <v>70</v>
      </c>
      <c r="Q24" s="320"/>
    </row>
    <row r="25" spans="3:17" ht="14.45" customHeight="1" x14ac:dyDescent="0.25">
      <c r="C25" s="399"/>
      <c r="D25" s="383"/>
      <c r="E25" s="405"/>
      <c r="F25" s="386"/>
      <c r="G25" s="333" t="s">
        <v>170</v>
      </c>
      <c r="H25" s="146">
        <v>21</v>
      </c>
      <c r="I25" s="320">
        <v>0</v>
      </c>
      <c r="J25" s="320">
        <v>0</v>
      </c>
      <c r="K25" s="320">
        <v>1.5</v>
      </c>
      <c r="L25" s="320">
        <v>2</v>
      </c>
      <c r="M25" s="408"/>
      <c r="N25" s="320">
        <v>2</v>
      </c>
      <c r="O25" s="408"/>
      <c r="P25" s="320" t="s">
        <v>70</v>
      </c>
      <c r="Q25" s="320"/>
    </row>
    <row r="26" spans="3:17" ht="14.45" customHeight="1" x14ac:dyDescent="0.25">
      <c r="C26" s="399"/>
      <c r="D26" s="393" t="s">
        <v>31</v>
      </c>
      <c r="E26" s="398" t="s">
        <v>178</v>
      </c>
      <c r="F26" s="386">
        <f>SUM(H26:H27)</f>
        <v>63</v>
      </c>
      <c r="G26" s="333" t="s">
        <v>171</v>
      </c>
      <c r="H26" s="146">
        <v>21</v>
      </c>
      <c r="I26" s="320">
        <v>1</v>
      </c>
      <c r="J26" s="320">
        <v>0.5</v>
      </c>
      <c r="K26" s="320">
        <v>0</v>
      </c>
      <c r="L26" s="320">
        <v>2</v>
      </c>
      <c r="M26" s="409">
        <v>5</v>
      </c>
      <c r="N26" s="320">
        <v>2</v>
      </c>
      <c r="O26" s="407">
        <v>5</v>
      </c>
      <c r="P26" s="320" t="s">
        <v>70</v>
      </c>
      <c r="Q26" s="320"/>
    </row>
    <row r="27" spans="3:17" ht="14.45" customHeight="1" x14ac:dyDescent="0.25">
      <c r="C27" s="399"/>
      <c r="D27" s="394"/>
      <c r="E27" s="398"/>
      <c r="F27" s="387"/>
      <c r="G27" s="333" t="s">
        <v>172</v>
      </c>
      <c r="H27" s="146">
        <v>42</v>
      </c>
      <c r="I27" s="320">
        <v>0</v>
      </c>
      <c r="J27" s="320">
        <v>0</v>
      </c>
      <c r="K27" s="320">
        <v>3</v>
      </c>
      <c r="L27" s="320">
        <v>3</v>
      </c>
      <c r="M27" s="410"/>
      <c r="N27" s="320">
        <v>3</v>
      </c>
      <c r="O27" s="408"/>
      <c r="P27" s="320" t="s">
        <v>70</v>
      </c>
      <c r="Q27" s="320"/>
    </row>
    <row r="28" spans="3:17" ht="14.45" customHeight="1" x14ac:dyDescent="0.25">
      <c r="C28" s="399"/>
      <c r="D28" s="383" t="s">
        <v>32</v>
      </c>
      <c r="E28" s="388" t="s">
        <v>179</v>
      </c>
      <c r="F28" s="384">
        <f>SUM(H28:H29)</f>
        <v>63</v>
      </c>
      <c r="G28" s="330" t="s">
        <v>243</v>
      </c>
      <c r="H28" s="146">
        <v>21</v>
      </c>
      <c r="I28" s="320">
        <v>1</v>
      </c>
      <c r="J28" s="320">
        <v>0.5</v>
      </c>
      <c r="K28" s="320">
        <v>0</v>
      </c>
      <c r="L28" s="320">
        <v>2</v>
      </c>
      <c r="M28" s="407">
        <v>4</v>
      </c>
      <c r="N28" s="320">
        <v>2</v>
      </c>
      <c r="O28" s="407">
        <v>4</v>
      </c>
      <c r="P28" s="320" t="s">
        <v>70</v>
      </c>
      <c r="Q28" s="320"/>
    </row>
    <row r="29" spans="3:17" ht="14.45" customHeight="1" x14ac:dyDescent="0.25">
      <c r="C29" s="399"/>
      <c r="D29" s="383"/>
      <c r="E29" s="389"/>
      <c r="F29" s="397"/>
      <c r="G29" s="334" t="s">
        <v>67</v>
      </c>
      <c r="H29" s="146">
        <v>42</v>
      </c>
      <c r="I29" s="320">
        <v>1</v>
      </c>
      <c r="J29" s="320">
        <v>2</v>
      </c>
      <c r="K29" s="320">
        <v>0</v>
      </c>
      <c r="L29" s="320">
        <v>2</v>
      </c>
      <c r="M29" s="408"/>
      <c r="N29" s="320">
        <v>2</v>
      </c>
      <c r="O29" s="408"/>
      <c r="P29" s="320" t="s">
        <v>70</v>
      </c>
      <c r="Q29" s="320"/>
    </row>
    <row r="30" spans="3:17" ht="14.45" customHeight="1" thickBot="1" x14ac:dyDescent="0.3">
      <c r="C30" s="399"/>
      <c r="D30" s="113" t="s">
        <v>33</v>
      </c>
      <c r="E30" s="111" t="s">
        <v>163</v>
      </c>
      <c r="F30" s="115">
        <f>SUM(H30:H30)</f>
        <v>63</v>
      </c>
      <c r="G30" s="36" t="s">
        <v>265</v>
      </c>
      <c r="H30" s="316">
        <v>63</v>
      </c>
      <c r="I30" s="320" t="s">
        <v>688</v>
      </c>
      <c r="J30" s="320" t="s">
        <v>688</v>
      </c>
      <c r="K30" s="320" t="s">
        <v>688</v>
      </c>
      <c r="L30" s="320">
        <v>5</v>
      </c>
      <c r="M30" s="320">
        <v>5</v>
      </c>
      <c r="N30" s="320">
        <v>5</v>
      </c>
      <c r="O30" s="320">
        <v>5</v>
      </c>
      <c r="P30" s="320" t="s">
        <v>70</v>
      </c>
      <c r="Q30" s="320"/>
    </row>
    <row r="31" spans="3:17" ht="14.45" customHeight="1" thickBot="1" x14ac:dyDescent="0.3">
      <c r="C31" s="43"/>
      <c r="D31" s="55" t="s">
        <v>28</v>
      </c>
      <c r="E31" s="55"/>
      <c r="F31" s="45">
        <f>SUM(F20:F30)</f>
        <v>357</v>
      </c>
      <c r="G31" s="46" t="s">
        <v>28</v>
      </c>
      <c r="H31" s="147">
        <f>SUM(H20:H30)</f>
        <v>357</v>
      </c>
      <c r="I31" s="145">
        <f>SUM(I20:I30)+4.5</f>
        <v>10.5</v>
      </c>
      <c r="J31" s="145">
        <f t="shared" ref="J31:K31" si="2">SUM(J20:J30)</f>
        <v>4.5</v>
      </c>
      <c r="K31" s="145">
        <f t="shared" si="2"/>
        <v>10.5</v>
      </c>
      <c r="L31" s="145">
        <f>SUM(L20:L30)</f>
        <v>30</v>
      </c>
      <c r="M31" s="145">
        <f t="shared" ref="M31:O31" si="3">SUM(M20:M30)</f>
        <v>30</v>
      </c>
      <c r="N31" s="145">
        <f t="shared" si="3"/>
        <v>30</v>
      </c>
      <c r="O31" s="145">
        <f t="shared" si="3"/>
        <v>30</v>
      </c>
      <c r="P31" s="145"/>
      <c r="Q31" s="145"/>
    </row>
    <row r="32" spans="3:17" ht="14.45" customHeight="1" x14ac:dyDescent="0.25">
      <c r="C32" s="400" t="s">
        <v>81</v>
      </c>
      <c r="D32" s="628" t="s">
        <v>31</v>
      </c>
      <c r="E32" s="627" t="s">
        <v>699</v>
      </c>
      <c r="F32" s="629">
        <f>SUM(H32:H33)</f>
        <v>84</v>
      </c>
      <c r="G32" s="335" t="s">
        <v>180</v>
      </c>
      <c r="H32" s="146">
        <v>42</v>
      </c>
      <c r="I32" s="320">
        <v>0</v>
      </c>
      <c r="J32" s="320">
        <v>0</v>
      </c>
      <c r="K32" s="320">
        <v>3</v>
      </c>
      <c r="L32" s="320">
        <v>4</v>
      </c>
      <c r="M32" s="407">
        <v>7</v>
      </c>
      <c r="N32" s="320">
        <v>4</v>
      </c>
      <c r="O32" s="407">
        <v>7</v>
      </c>
      <c r="P32" s="320" t="s">
        <v>70</v>
      </c>
      <c r="Q32" s="320"/>
    </row>
    <row r="33" spans="3:17" ht="14.45" customHeight="1" x14ac:dyDescent="0.25">
      <c r="C33" s="400"/>
      <c r="D33" s="394"/>
      <c r="E33" s="406"/>
      <c r="F33" s="396"/>
      <c r="G33" s="336" t="s">
        <v>185</v>
      </c>
      <c r="H33" s="146">
        <v>42</v>
      </c>
      <c r="I33" s="320">
        <v>0</v>
      </c>
      <c r="J33" s="320">
        <v>0</v>
      </c>
      <c r="K33" s="320">
        <v>3</v>
      </c>
      <c r="L33" s="320">
        <v>3</v>
      </c>
      <c r="M33" s="408"/>
      <c r="N33" s="320">
        <v>3</v>
      </c>
      <c r="O33" s="408"/>
      <c r="P33" s="320" t="s">
        <v>70</v>
      </c>
      <c r="Q33" s="320"/>
    </row>
    <row r="34" spans="3:17" ht="14.45" customHeight="1" x14ac:dyDescent="0.25">
      <c r="C34" s="399"/>
      <c r="D34" s="393" t="s">
        <v>31</v>
      </c>
      <c r="E34" s="388" t="s">
        <v>181</v>
      </c>
      <c r="F34" s="384">
        <f>SUM(H34:H35)</f>
        <v>63</v>
      </c>
      <c r="G34" s="331" t="s">
        <v>181</v>
      </c>
      <c r="H34" s="146">
        <v>21</v>
      </c>
      <c r="I34" s="320">
        <v>1</v>
      </c>
      <c r="J34" s="320">
        <v>0.5</v>
      </c>
      <c r="K34" s="320">
        <v>0</v>
      </c>
      <c r="L34" s="320">
        <v>2</v>
      </c>
      <c r="M34" s="407">
        <v>5</v>
      </c>
      <c r="N34" s="320">
        <v>2</v>
      </c>
      <c r="O34" s="407">
        <v>5</v>
      </c>
      <c r="P34" s="320" t="s">
        <v>70</v>
      </c>
      <c r="Q34" s="320"/>
    </row>
    <row r="35" spans="3:17" ht="14.45" customHeight="1" x14ac:dyDescent="0.25">
      <c r="C35" s="399"/>
      <c r="D35" s="394"/>
      <c r="E35" s="406"/>
      <c r="F35" s="390"/>
      <c r="G35" s="334" t="s">
        <v>182</v>
      </c>
      <c r="H35" s="146">
        <v>42</v>
      </c>
      <c r="I35" s="320">
        <v>0</v>
      </c>
      <c r="J35" s="320">
        <v>0</v>
      </c>
      <c r="K35" s="320">
        <v>3</v>
      </c>
      <c r="L35" s="320">
        <v>3</v>
      </c>
      <c r="M35" s="408"/>
      <c r="N35" s="320">
        <v>3</v>
      </c>
      <c r="O35" s="408"/>
      <c r="P35" s="320" t="s">
        <v>70</v>
      </c>
      <c r="Q35" s="320"/>
    </row>
    <row r="36" spans="3:17" ht="14.45" customHeight="1" x14ac:dyDescent="0.25">
      <c r="C36" s="399"/>
      <c r="D36" s="393" t="s">
        <v>31</v>
      </c>
      <c r="E36" s="388" t="s">
        <v>191</v>
      </c>
      <c r="F36" s="391">
        <f>SUM(H36:H37)</f>
        <v>63</v>
      </c>
      <c r="G36" s="334" t="s">
        <v>183</v>
      </c>
      <c r="H36" s="146">
        <v>21</v>
      </c>
      <c r="I36" s="320">
        <v>1</v>
      </c>
      <c r="J36" s="320">
        <v>0.5</v>
      </c>
      <c r="K36" s="320">
        <v>0</v>
      </c>
      <c r="L36" s="320">
        <v>2</v>
      </c>
      <c r="M36" s="407">
        <v>5</v>
      </c>
      <c r="N36" s="320">
        <v>2</v>
      </c>
      <c r="O36" s="407">
        <v>5</v>
      </c>
      <c r="P36" s="320" t="s">
        <v>70</v>
      </c>
      <c r="Q36" s="320"/>
    </row>
    <row r="37" spans="3:17" ht="14.45" customHeight="1" x14ac:dyDescent="0.25">
      <c r="C37" s="399"/>
      <c r="D37" s="394"/>
      <c r="E37" s="389"/>
      <c r="F37" s="392"/>
      <c r="G37" s="334" t="s">
        <v>184</v>
      </c>
      <c r="H37" s="146">
        <v>42</v>
      </c>
      <c r="I37" s="320">
        <v>0</v>
      </c>
      <c r="J37" s="320">
        <v>0</v>
      </c>
      <c r="K37" s="320">
        <v>3</v>
      </c>
      <c r="L37" s="320">
        <v>3</v>
      </c>
      <c r="M37" s="408"/>
      <c r="N37" s="320">
        <v>3</v>
      </c>
      <c r="O37" s="408"/>
      <c r="P37" s="320" t="s">
        <v>70</v>
      </c>
      <c r="Q37" s="320"/>
    </row>
    <row r="38" spans="3:17" ht="14.45" customHeight="1" x14ac:dyDescent="0.25">
      <c r="C38" s="399"/>
      <c r="D38" s="383" t="s">
        <v>31</v>
      </c>
      <c r="E38" s="388" t="s">
        <v>193</v>
      </c>
      <c r="F38" s="384">
        <f>SUM(H38:H39)</f>
        <v>42</v>
      </c>
      <c r="G38" s="336" t="s">
        <v>676</v>
      </c>
      <c r="H38" s="146">
        <v>21</v>
      </c>
      <c r="I38" s="320">
        <v>0</v>
      </c>
      <c r="J38" s="320">
        <v>0</v>
      </c>
      <c r="K38" s="320">
        <v>1.5</v>
      </c>
      <c r="L38" s="320">
        <v>2</v>
      </c>
      <c r="M38" s="407">
        <v>4</v>
      </c>
      <c r="N38" s="320">
        <v>2</v>
      </c>
      <c r="O38" s="407">
        <v>4</v>
      </c>
      <c r="P38" s="320" t="s">
        <v>70</v>
      </c>
      <c r="Q38" s="320"/>
    </row>
    <row r="39" spans="3:17" ht="14.45" customHeight="1" x14ac:dyDescent="0.25">
      <c r="C39" s="399"/>
      <c r="D39" s="383"/>
      <c r="E39" s="389"/>
      <c r="F39" s="385"/>
      <c r="G39" s="336" t="s">
        <v>186</v>
      </c>
      <c r="H39" s="146">
        <v>21</v>
      </c>
      <c r="I39" s="320">
        <v>0</v>
      </c>
      <c r="J39" s="320">
        <v>0</v>
      </c>
      <c r="K39" s="320">
        <v>1.5</v>
      </c>
      <c r="L39" s="320">
        <v>2</v>
      </c>
      <c r="M39" s="408"/>
      <c r="N39" s="320">
        <v>2</v>
      </c>
      <c r="O39" s="408"/>
      <c r="P39" s="320" t="s">
        <v>70</v>
      </c>
      <c r="Q39" s="320"/>
    </row>
    <row r="40" spans="3:17" ht="14.45" customHeight="1" x14ac:dyDescent="0.25">
      <c r="C40" s="399"/>
      <c r="D40" s="383" t="s">
        <v>32</v>
      </c>
      <c r="E40" s="388" t="s">
        <v>179</v>
      </c>
      <c r="F40" s="386">
        <f>SUM(H40:H41)</f>
        <v>63</v>
      </c>
      <c r="G40" s="337" t="s">
        <v>342</v>
      </c>
      <c r="H40" s="146">
        <v>21</v>
      </c>
      <c r="I40" s="320">
        <v>1</v>
      </c>
      <c r="J40" s="320">
        <v>0.5</v>
      </c>
      <c r="K40" s="320">
        <v>0</v>
      </c>
      <c r="L40" s="320">
        <v>2</v>
      </c>
      <c r="M40" s="407">
        <v>4</v>
      </c>
      <c r="N40" s="320">
        <v>2</v>
      </c>
      <c r="O40" s="407">
        <v>4</v>
      </c>
      <c r="P40" s="320" t="s">
        <v>70</v>
      </c>
      <c r="Q40" s="320"/>
    </row>
    <row r="41" spans="3:17" ht="14.45" customHeight="1" x14ac:dyDescent="0.25">
      <c r="C41" s="399"/>
      <c r="D41" s="383"/>
      <c r="E41" s="389"/>
      <c r="F41" s="387"/>
      <c r="G41" s="337" t="s">
        <v>244</v>
      </c>
      <c r="H41" s="316">
        <v>42</v>
      </c>
      <c r="I41" s="320">
        <v>1</v>
      </c>
      <c r="J41" s="320">
        <v>2</v>
      </c>
      <c r="K41" s="320">
        <v>0</v>
      </c>
      <c r="L41" s="320">
        <v>2</v>
      </c>
      <c r="M41" s="408"/>
      <c r="N41" s="320">
        <v>2</v>
      </c>
      <c r="O41" s="408"/>
      <c r="P41" s="320" t="s">
        <v>70</v>
      </c>
      <c r="Q41" s="320"/>
    </row>
    <row r="42" spans="3:17" ht="14.45" customHeight="1" thickBot="1" x14ac:dyDescent="0.3">
      <c r="C42" s="399"/>
      <c r="D42" s="113" t="s">
        <v>33</v>
      </c>
      <c r="E42" s="111" t="s">
        <v>163</v>
      </c>
      <c r="F42" s="116">
        <v>42</v>
      </c>
      <c r="G42" s="36" t="s">
        <v>265</v>
      </c>
      <c r="H42" s="316">
        <v>42</v>
      </c>
      <c r="I42" s="320" t="s">
        <v>688</v>
      </c>
      <c r="J42" s="320" t="s">
        <v>688</v>
      </c>
      <c r="K42" s="320" t="s">
        <v>688</v>
      </c>
      <c r="L42" s="320">
        <v>5</v>
      </c>
      <c r="M42" s="320">
        <v>5</v>
      </c>
      <c r="N42" s="320">
        <v>5</v>
      </c>
      <c r="O42" s="320">
        <v>5</v>
      </c>
      <c r="P42" s="320" t="s">
        <v>70</v>
      </c>
      <c r="Q42" s="320"/>
    </row>
    <row r="43" spans="3:17" ht="14.45" customHeight="1" thickBot="1" x14ac:dyDescent="0.3">
      <c r="C43" s="50"/>
      <c r="D43" s="44" t="s">
        <v>28</v>
      </c>
      <c r="E43" s="44"/>
      <c r="F43" s="45">
        <f>SUM(F32:F42)</f>
        <v>357</v>
      </c>
      <c r="G43" s="46" t="s">
        <v>28</v>
      </c>
      <c r="H43" s="147">
        <f>SUM(H32:H42)</f>
        <v>357</v>
      </c>
      <c r="I43" s="145">
        <f>SUM(I32:I42)+3</f>
        <v>7</v>
      </c>
      <c r="J43" s="145">
        <f>SUM(J32:J42)</f>
        <v>3.5</v>
      </c>
      <c r="K43" s="145">
        <f>SUM(K32:K42)</f>
        <v>15</v>
      </c>
      <c r="L43" s="145">
        <f>SUM(L32:L42)</f>
        <v>30</v>
      </c>
      <c r="M43" s="145">
        <f t="shared" ref="M43:O43" si="4">SUM(M32:M42)</f>
        <v>30</v>
      </c>
      <c r="N43" s="145">
        <f t="shared" si="4"/>
        <v>30</v>
      </c>
      <c r="O43" s="145">
        <f t="shared" si="4"/>
        <v>30</v>
      </c>
      <c r="P43" s="145"/>
      <c r="Q43" s="145"/>
    </row>
    <row r="44" spans="3:17" ht="15.75" thickBot="1" x14ac:dyDescent="0.3">
      <c r="C44" s="51"/>
      <c r="D44" s="52" t="s">
        <v>29</v>
      </c>
      <c r="E44" s="52"/>
      <c r="F44" s="53">
        <f>F43+F31+F19</f>
        <v>1071</v>
      </c>
      <c r="G44" s="54"/>
      <c r="H44" s="148">
        <f>H43+H31+H19</f>
        <v>1071</v>
      </c>
      <c r="I44" s="54"/>
      <c r="J44" s="54"/>
      <c r="K44" s="54"/>
      <c r="L44" s="54"/>
      <c r="M44" s="325"/>
      <c r="N44" s="54"/>
      <c r="O44" s="54"/>
      <c r="P44" s="54"/>
      <c r="Q44" s="54"/>
    </row>
    <row r="45" spans="3:17" x14ac:dyDescent="0.25">
      <c r="C45" s="135"/>
      <c r="D45" s="341"/>
      <c r="E45" s="341"/>
      <c r="F45" s="342"/>
      <c r="G45" s="343"/>
      <c r="H45" s="342"/>
      <c r="I45" s="343"/>
      <c r="J45" s="343"/>
      <c r="K45" s="343"/>
      <c r="L45" s="343"/>
      <c r="M45" s="344"/>
      <c r="N45" s="343"/>
      <c r="O45" s="343"/>
      <c r="P45" s="343"/>
      <c r="Q45" s="343"/>
    </row>
    <row r="46" spans="3:17" ht="45" x14ac:dyDescent="0.25">
      <c r="H46" s="345" t="s">
        <v>694</v>
      </c>
      <c r="I46" s="345" t="s">
        <v>695</v>
      </c>
    </row>
    <row r="47" spans="3:17" x14ac:dyDescent="0.25">
      <c r="G47" s="345" t="s">
        <v>689</v>
      </c>
      <c r="H47" s="345">
        <f>H19/14</f>
        <v>25.5</v>
      </c>
      <c r="I47" s="345">
        <f>SUM(I19:K19)</f>
        <v>25.5</v>
      </c>
    </row>
    <row r="48" spans="3:17" x14ac:dyDescent="0.25">
      <c r="G48" s="345" t="s">
        <v>690</v>
      </c>
      <c r="H48" s="345">
        <f>H31/14</f>
        <v>25.5</v>
      </c>
      <c r="I48" s="345">
        <f>SUM(I31:K31)</f>
        <v>25.5</v>
      </c>
    </row>
    <row r="49" spans="7:9" x14ac:dyDescent="0.25">
      <c r="G49" s="345" t="s">
        <v>691</v>
      </c>
      <c r="H49" s="345">
        <f>H43/14</f>
        <v>25.5</v>
      </c>
      <c r="I49" s="345">
        <f>SUM(I43:K43)</f>
        <v>25.5</v>
      </c>
    </row>
  </sheetData>
  <mergeCells count="83">
    <mergeCell ref="M32:M33"/>
    <mergeCell ref="O32:O33"/>
    <mergeCell ref="E7:E9"/>
    <mergeCell ref="F7:F9"/>
    <mergeCell ref="M7:M9"/>
    <mergeCell ref="O7:O9"/>
    <mergeCell ref="D7:D9"/>
    <mergeCell ref="M34:M35"/>
    <mergeCell ref="M36:M37"/>
    <mergeCell ref="M38:M39"/>
    <mergeCell ref="M40:M41"/>
    <mergeCell ref="O34:O35"/>
    <mergeCell ref="O36:O37"/>
    <mergeCell ref="O38:O39"/>
    <mergeCell ref="O40:O41"/>
    <mergeCell ref="M23:M25"/>
    <mergeCell ref="M26:M27"/>
    <mergeCell ref="M28:M29"/>
    <mergeCell ref="O20:O21"/>
    <mergeCell ref="O23:O25"/>
    <mergeCell ref="O26:O27"/>
    <mergeCell ref="O28:O29"/>
    <mergeCell ref="M14:M15"/>
    <mergeCell ref="O14:O15"/>
    <mergeCell ref="O16:O17"/>
    <mergeCell ref="M16:M17"/>
    <mergeCell ref="M20:M21"/>
    <mergeCell ref="M10:M11"/>
    <mergeCell ref="O10:O11"/>
    <mergeCell ref="M12:M13"/>
    <mergeCell ref="O12:O13"/>
    <mergeCell ref="C7:C18"/>
    <mergeCell ref="C20:C30"/>
    <mergeCell ref="C32:C42"/>
    <mergeCell ref="E10:E11"/>
    <mergeCell ref="E12:E13"/>
    <mergeCell ref="E14:E15"/>
    <mergeCell ref="E16:E17"/>
    <mergeCell ref="D14:D15"/>
    <mergeCell ref="D16:D17"/>
    <mergeCell ref="E20:E21"/>
    <mergeCell ref="E23:E25"/>
    <mergeCell ref="E34:E35"/>
    <mergeCell ref="E36:E37"/>
    <mergeCell ref="D38:D39"/>
    <mergeCell ref="D10:D11"/>
    <mergeCell ref="D12:D13"/>
    <mergeCell ref="F12:F13"/>
    <mergeCell ref="D28:D29"/>
    <mergeCell ref="E28:E29"/>
    <mergeCell ref="F20:F21"/>
    <mergeCell ref="F28:F29"/>
    <mergeCell ref="E26:E27"/>
    <mergeCell ref="D20:D21"/>
    <mergeCell ref="D23:D25"/>
    <mergeCell ref="F16:F17"/>
    <mergeCell ref="D26:D27"/>
    <mergeCell ref="F26:F27"/>
    <mergeCell ref="F10:F11"/>
    <mergeCell ref="F14:F15"/>
    <mergeCell ref="F34:F35"/>
    <mergeCell ref="F36:F37"/>
    <mergeCell ref="F23:F25"/>
    <mergeCell ref="D34:D35"/>
    <mergeCell ref="D36:D37"/>
    <mergeCell ref="E32:E33"/>
    <mergeCell ref="D32:D33"/>
    <mergeCell ref="F32:F33"/>
    <mergeCell ref="D40:D41"/>
    <mergeCell ref="F38:F39"/>
    <mergeCell ref="F40:F41"/>
    <mergeCell ref="E38:E39"/>
    <mergeCell ref="E40:E41"/>
    <mergeCell ref="H5:K5"/>
    <mergeCell ref="M5:M6"/>
    <mergeCell ref="O5:O6"/>
    <mergeCell ref="D2:Q2"/>
    <mergeCell ref="C4:C6"/>
    <mergeCell ref="D5:D6"/>
    <mergeCell ref="E5:E6"/>
    <mergeCell ref="F5:F6"/>
    <mergeCell ref="G5:G6"/>
    <mergeCell ref="H4:K4"/>
  </mergeCells>
  <conditionalFormatting sqref="G9">
    <cfRule type="colorScale" priority="12">
      <colorScale>
        <cfvo type="num" val="0"/>
        <cfvo type="num" val="0"/>
        <color rgb="FFFF0000"/>
        <color rgb="FF00B050"/>
      </colorScale>
    </cfRule>
  </conditionalFormatting>
  <conditionalFormatting sqref="E23">
    <cfRule type="colorScale" priority="9">
      <colorScale>
        <cfvo type="num" val="0"/>
        <cfvo type="num" val="0"/>
        <color rgb="FFFF0000"/>
        <color rgb="FF00B050"/>
      </colorScale>
    </cfRule>
  </conditionalFormatting>
  <conditionalFormatting sqref="G38:G39">
    <cfRule type="colorScale" priority="4">
      <colorScale>
        <cfvo type="num" val="0"/>
        <cfvo type="num" val="0"/>
        <color rgb="FFFF0000"/>
        <color rgb="FF00B050"/>
      </colorScale>
    </cfRule>
  </conditionalFormatting>
  <conditionalFormatting sqref="G33">
    <cfRule type="colorScale" priority="5">
      <colorScale>
        <cfvo type="num" val="0"/>
        <cfvo type="num" val="0"/>
        <color rgb="FFFF0000"/>
        <color rgb="FF00B050"/>
      </colorScale>
    </cfRule>
  </conditionalFormatting>
  <conditionalFormatting sqref="E32 E36 E34">
    <cfRule type="colorScale" priority="2">
      <colorScale>
        <cfvo type="num" val="0"/>
        <cfvo type="num" val="0"/>
        <color rgb="FFFF0000"/>
        <color rgb="FF00B050"/>
      </colorScale>
    </cfRule>
  </conditionalFormatting>
  <conditionalFormatting sqref="E38">
    <cfRule type="colorScale" priority="1">
      <colorScale>
        <cfvo type="num" val="0"/>
        <cfvo type="num" val="0"/>
        <color rgb="FFFF0000"/>
        <color rgb="FF00B050"/>
      </colorScale>
    </cfRule>
  </conditionalFormatting>
  <hyperlinks>
    <hyperlink ref="G7" location="'SE pour l''embarqué'!A1" display="Systèmes d'exploitation embarqué"/>
    <hyperlink ref="G8" location="'Atelier SE pour l''embarqué'!A1" display="Atelier Systèmes d'exploitation embarqué"/>
    <hyperlink ref="G9" location="'Atelier systèmes électroniques'!A1" display="Atelier Systèmes électroniques"/>
    <hyperlink ref="G10" location="'Protocoles et services réseaux'!A1" display="Protocoles  et services réseaux"/>
    <hyperlink ref="G11" location="'AT protocoles &amp; services réseau'!A1" display="Atelier protocoles et services réseaux"/>
    <hyperlink ref="G12" location="'Base de données'!A1" display="Bases de Données"/>
    <hyperlink ref="G13" location="'Atelier base de données'!A1" display="Atelier Bases de Données"/>
    <hyperlink ref="G14" location="'Programmation objet'!A1" display="Programmation Objet"/>
    <hyperlink ref="G15" location="'AT programmation objet'!A1" display="Atelier de Programmation Objet"/>
    <hyperlink ref="G16" location="'High tech english'!A1" display="High tech english"/>
    <hyperlink ref="G17" location="'Communication en entreprise'!A1" display="Communication en entreprise"/>
    <hyperlink ref="G20" location="'Circuits numériques'!A1" display="Circuits numériques"/>
    <hyperlink ref="G21" location="'Atelier Circuits numériques'!A1" display="Atelier Circuits numériques"/>
    <hyperlink ref="G22" location="'Atelier microcontroleur'!A1" display="Atelier microcontroleur"/>
    <hyperlink ref="G23" location="'Modélisation objet (UML 2.0)'!A1" display="Modélisation Objet (UML2.0)"/>
    <hyperlink ref="G24" location="'Développement web coté serveur'!A1" display="Développement Web Coté serveur"/>
    <hyperlink ref="G25" location="'AT Dév web coté serveur'!A1" display="Atelier Développement Web Coté serveur"/>
    <hyperlink ref="G26" location="'Dév d''applis mobiles natives'!A1" display="Développement d'applications mobiles natives"/>
    <hyperlink ref="G27" location="'AT dév d''applis mob natives'!A1" display="Atelier Développementd'applications mobiles natives"/>
    <hyperlink ref="G28" location="'Busniess English'!A1" display="Business english"/>
    <hyperlink ref="G29" location="'Etude et management des proj'!A1" display="Etude et management de projets innovants"/>
    <hyperlink ref="G32" location="'AT Prot rapide des applis EMB'!A1" display="Atelier Prototypage Rapides des Applications Embarqués"/>
    <hyperlink ref="G34" location="'Dév mobile avancé'!A1" display="Développement Mobile avancé"/>
    <hyperlink ref="G35" location="'AT dév mobile avancé'!A1" display="Atelier Développement Mobile avancé"/>
    <hyperlink ref="G36" location="'Fondements IoT'!A1" display="Fondements IOT"/>
    <hyperlink ref="G37" location="'Atelier IoT'!A1" display="Atelier IoT"/>
    <hyperlink ref="G33" location="'Atelier SoC'!A1" display="Atelier SoC"/>
    <hyperlink ref="G38" location="'Atelier services web'!A1" display="Atelier services web"/>
    <hyperlink ref="G39" location="'AT intégrat. &amp; déploiement web'!A1" display="Atelier Intégration et déploiement web"/>
    <hyperlink ref="G40" location="TOEIC!A1" display="Preparing TOEIC"/>
    <hyperlink ref="G41" location="TRE!A1" display="Technique de Recherche d’emploi et Marketing de soi"/>
  </hyperlink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sheetPr>
  <dimension ref="B2:AT21"/>
  <sheetViews>
    <sheetView zoomScale="70" zoomScaleNormal="70" workbookViewId="0">
      <selection activeCell="AC4" sqref="AC4:AT4"/>
    </sheetView>
  </sheetViews>
  <sheetFormatPr baseColWidth="10" defaultColWidth="8.85546875" defaultRowHeight="15" x14ac:dyDescent="0.25"/>
  <cols>
    <col min="1" max="1" width="8.85546875" style="1"/>
    <col min="2" max="18" width="8.85546875" style="79"/>
    <col min="19" max="19" width="11.140625" style="79" customWidth="1"/>
    <col min="20" max="26" width="8.85546875" style="79"/>
    <col min="27" max="27" width="32.140625" style="1" customWidth="1"/>
    <col min="28" max="28" width="19.140625" style="1" customWidth="1"/>
    <col min="29" max="16384" width="8.85546875" style="1"/>
  </cols>
  <sheetData>
    <row r="2" spans="2:46" x14ac:dyDescent="0.25">
      <c r="B2" s="3" t="s">
        <v>1</v>
      </c>
      <c r="C2" s="374" t="s">
        <v>236</v>
      </c>
      <c r="D2" s="375"/>
      <c r="E2" s="375"/>
      <c r="F2" s="375"/>
    </row>
    <row r="3" spans="2:46" ht="15.75" thickBot="1" x14ac:dyDescent="0.3">
      <c r="B3" s="1"/>
      <c r="C3" s="1"/>
      <c r="D3" s="1"/>
      <c r="E3" s="1"/>
      <c r="F3" s="1"/>
      <c r="G3" s="1"/>
      <c r="H3" s="1"/>
      <c r="I3" s="1"/>
      <c r="J3" s="1"/>
      <c r="K3" s="1"/>
      <c r="L3" s="1"/>
      <c r="M3" s="1"/>
      <c r="N3" s="1"/>
      <c r="O3" s="1"/>
      <c r="P3" s="1"/>
      <c r="Q3" s="1"/>
      <c r="R3" s="1"/>
      <c r="S3" s="1"/>
      <c r="T3" s="1"/>
      <c r="U3" s="1"/>
      <c r="V3" s="1"/>
      <c r="W3" s="1"/>
      <c r="X3" s="1"/>
      <c r="Y3" s="1"/>
      <c r="Z3" s="1"/>
    </row>
    <row r="4" spans="2:46" ht="27" customHeight="1" thickBot="1" x14ac:dyDescent="0.3">
      <c r="B4" s="424" t="s">
        <v>130</v>
      </c>
      <c r="C4" s="425"/>
      <c r="D4" s="425"/>
      <c r="E4" s="425"/>
      <c r="F4" s="425"/>
      <c r="G4" s="425"/>
      <c r="H4" s="425"/>
      <c r="I4" s="425"/>
      <c r="J4" s="425"/>
      <c r="K4" s="425"/>
      <c r="L4" s="425"/>
      <c r="M4" s="425"/>
      <c r="N4" s="425"/>
      <c r="O4" s="425"/>
      <c r="P4" s="425"/>
      <c r="Q4" s="425"/>
      <c r="R4" s="425"/>
      <c r="S4" s="425"/>
      <c r="T4" s="425"/>
      <c r="U4" s="425"/>
      <c r="V4" s="425"/>
      <c r="W4" s="425"/>
      <c r="X4" s="425"/>
      <c r="Y4" s="425"/>
      <c r="Z4" s="425"/>
      <c r="AA4" s="426" t="s">
        <v>131</v>
      </c>
      <c r="AB4" s="429" t="s">
        <v>34</v>
      </c>
      <c r="AC4" s="433" t="s">
        <v>35</v>
      </c>
      <c r="AD4" s="434"/>
      <c r="AE4" s="434"/>
      <c r="AF4" s="434"/>
      <c r="AG4" s="434"/>
      <c r="AH4" s="434"/>
      <c r="AI4" s="434"/>
      <c r="AJ4" s="434"/>
      <c r="AK4" s="434"/>
      <c r="AL4" s="434"/>
      <c r="AM4" s="434"/>
      <c r="AN4" s="434"/>
      <c r="AO4" s="434"/>
      <c r="AP4" s="434"/>
      <c r="AQ4" s="434"/>
      <c r="AR4" s="434"/>
      <c r="AS4" s="434"/>
      <c r="AT4" s="435"/>
    </row>
    <row r="5" spans="2:46" ht="15.75" thickBot="1" x14ac:dyDescent="0.3">
      <c r="B5" s="414" t="s">
        <v>36</v>
      </c>
      <c r="C5" s="416"/>
      <c r="D5" s="416"/>
      <c r="E5" s="416"/>
      <c r="F5" s="416"/>
      <c r="G5" s="416"/>
      <c r="H5" s="416"/>
      <c r="I5" s="416"/>
      <c r="J5" s="421"/>
      <c r="K5" s="416" t="s">
        <v>37</v>
      </c>
      <c r="L5" s="416"/>
      <c r="M5" s="416"/>
      <c r="N5" s="416"/>
      <c r="O5" s="416"/>
      <c r="P5" s="416"/>
      <c r="Q5" s="416"/>
      <c r="R5" s="421"/>
      <c r="S5" s="422" t="s">
        <v>38</v>
      </c>
      <c r="T5" s="416"/>
      <c r="U5" s="416"/>
      <c r="V5" s="416"/>
      <c r="W5" s="416"/>
      <c r="X5" s="416"/>
      <c r="Y5" s="416"/>
      <c r="Z5" s="416"/>
      <c r="AA5" s="427"/>
      <c r="AB5" s="430"/>
      <c r="AC5" s="423" t="s">
        <v>39</v>
      </c>
      <c r="AD5" s="423"/>
      <c r="AE5" s="423"/>
      <c r="AF5" s="423"/>
      <c r="AG5" s="423"/>
      <c r="AH5" s="423"/>
      <c r="AI5" s="423"/>
      <c r="AJ5" s="423"/>
      <c r="AK5" s="423"/>
      <c r="AL5" s="436" t="s">
        <v>40</v>
      </c>
      <c r="AM5" s="437"/>
      <c r="AN5" s="437"/>
      <c r="AO5" s="437"/>
      <c r="AP5" s="437"/>
      <c r="AQ5" s="437"/>
      <c r="AR5" s="437"/>
      <c r="AS5" s="437"/>
      <c r="AT5" s="438"/>
    </row>
    <row r="6" spans="2:46" ht="45.75" thickBot="1" x14ac:dyDescent="0.3">
      <c r="B6" s="414" t="s">
        <v>158</v>
      </c>
      <c r="C6" s="415"/>
      <c r="D6" s="78" t="s">
        <v>159</v>
      </c>
      <c r="E6" s="414" t="s">
        <v>160</v>
      </c>
      <c r="F6" s="415"/>
      <c r="G6" s="414" t="s">
        <v>161</v>
      </c>
      <c r="H6" s="415"/>
      <c r="I6" s="414" t="s">
        <v>164</v>
      </c>
      <c r="J6" s="421"/>
      <c r="K6" s="416" t="s">
        <v>233</v>
      </c>
      <c r="L6" s="415"/>
      <c r="M6" s="78" t="s">
        <v>176</v>
      </c>
      <c r="N6" s="414" t="s">
        <v>177</v>
      </c>
      <c r="O6" s="416"/>
      <c r="P6" s="415"/>
      <c r="Q6" s="414" t="s">
        <v>178</v>
      </c>
      <c r="R6" s="416"/>
      <c r="S6" s="80" t="s">
        <v>189</v>
      </c>
      <c r="T6" s="414" t="s">
        <v>190</v>
      </c>
      <c r="U6" s="415"/>
      <c r="V6" s="414" t="s">
        <v>191</v>
      </c>
      <c r="W6" s="416"/>
      <c r="X6" s="78" t="s">
        <v>192</v>
      </c>
      <c r="Y6" s="414" t="s">
        <v>234</v>
      </c>
      <c r="Z6" s="415"/>
      <c r="AA6" s="427"/>
      <c r="AB6" s="431"/>
      <c r="AC6" s="418" t="s">
        <v>41</v>
      </c>
      <c r="AD6" s="413"/>
      <c r="AE6" s="413" t="s">
        <v>42</v>
      </c>
      <c r="AF6" s="413"/>
      <c r="AG6" s="412" t="s">
        <v>43</v>
      </c>
      <c r="AH6" s="412"/>
      <c r="AI6" s="417"/>
      <c r="AJ6" s="418" t="s">
        <v>44</v>
      </c>
      <c r="AK6" s="419"/>
      <c r="AL6" s="420" t="s">
        <v>45</v>
      </c>
      <c r="AM6" s="413"/>
      <c r="AN6" s="412" t="s">
        <v>46</v>
      </c>
      <c r="AO6" s="412"/>
      <c r="AP6" s="413" t="s">
        <v>47</v>
      </c>
      <c r="AQ6" s="413"/>
      <c r="AR6" s="413" t="s">
        <v>48</v>
      </c>
      <c r="AS6" s="413"/>
      <c r="AT6" s="220" t="s">
        <v>194</v>
      </c>
    </row>
    <row r="7" spans="2:46" ht="127.5" customHeight="1" thickBot="1" x14ac:dyDescent="0.3">
      <c r="B7" s="59" t="s">
        <v>195</v>
      </c>
      <c r="C7" s="60" t="s">
        <v>196</v>
      </c>
      <c r="D7" s="60" t="s">
        <v>197</v>
      </c>
      <c r="E7" s="60" t="s">
        <v>198</v>
      </c>
      <c r="F7" s="60" t="s">
        <v>199</v>
      </c>
      <c r="G7" s="60" t="s">
        <v>200</v>
      </c>
      <c r="H7" s="60" t="s">
        <v>201</v>
      </c>
      <c r="I7" s="60" t="s">
        <v>202</v>
      </c>
      <c r="J7" s="61" t="s">
        <v>203</v>
      </c>
      <c r="K7" s="62" t="s">
        <v>204</v>
      </c>
      <c r="L7" s="60" t="s">
        <v>205</v>
      </c>
      <c r="M7" s="60" t="s">
        <v>206</v>
      </c>
      <c r="N7" s="60" t="s">
        <v>207</v>
      </c>
      <c r="O7" s="60" t="s">
        <v>208</v>
      </c>
      <c r="P7" s="60" t="s">
        <v>209</v>
      </c>
      <c r="Q7" s="60" t="s">
        <v>210</v>
      </c>
      <c r="R7" s="61" t="s">
        <v>211</v>
      </c>
      <c r="S7" s="60" t="s">
        <v>212</v>
      </c>
      <c r="T7" s="60" t="s">
        <v>213</v>
      </c>
      <c r="U7" s="60" t="s">
        <v>214</v>
      </c>
      <c r="V7" s="60" t="s">
        <v>215</v>
      </c>
      <c r="W7" s="60" t="s">
        <v>216</v>
      </c>
      <c r="X7" s="60" t="s">
        <v>217</v>
      </c>
      <c r="Y7" s="60" t="s">
        <v>218</v>
      </c>
      <c r="Z7" s="63" t="s">
        <v>219</v>
      </c>
      <c r="AA7" s="428"/>
      <c r="AB7" s="432"/>
      <c r="AC7" s="221" t="s">
        <v>49</v>
      </c>
      <c r="AD7" s="98" t="s">
        <v>50</v>
      </c>
      <c r="AE7" s="98" t="s">
        <v>51</v>
      </c>
      <c r="AF7" s="98" t="s">
        <v>52</v>
      </c>
      <c r="AG7" s="98" t="s">
        <v>53</v>
      </c>
      <c r="AH7" s="98" t="s">
        <v>54</v>
      </c>
      <c r="AI7" s="98" t="s">
        <v>55</v>
      </c>
      <c r="AJ7" s="98" t="s">
        <v>56</v>
      </c>
      <c r="AK7" s="99" t="s">
        <v>57</v>
      </c>
      <c r="AL7" s="97" t="s">
        <v>58</v>
      </c>
      <c r="AM7" s="98" t="s">
        <v>59</v>
      </c>
      <c r="AN7" s="98" t="s">
        <v>60</v>
      </c>
      <c r="AO7" s="98" t="s">
        <v>61</v>
      </c>
      <c r="AP7" s="98" t="s">
        <v>62</v>
      </c>
      <c r="AQ7" s="98" t="s">
        <v>63</v>
      </c>
      <c r="AR7" s="98" t="s">
        <v>64</v>
      </c>
      <c r="AS7" s="98" t="s">
        <v>65</v>
      </c>
      <c r="AT7" s="222" t="s">
        <v>66</v>
      </c>
    </row>
    <row r="8" spans="2:46" x14ac:dyDescent="0.25">
      <c r="B8" s="64" t="s">
        <v>70</v>
      </c>
      <c r="C8" s="65" t="s">
        <v>70</v>
      </c>
      <c r="D8" s="65"/>
      <c r="E8" s="66"/>
      <c r="F8" s="66"/>
      <c r="G8" s="66"/>
      <c r="H8" s="66"/>
      <c r="I8" s="66"/>
      <c r="J8" s="67"/>
      <c r="K8" s="68"/>
      <c r="L8" s="68"/>
      <c r="M8" s="66"/>
      <c r="N8" s="66"/>
      <c r="O8" s="66"/>
      <c r="P8" s="66"/>
      <c r="Q8" s="66"/>
      <c r="R8" s="67"/>
      <c r="S8" s="68"/>
      <c r="T8" s="68"/>
      <c r="U8" s="66"/>
      <c r="V8" s="66" t="s">
        <v>70</v>
      </c>
      <c r="W8" s="66" t="s">
        <v>70</v>
      </c>
      <c r="X8" s="66" t="s">
        <v>70</v>
      </c>
      <c r="Y8" s="66"/>
      <c r="Z8" s="69"/>
      <c r="AA8" s="88" t="s">
        <v>220</v>
      </c>
      <c r="AB8" s="93" t="s">
        <v>71</v>
      </c>
      <c r="AC8" s="100"/>
      <c r="AD8" s="66"/>
      <c r="AE8" s="66"/>
      <c r="AF8" s="66"/>
      <c r="AG8" s="66" t="s">
        <v>70</v>
      </c>
      <c r="AH8" s="66"/>
      <c r="AI8" s="66"/>
      <c r="AJ8" s="66"/>
      <c r="AK8" s="67"/>
      <c r="AL8" s="68"/>
      <c r="AM8" s="66"/>
      <c r="AN8" s="66" t="s">
        <v>70</v>
      </c>
      <c r="AO8" s="66" t="s">
        <v>70</v>
      </c>
      <c r="AP8" s="66"/>
      <c r="AQ8" s="66"/>
      <c r="AR8" s="66"/>
      <c r="AS8" s="66"/>
      <c r="AT8" s="69"/>
    </row>
    <row r="9" spans="2:46" x14ac:dyDescent="0.25">
      <c r="B9" s="70" t="s">
        <v>70</v>
      </c>
      <c r="C9" s="71" t="s">
        <v>70</v>
      </c>
      <c r="D9" s="71" t="s">
        <v>70</v>
      </c>
      <c r="E9" s="72"/>
      <c r="F9" s="72"/>
      <c r="G9" s="72"/>
      <c r="H9" s="72"/>
      <c r="I9" s="72"/>
      <c r="J9" s="73"/>
      <c r="K9" s="74" t="s">
        <v>70</v>
      </c>
      <c r="L9" s="74" t="s">
        <v>70</v>
      </c>
      <c r="M9" s="72" t="s">
        <v>70</v>
      </c>
      <c r="N9" s="72"/>
      <c r="O9" s="72"/>
      <c r="P9" s="72"/>
      <c r="Q9" s="72"/>
      <c r="R9" s="73"/>
      <c r="S9" s="74"/>
      <c r="T9" s="74"/>
      <c r="U9" s="72"/>
      <c r="V9" s="72"/>
      <c r="W9" s="72"/>
      <c r="X9" s="72"/>
      <c r="Y9" s="72"/>
      <c r="Z9" s="75"/>
      <c r="AA9" s="89" t="s">
        <v>221</v>
      </c>
      <c r="AB9" s="94" t="s">
        <v>71</v>
      </c>
      <c r="AC9" s="76"/>
      <c r="AD9" s="72"/>
      <c r="AE9" s="72"/>
      <c r="AF9" s="72"/>
      <c r="AG9" s="72" t="s">
        <v>70</v>
      </c>
      <c r="AH9" s="72"/>
      <c r="AI9" s="72"/>
      <c r="AJ9" s="72"/>
      <c r="AK9" s="73"/>
      <c r="AL9" s="74"/>
      <c r="AM9" s="72"/>
      <c r="AN9" s="72"/>
      <c r="AO9" s="72"/>
      <c r="AP9" s="72"/>
      <c r="AQ9" s="72"/>
      <c r="AR9" s="72"/>
      <c r="AS9" s="72"/>
      <c r="AT9" s="75"/>
    </row>
    <row r="10" spans="2:46" x14ac:dyDescent="0.25">
      <c r="B10" s="70"/>
      <c r="C10" s="71"/>
      <c r="D10" s="71" t="s">
        <v>70</v>
      </c>
      <c r="E10" s="72"/>
      <c r="F10" s="72"/>
      <c r="G10" s="72"/>
      <c r="H10" s="72"/>
      <c r="I10" s="72"/>
      <c r="J10" s="73"/>
      <c r="K10" s="74" t="s">
        <v>70</v>
      </c>
      <c r="L10" s="74" t="s">
        <v>70</v>
      </c>
      <c r="M10" s="72" t="s">
        <v>70</v>
      </c>
      <c r="N10" s="72"/>
      <c r="O10" s="72"/>
      <c r="P10" s="72"/>
      <c r="Q10" s="72"/>
      <c r="R10" s="73"/>
      <c r="S10" s="74"/>
      <c r="T10" s="74"/>
      <c r="U10" s="72"/>
      <c r="V10" s="72"/>
      <c r="W10" s="72"/>
      <c r="X10" s="72"/>
      <c r="Y10" s="72"/>
      <c r="Z10" s="75"/>
      <c r="AA10" s="90" t="s">
        <v>222</v>
      </c>
      <c r="AB10" s="95" t="s">
        <v>71</v>
      </c>
      <c r="AC10" s="76"/>
      <c r="AD10" s="72"/>
      <c r="AE10" s="72"/>
      <c r="AF10" s="72"/>
      <c r="AG10" s="72"/>
      <c r="AH10" s="72" t="s">
        <v>70</v>
      </c>
      <c r="AI10" s="72" t="s">
        <v>70</v>
      </c>
      <c r="AJ10" s="72"/>
      <c r="AK10" s="73"/>
      <c r="AL10" s="74"/>
      <c r="AM10" s="72"/>
      <c r="AN10" s="72"/>
      <c r="AO10" s="72"/>
      <c r="AP10" s="72"/>
      <c r="AQ10" s="72"/>
      <c r="AR10" s="72"/>
      <c r="AS10" s="72"/>
      <c r="AT10" s="75"/>
    </row>
    <row r="11" spans="2:46" x14ac:dyDescent="0.25">
      <c r="B11" s="70"/>
      <c r="C11" s="71"/>
      <c r="D11" s="71"/>
      <c r="E11" s="72" t="s">
        <v>70</v>
      </c>
      <c r="F11" s="72" t="s">
        <v>70</v>
      </c>
      <c r="G11" s="72"/>
      <c r="H11" s="72"/>
      <c r="I11" s="72"/>
      <c r="J11" s="73"/>
      <c r="K11" s="74"/>
      <c r="L11" s="74"/>
      <c r="M11" s="72"/>
      <c r="N11" s="72"/>
      <c r="O11" s="72"/>
      <c r="P11" s="72"/>
      <c r="Q11" s="72"/>
      <c r="R11" s="73"/>
      <c r="S11" s="74"/>
      <c r="T11" s="74"/>
      <c r="U11" s="72"/>
      <c r="V11" s="72" t="s">
        <v>70</v>
      </c>
      <c r="W11" s="72" t="s">
        <v>70</v>
      </c>
      <c r="X11" s="72" t="s">
        <v>70</v>
      </c>
      <c r="Y11" s="72"/>
      <c r="Z11" s="75"/>
      <c r="AA11" s="90" t="s">
        <v>223</v>
      </c>
      <c r="AB11" s="95" t="s">
        <v>71</v>
      </c>
      <c r="AC11" s="76"/>
      <c r="AD11" s="72"/>
      <c r="AE11" s="72"/>
      <c r="AF11" s="72"/>
      <c r="AG11" s="72"/>
      <c r="AH11" s="72"/>
      <c r="AI11" s="72"/>
      <c r="AJ11" s="72"/>
      <c r="AK11" s="73"/>
      <c r="AL11" s="74"/>
      <c r="AM11" s="72"/>
      <c r="AN11" s="72"/>
      <c r="AO11" s="72"/>
      <c r="AP11" s="72"/>
      <c r="AQ11" s="72"/>
      <c r="AR11" s="72"/>
      <c r="AS11" s="72"/>
      <c r="AT11" s="75" t="s">
        <v>70</v>
      </c>
    </row>
    <row r="12" spans="2:46" ht="30" x14ac:dyDescent="0.25">
      <c r="B12" s="70"/>
      <c r="C12" s="71"/>
      <c r="D12" s="71"/>
      <c r="E12" s="77"/>
      <c r="F12" s="72"/>
      <c r="G12" s="72" t="s">
        <v>70</v>
      </c>
      <c r="H12" s="72" t="s">
        <v>70</v>
      </c>
      <c r="I12" s="72" t="s">
        <v>70</v>
      </c>
      <c r="J12" s="73" t="s">
        <v>70</v>
      </c>
      <c r="K12" s="74"/>
      <c r="L12" s="74"/>
      <c r="M12" s="72" t="s">
        <v>70</v>
      </c>
      <c r="N12" s="72"/>
      <c r="O12" s="72" t="s">
        <v>70</v>
      </c>
      <c r="P12" s="72" t="s">
        <v>70</v>
      </c>
      <c r="Q12" s="72" t="s">
        <v>70</v>
      </c>
      <c r="R12" s="73" t="s">
        <v>70</v>
      </c>
      <c r="S12" s="74"/>
      <c r="T12" s="74"/>
      <c r="U12" s="74"/>
      <c r="V12" s="72"/>
      <c r="W12" s="72"/>
      <c r="X12" s="72"/>
      <c r="Y12" s="72"/>
      <c r="Z12" s="75"/>
      <c r="AA12" s="89" t="s">
        <v>224</v>
      </c>
      <c r="AB12" s="95" t="s">
        <v>71</v>
      </c>
      <c r="AC12" s="76" t="s">
        <v>69</v>
      </c>
      <c r="AD12" s="72" t="s">
        <v>69</v>
      </c>
      <c r="AE12" s="72" t="s">
        <v>70</v>
      </c>
      <c r="AF12" s="72" t="s">
        <v>70</v>
      </c>
      <c r="AG12" s="72"/>
      <c r="AH12" s="72" t="s">
        <v>69</v>
      </c>
      <c r="AI12" s="72" t="s">
        <v>69</v>
      </c>
      <c r="AJ12" s="72"/>
      <c r="AK12" s="73"/>
      <c r="AL12" s="74" t="s">
        <v>69</v>
      </c>
      <c r="AM12" s="72" t="s">
        <v>69</v>
      </c>
      <c r="AN12" s="72"/>
      <c r="AO12" s="72"/>
      <c r="AP12" s="72" t="s">
        <v>69</v>
      </c>
      <c r="AQ12" s="72" t="s">
        <v>70</v>
      </c>
      <c r="AR12" s="72" t="s">
        <v>70</v>
      </c>
      <c r="AS12" s="72" t="s">
        <v>70</v>
      </c>
      <c r="AT12" s="75"/>
    </row>
    <row r="13" spans="2:46" x14ac:dyDescent="0.25">
      <c r="B13" s="70"/>
      <c r="C13" s="71"/>
      <c r="D13" s="71"/>
      <c r="E13" s="77"/>
      <c r="F13" s="72"/>
      <c r="G13" s="72" t="s">
        <v>70</v>
      </c>
      <c r="H13" s="72" t="s">
        <v>70</v>
      </c>
      <c r="I13" s="72" t="s">
        <v>70</v>
      </c>
      <c r="J13" s="73" t="s">
        <v>70</v>
      </c>
      <c r="K13" s="74"/>
      <c r="L13" s="74"/>
      <c r="M13" s="72" t="s">
        <v>70</v>
      </c>
      <c r="N13" s="72"/>
      <c r="O13" s="72"/>
      <c r="P13" s="72"/>
      <c r="Q13" s="72" t="s">
        <v>70</v>
      </c>
      <c r="R13" s="73" t="s">
        <v>70</v>
      </c>
      <c r="S13" s="74"/>
      <c r="T13" s="74"/>
      <c r="U13" s="74"/>
      <c r="V13" s="72"/>
      <c r="W13" s="72"/>
      <c r="X13" s="72"/>
      <c r="Y13" s="72"/>
      <c r="Z13" s="75"/>
      <c r="AA13" s="89" t="s">
        <v>225</v>
      </c>
      <c r="AB13" s="94" t="s">
        <v>71</v>
      </c>
      <c r="AC13" s="76"/>
      <c r="AD13" s="72"/>
      <c r="AE13" s="72" t="s">
        <v>69</v>
      </c>
      <c r="AF13" s="72" t="s">
        <v>69</v>
      </c>
      <c r="AG13" s="72"/>
      <c r="AH13" s="72"/>
      <c r="AI13" s="72"/>
      <c r="AJ13" s="72"/>
      <c r="AK13" s="73"/>
      <c r="AL13" s="74"/>
      <c r="AM13" s="72"/>
      <c r="AN13" s="72"/>
      <c r="AO13" s="72"/>
      <c r="AP13" s="72" t="s">
        <v>70</v>
      </c>
      <c r="AQ13" s="72" t="s">
        <v>69</v>
      </c>
      <c r="AR13" s="72" t="s">
        <v>69</v>
      </c>
      <c r="AS13" s="72" t="s">
        <v>69</v>
      </c>
      <c r="AT13" s="75"/>
    </row>
    <row r="14" spans="2:46" x14ac:dyDescent="0.25">
      <c r="B14" s="76"/>
      <c r="C14" s="72"/>
      <c r="D14" s="72"/>
      <c r="E14" s="77"/>
      <c r="F14" s="72"/>
      <c r="G14" s="72" t="s">
        <v>70</v>
      </c>
      <c r="H14" s="72" t="s">
        <v>70</v>
      </c>
      <c r="I14" s="72"/>
      <c r="J14" s="73"/>
      <c r="K14" s="74"/>
      <c r="L14" s="74"/>
      <c r="M14" s="72"/>
      <c r="N14" s="72"/>
      <c r="O14" s="72" t="s">
        <v>70</v>
      </c>
      <c r="P14" s="72" t="s">
        <v>70</v>
      </c>
      <c r="Q14" s="72"/>
      <c r="R14" s="73"/>
      <c r="S14" s="74"/>
      <c r="T14" s="74"/>
      <c r="U14" s="74"/>
      <c r="V14" s="72"/>
      <c r="W14" s="72"/>
      <c r="X14" s="72"/>
      <c r="Y14" s="72"/>
      <c r="Z14" s="75"/>
      <c r="AA14" s="90" t="s">
        <v>226</v>
      </c>
      <c r="AB14" s="95" t="s">
        <v>71</v>
      </c>
      <c r="AC14" s="76" t="s">
        <v>70</v>
      </c>
      <c r="AD14" s="72" t="s">
        <v>70</v>
      </c>
      <c r="AE14" s="72"/>
      <c r="AF14" s="72"/>
      <c r="AG14" s="72"/>
      <c r="AH14" s="72"/>
      <c r="AI14" s="72"/>
      <c r="AJ14" s="72"/>
      <c r="AK14" s="73"/>
      <c r="AL14" s="74"/>
      <c r="AM14" s="72"/>
      <c r="AN14" s="72"/>
      <c r="AO14" s="72"/>
      <c r="AP14" s="72"/>
      <c r="AQ14" s="72"/>
      <c r="AR14" s="72"/>
      <c r="AS14" s="72"/>
      <c r="AT14" s="75"/>
    </row>
    <row r="15" spans="2:46" x14ac:dyDescent="0.25">
      <c r="B15" s="76"/>
      <c r="C15" s="72"/>
      <c r="D15" s="72"/>
      <c r="E15" s="77"/>
      <c r="F15" s="72"/>
      <c r="G15" s="72"/>
      <c r="H15" s="72"/>
      <c r="I15" s="72"/>
      <c r="J15" s="73"/>
      <c r="K15" s="74" t="s">
        <v>70</v>
      </c>
      <c r="L15" s="74" t="s">
        <v>70</v>
      </c>
      <c r="M15" s="72" t="s">
        <v>70</v>
      </c>
      <c r="N15" s="72"/>
      <c r="O15" s="72"/>
      <c r="P15" s="72"/>
      <c r="Q15" s="72"/>
      <c r="R15" s="73"/>
      <c r="S15" s="74" t="s">
        <v>70</v>
      </c>
      <c r="T15" s="74"/>
      <c r="U15" s="74"/>
      <c r="V15" s="72" t="s">
        <v>70</v>
      </c>
      <c r="W15" s="72" t="s">
        <v>70</v>
      </c>
      <c r="X15" s="72" t="s">
        <v>70</v>
      </c>
      <c r="Y15" s="72"/>
      <c r="Z15" s="75"/>
      <c r="AA15" s="90" t="s">
        <v>159</v>
      </c>
      <c r="AB15" s="95" t="s">
        <v>227</v>
      </c>
      <c r="AC15" s="76"/>
      <c r="AD15" s="72"/>
      <c r="AE15" s="72"/>
      <c r="AF15" s="72"/>
      <c r="AG15" s="72"/>
      <c r="AH15" s="72"/>
      <c r="AI15" s="72"/>
      <c r="AJ15" s="72"/>
      <c r="AK15" s="73"/>
      <c r="AL15" s="74"/>
      <c r="AM15" s="72"/>
      <c r="AN15" s="72"/>
      <c r="AO15" s="72"/>
      <c r="AP15" s="72"/>
      <c r="AQ15" s="72"/>
      <c r="AR15" s="72"/>
      <c r="AS15" s="72"/>
      <c r="AT15" s="75"/>
    </row>
    <row r="16" spans="2:46" x14ac:dyDescent="0.25">
      <c r="B16" s="76"/>
      <c r="C16" s="72"/>
      <c r="D16" s="72"/>
      <c r="E16" s="77"/>
      <c r="F16" s="72"/>
      <c r="G16" s="72"/>
      <c r="H16" s="72"/>
      <c r="I16" s="72"/>
      <c r="J16" s="73"/>
      <c r="K16" s="74"/>
      <c r="L16" s="74"/>
      <c r="M16" s="72"/>
      <c r="N16" s="72"/>
      <c r="O16" s="72" t="s">
        <v>70</v>
      </c>
      <c r="P16" s="72" t="s">
        <v>70</v>
      </c>
      <c r="Q16" s="72"/>
      <c r="R16" s="73"/>
      <c r="S16" s="74"/>
      <c r="T16" s="74"/>
      <c r="U16" s="74"/>
      <c r="V16" s="72" t="s">
        <v>70</v>
      </c>
      <c r="W16" s="72" t="s">
        <v>70</v>
      </c>
      <c r="X16" s="72" t="s">
        <v>70</v>
      </c>
      <c r="Y16" s="72" t="s">
        <v>70</v>
      </c>
      <c r="Z16" s="75" t="s">
        <v>70</v>
      </c>
      <c r="AA16" s="90" t="s">
        <v>228</v>
      </c>
      <c r="AB16" s="95" t="s">
        <v>71</v>
      </c>
      <c r="AC16" s="76"/>
      <c r="AD16" s="72"/>
      <c r="AE16" s="72"/>
      <c r="AF16" s="72"/>
      <c r="AG16" s="72"/>
      <c r="AH16" s="72"/>
      <c r="AI16" s="72"/>
      <c r="AJ16" s="72" t="s">
        <v>70</v>
      </c>
      <c r="AK16" s="73" t="s">
        <v>70</v>
      </c>
      <c r="AL16" s="74"/>
      <c r="AM16" s="72"/>
      <c r="AN16" s="72"/>
      <c r="AO16" s="72"/>
      <c r="AP16" s="72"/>
      <c r="AQ16" s="72"/>
      <c r="AR16" s="72" t="s">
        <v>70</v>
      </c>
      <c r="AS16" s="72" t="s">
        <v>70</v>
      </c>
      <c r="AT16" s="75"/>
    </row>
    <row r="17" spans="2:46" x14ac:dyDescent="0.25">
      <c r="B17" s="76"/>
      <c r="C17" s="72"/>
      <c r="D17" s="72"/>
      <c r="E17" s="77"/>
      <c r="F17" s="72"/>
      <c r="G17" s="72"/>
      <c r="H17" s="72"/>
      <c r="I17" s="72"/>
      <c r="J17" s="73"/>
      <c r="K17" s="74"/>
      <c r="L17" s="74"/>
      <c r="M17" s="72"/>
      <c r="N17" s="72"/>
      <c r="O17" s="72"/>
      <c r="P17" s="72"/>
      <c r="Q17" s="72" t="s">
        <v>70</v>
      </c>
      <c r="R17" s="73" t="s">
        <v>70</v>
      </c>
      <c r="S17" s="74"/>
      <c r="T17" s="74"/>
      <c r="U17" s="74"/>
      <c r="V17" s="72"/>
      <c r="W17" s="72"/>
      <c r="X17" s="72"/>
      <c r="Y17" s="72"/>
      <c r="Z17" s="75"/>
      <c r="AA17" s="90" t="s">
        <v>229</v>
      </c>
      <c r="AB17" s="95" t="s">
        <v>227</v>
      </c>
      <c r="AC17" s="76"/>
      <c r="AD17" s="72"/>
      <c r="AE17" s="72"/>
      <c r="AF17" s="72"/>
      <c r="AG17" s="72"/>
      <c r="AH17" s="72"/>
      <c r="AI17" s="72"/>
      <c r="AJ17" s="72"/>
      <c r="AK17" s="73"/>
      <c r="AL17" s="74"/>
      <c r="AM17" s="72"/>
      <c r="AN17" s="72"/>
      <c r="AO17" s="72"/>
      <c r="AP17" s="72"/>
      <c r="AQ17" s="72"/>
      <c r="AR17" s="72"/>
      <c r="AS17" s="72"/>
      <c r="AT17" s="75"/>
    </row>
    <row r="18" spans="2:46" x14ac:dyDescent="0.25">
      <c r="B18" s="76"/>
      <c r="C18" s="72"/>
      <c r="D18" s="72"/>
      <c r="E18" s="77"/>
      <c r="F18" s="72"/>
      <c r="G18" s="72"/>
      <c r="H18" s="72"/>
      <c r="I18" s="72"/>
      <c r="J18" s="73"/>
      <c r="K18" s="74"/>
      <c r="L18" s="74"/>
      <c r="M18" s="72"/>
      <c r="N18" s="72"/>
      <c r="O18" s="72"/>
      <c r="P18" s="72"/>
      <c r="Q18" s="72"/>
      <c r="R18" s="73"/>
      <c r="S18" s="74" t="s">
        <v>70</v>
      </c>
      <c r="T18" s="74"/>
      <c r="U18" s="74"/>
      <c r="V18" s="72" t="s">
        <v>70</v>
      </c>
      <c r="W18" s="72" t="s">
        <v>70</v>
      </c>
      <c r="X18" s="72" t="s">
        <v>70</v>
      </c>
      <c r="Y18" s="72"/>
      <c r="Z18" s="75"/>
      <c r="AA18" s="90" t="s">
        <v>230</v>
      </c>
      <c r="AB18" s="95" t="s">
        <v>231</v>
      </c>
      <c r="AC18" s="76"/>
      <c r="AD18" s="72"/>
      <c r="AE18" s="72"/>
      <c r="AF18" s="72"/>
      <c r="AG18" s="72"/>
      <c r="AH18" s="72"/>
      <c r="AI18" s="72"/>
      <c r="AJ18" s="72"/>
      <c r="AK18" s="73"/>
      <c r="AL18" s="74"/>
      <c r="AM18" s="72"/>
      <c r="AN18" s="72"/>
      <c r="AO18" s="72"/>
      <c r="AP18" s="72"/>
      <c r="AQ18" s="72"/>
      <c r="AR18" s="72"/>
      <c r="AS18" s="72"/>
      <c r="AT18" s="75"/>
    </row>
    <row r="19" spans="2:46" x14ac:dyDescent="0.25">
      <c r="B19" s="76"/>
      <c r="C19" s="72"/>
      <c r="D19" s="72"/>
      <c r="E19" s="72"/>
      <c r="F19" s="72"/>
      <c r="G19" s="72"/>
      <c r="H19" s="72"/>
      <c r="I19" s="72"/>
      <c r="J19" s="73"/>
      <c r="K19" s="74"/>
      <c r="L19" s="72"/>
      <c r="M19" s="72"/>
      <c r="N19" s="72"/>
      <c r="O19" s="72"/>
      <c r="P19" s="72"/>
      <c r="Q19" s="72"/>
      <c r="R19" s="73"/>
      <c r="S19" s="74"/>
      <c r="T19" s="72" t="s">
        <v>70</v>
      </c>
      <c r="U19" s="72" t="s">
        <v>70</v>
      </c>
      <c r="V19" s="72"/>
      <c r="W19" s="72"/>
      <c r="X19" s="72"/>
      <c r="Y19" s="72"/>
      <c r="Z19" s="75"/>
      <c r="AA19" s="90" t="s">
        <v>171</v>
      </c>
      <c r="AB19" s="95" t="s">
        <v>231</v>
      </c>
      <c r="AC19" s="101"/>
      <c r="AD19" s="2"/>
      <c r="AE19" s="2"/>
      <c r="AF19" s="2"/>
      <c r="AG19" s="2"/>
      <c r="AH19" s="2"/>
      <c r="AI19" s="2"/>
      <c r="AJ19" s="2"/>
      <c r="AK19" s="105"/>
      <c r="AL19" s="92"/>
      <c r="AM19" s="2"/>
      <c r="AN19" s="2"/>
      <c r="AO19" s="2"/>
      <c r="AP19" s="2"/>
      <c r="AQ19" s="2"/>
      <c r="AR19" s="2"/>
      <c r="AS19" s="2"/>
      <c r="AT19" s="223"/>
    </row>
    <row r="20" spans="2:46" x14ac:dyDescent="0.25">
      <c r="B20" s="76"/>
      <c r="C20" s="72"/>
      <c r="D20" s="72"/>
      <c r="E20" s="72"/>
      <c r="F20" s="72"/>
      <c r="G20" s="72"/>
      <c r="H20" s="72"/>
      <c r="I20" s="72"/>
      <c r="J20" s="73"/>
      <c r="K20" s="74"/>
      <c r="L20" s="72"/>
      <c r="M20" s="72"/>
      <c r="N20" s="72"/>
      <c r="O20" s="72"/>
      <c r="P20" s="72"/>
      <c r="Q20" s="72"/>
      <c r="R20" s="73"/>
      <c r="S20" s="74"/>
      <c r="T20" s="72"/>
      <c r="U20" s="72"/>
      <c r="V20" s="72"/>
      <c r="W20" s="72"/>
      <c r="X20" s="72" t="s">
        <v>70</v>
      </c>
      <c r="Y20" s="72"/>
      <c r="Z20" s="75"/>
      <c r="AA20" s="90" t="s">
        <v>232</v>
      </c>
      <c r="AB20" s="95" t="s">
        <v>227</v>
      </c>
      <c r="AC20" s="101"/>
      <c r="AD20" s="2"/>
      <c r="AE20" s="2"/>
      <c r="AF20" s="2"/>
      <c r="AG20" s="2"/>
      <c r="AH20" s="2"/>
      <c r="AI20" s="2"/>
      <c r="AJ20" s="2"/>
      <c r="AK20" s="105"/>
      <c r="AL20" s="92"/>
      <c r="AM20" s="2"/>
      <c r="AN20" s="2"/>
      <c r="AO20" s="2"/>
      <c r="AP20" s="2"/>
      <c r="AQ20" s="2"/>
      <c r="AR20" s="2"/>
      <c r="AS20" s="2"/>
      <c r="AT20" s="223"/>
    </row>
    <row r="21" spans="2:46" ht="15.75" thickBot="1" x14ac:dyDescent="0.3">
      <c r="B21" s="81"/>
      <c r="C21" s="82"/>
      <c r="D21" s="82"/>
      <c r="E21" s="82"/>
      <c r="F21" s="82"/>
      <c r="G21" s="82"/>
      <c r="H21" s="82"/>
      <c r="I21" s="82"/>
      <c r="J21" s="83"/>
      <c r="K21" s="84"/>
      <c r="L21" s="82"/>
      <c r="M21" s="82"/>
      <c r="N21" s="82"/>
      <c r="O21" s="82"/>
      <c r="P21" s="82"/>
      <c r="Q21" s="82"/>
      <c r="R21" s="85"/>
      <c r="S21" s="86"/>
      <c r="T21" s="82"/>
      <c r="U21" s="82"/>
      <c r="V21" s="82"/>
      <c r="W21" s="82"/>
      <c r="X21" s="82"/>
      <c r="Y21" s="82" t="s">
        <v>70</v>
      </c>
      <c r="Z21" s="87" t="s">
        <v>70</v>
      </c>
      <c r="AA21" s="91" t="s">
        <v>169</v>
      </c>
      <c r="AB21" s="96" t="s">
        <v>231</v>
      </c>
      <c r="AC21" s="102"/>
      <c r="AD21" s="103"/>
      <c r="AE21" s="103"/>
      <c r="AF21" s="103"/>
      <c r="AG21" s="103"/>
      <c r="AH21" s="103"/>
      <c r="AI21" s="103"/>
      <c r="AJ21" s="103"/>
      <c r="AK21" s="106"/>
      <c r="AL21" s="104"/>
      <c r="AM21" s="103"/>
      <c r="AN21" s="103"/>
      <c r="AO21" s="103"/>
      <c r="AP21" s="103"/>
      <c r="AQ21" s="103"/>
      <c r="AR21" s="103"/>
      <c r="AS21" s="103"/>
      <c r="AT21" s="224"/>
    </row>
  </sheetData>
  <mergeCells count="28">
    <mergeCell ref="C2:F2"/>
    <mergeCell ref="B5:J5"/>
    <mergeCell ref="K5:R5"/>
    <mergeCell ref="S5:Z5"/>
    <mergeCell ref="AC5:AK5"/>
    <mergeCell ref="B4:Z4"/>
    <mergeCell ref="AA4:AA7"/>
    <mergeCell ref="AB4:AB7"/>
    <mergeCell ref="AC4:AT4"/>
    <mergeCell ref="AL5:AT5"/>
    <mergeCell ref="AC6:AD6"/>
    <mergeCell ref="AE6:AF6"/>
    <mergeCell ref="Y6:Z6"/>
    <mergeCell ref="AR6:AS6"/>
    <mergeCell ref="B6:C6"/>
    <mergeCell ref="E6:F6"/>
    <mergeCell ref="G6:H6"/>
    <mergeCell ref="I6:J6"/>
    <mergeCell ref="K6:L6"/>
    <mergeCell ref="N6:P6"/>
    <mergeCell ref="Q6:R6"/>
    <mergeCell ref="AN6:AO6"/>
    <mergeCell ref="AP6:AQ6"/>
    <mergeCell ref="T6:U6"/>
    <mergeCell ref="V6:W6"/>
    <mergeCell ref="AG6:AI6"/>
    <mergeCell ref="AJ6:AK6"/>
    <mergeCell ref="AL6:AM6"/>
  </mergeCells>
  <dataValidations disablePrompts="1" count="1">
    <dataValidation type="list" allowBlank="1" showInputMessage="1" showErrorMessage="1" sqref="AB8:AB18">
      <formula1>"Non, Trimestre 3, Trimestre 4, Trimestre 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C2:F46"/>
  <sheetViews>
    <sheetView zoomScale="80" zoomScaleNormal="80" workbookViewId="0">
      <selection activeCell="L21" sqref="L21"/>
    </sheetView>
  </sheetViews>
  <sheetFormatPr baseColWidth="10" defaultColWidth="8.85546875" defaultRowHeight="15" x14ac:dyDescent="0.25"/>
  <cols>
    <col min="1" max="2" width="8.85546875" style="1"/>
    <col min="3" max="3" width="15.85546875" style="1" customWidth="1"/>
    <col min="4" max="4" width="47" style="1" customWidth="1"/>
    <col min="5" max="5" width="18.140625" style="1" customWidth="1"/>
    <col min="6" max="6" width="31.5703125" style="1" customWidth="1"/>
    <col min="7" max="16384" width="8.85546875" style="1"/>
  </cols>
  <sheetData>
    <row r="2" spans="3:6" ht="43.35" customHeight="1" x14ac:dyDescent="0.25">
      <c r="C2" s="439" t="s">
        <v>245</v>
      </c>
      <c r="D2" s="439"/>
      <c r="E2" s="439"/>
      <c r="F2" s="439"/>
    </row>
    <row r="3" spans="3:6" x14ac:dyDescent="0.25">
      <c r="C3" s="3" t="s">
        <v>1</v>
      </c>
      <c r="D3" s="374" t="s">
        <v>248</v>
      </c>
      <c r="E3" s="375"/>
      <c r="F3" s="117"/>
    </row>
    <row r="5" spans="3:6" x14ac:dyDescent="0.25">
      <c r="C5" s="440" t="s">
        <v>78</v>
      </c>
      <c r="D5" s="18" t="s">
        <v>163</v>
      </c>
      <c r="E5" s="18"/>
      <c r="F5" s="18"/>
    </row>
    <row r="6" spans="3:6" x14ac:dyDescent="0.25">
      <c r="C6" s="440"/>
      <c r="D6" s="17" t="s">
        <v>24</v>
      </c>
      <c r="E6" s="19" t="s">
        <v>25</v>
      </c>
      <c r="F6" s="19" t="s">
        <v>246</v>
      </c>
    </row>
    <row r="7" spans="3:6" x14ac:dyDescent="0.25">
      <c r="C7" s="399" t="s">
        <v>79</v>
      </c>
      <c r="D7" s="36" t="s">
        <v>155</v>
      </c>
      <c r="E7" s="41">
        <v>10.5</v>
      </c>
      <c r="F7" s="7" t="s">
        <v>71</v>
      </c>
    </row>
    <row r="8" spans="3:6" x14ac:dyDescent="0.25">
      <c r="C8" s="399"/>
      <c r="D8" s="36" t="s">
        <v>156</v>
      </c>
      <c r="E8" s="40">
        <v>21</v>
      </c>
      <c r="F8" s="7" t="s">
        <v>71</v>
      </c>
    </row>
    <row r="9" spans="3:6" x14ac:dyDescent="0.25">
      <c r="C9" s="399"/>
      <c r="D9" s="42" t="s">
        <v>157</v>
      </c>
      <c r="E9" s="47">
        <v>21</v>
      </c>
      <c r="F9" s="7" t="s">
        <v>71</v>
      </c>
    </row>
    <row r="10" spans="3:6" x14ac:dyDescent="0.25">
      <c r="C10" s="399"/>
      <c r="D10" s="20"/>
      <c r="E10" s="30"/>
      <c r="F10" s="7"/>
    </row>
    <row r="11" spans="3:6" x14ac:dyDescent="0.25">
      <c r="C11" s="399"/>
      <c r="D11" s="20"/>
      <c r="E11" s="30"/>
      <c r="F11" s="7"/>
    </row>
    <row r="12" spans="3:6" x14ac:dyDescent="0.25">
      <c r="C12" s="399"/>
      <c r="D12" s="20"/>
      <c r="E12" s="30"/>
      <c r="F12" s="7"/>
    </row>
    <row r="13" spans="3:6" x14ac:dyDescent="0.25">
      <c r="C13" s="399"/>
      <c r="D13" s="20"/>
      <c r="E13" s="30"/>
      <c r="F13" s="7"/>
    </row>
    <row r="14" spans="3:6" x14ac:dyDescent="0.25">
      <c r="C14" s="399"/>
      <c r="D14" s="20"/>
      <c r="E14" s="30"/>
      <c r="F14" s="7"/>
    </row>
    <row r="15" spans="3:6" x14ac:dyDescent="0.25">
      <c r="C15" s="399"/>
      <c r="D15" s="20"/>
      <c r="E15" s="30"/>
      <c r="F15" s="7"/>
    </row>
    <row r="16" spans="3:6" x14ac:dyDescent="0.25">
      <c r="C16" s="399"/>
      <c r="D16" s="118"/>
      <c r="E16" s="30"/>
      <c r="F16" s="7"/>
    </row>
    <row r="17" spans="3:6" x14ac:dyDescent="0.25">
      <c r="C17" s="399"/>
      <c r="D17" s="118"/>
      <c r="E17" s="30"/>
      <c r="F17" s="7"/>
    </row>
    <row r="18" spans="3:6" x14ac:dyDescent="0.25">
      <c r="C18" s="119"/>
      <c r="D18" s="120"/>
      <c r="E18" s="121"/>
      <c r="F18" s="225"/>
    </row>
    <row r="19" spans="3:6" x14ac:dyDescent="0.25">
      <c r="C19" s="399" t="s">
        <v>80</v>
      </c>
      <c r="D19" s="36" t="s">
        <v>173</v>
      </c>
      <c r="E19" s="33">
        <v>10.5</v>
      </c>
      <c r="F19" s="7" t="s">
        <v>71</v>
      </c>
    </row>
    <row r="20" spans="3:6" x14ac:dyDescent="0.25">
      <c r="C20" s="399"/>
      <c r="D20" s="36" t="s">
        <v>568</v>
      </c>
      <c r="E20" s="30">
        <v>10.5</v>
      </c>
      <c r="F20" s="7" t="s">
        <v>71</v>
      </c>
    </row>
    <row r="21" spans="3:6" x14ac:dyDescent="0.25">
      <c r="C21" s="399"/>
      <c r="D21" s="42" t="s">
        <v>174</v>
      </c>
      <c r="E21" s="31">
        <v>21</v>
      </c>
      <c r="F21" s="7" t="s">
        <v>71</v>
      </c>
    </row>
    <row r="22" spans="3:6" x14ac:dyDescent="0.25">
      <c r="C22" s="399"/>
      <c r="D22" s="122" t="s">
        <v>295</v>
      </c>
      <c r="E22" s="32">
        <v>42</v>
      </c>
      <c r="F22" s="7" t="s">
        <v>247</v>
      </c>
    </row>
    <row r="23" spans="3:6" x14ac:dyDescent="0.25">
      <c r="C23" s="399"/>
      <c r="D23" s="122"/>
      <c r="E23" s="32"/>
      <c r="F23" s="7"/>
    </row>
    <row r="24" spans="3:6" x14ac:dyDescent="0.25">
      <c r="C24" s="399"/>
      <c r="D24" s="122"/>
      <c r="E24" s="32"/>
      <c r="F24" s="7"/>
    </row>
    <row r="25" spans="3:6" x14ac:dyDescent="0.25">
      <c r="C25" s="399"/>
      <c r="D25" s="122"/>
      <c r="E25" s="32"/>
      <c r="F25" s="7"/>
    </row>
    <row r="26" spans="3:6" x14ac:dyDescent="0.25">
      <c r="C26" s="399"/>
      <c r="D26" s="122"/>
      <c r="E26" s="32"/>
      <c r="F26" s="7"/>
    </row>
    <row r="27" spans="3:6" x14ac:dyDescent="0.25">
      <c r="C27" s="399"/>
      <c r="D27" s="122"/>
      <c r="E27" s="32"/>
      <c r="F27" s="7"/>
    </row>
    <row r="28" spans="3:6" x14ac:dyDescent="0.25">
      <c r="C28" s="399"/>
      <c r="D28" s="122"/>
      <c r="E28" s="32"/>
      <c r="F28" s="7"/>
    </row>
    <row r="29" spans="3:6" x14ac:dyDescent="0.25">
      <c r="C29" s="399"/>
      <c r="D29" s="20"/>
      <c r="E29" s="33"/>
      <c r="F29" s="7"/>
    </row>
    <row r="30" spans="3:6" x14ac:dyDescent="0.25">
      <c r="C30" s="399"/>
      <c r="D30" s="123"/>
      <c r="E30" s="33"/>
      <c r="F30" s="7"/>
    </row>
    <row r="31" spans="3:6" x14ac:dyDescent="0.25">
      <c r="C31" s="399"/>
      <c r="D31" s="118"/>
      <c r="E31" s="30"/>
      <c r="F31" s="7"/>
    </row>
    <row r="32" spans="3:6" x14ac:dyDescent="0.25">
      <c r="C32" s="399"/>
      <c r="D32" s="118"/>
      <c r="E32" s="30"/>
      <c r="F32" s="7"/>
    </row>
    <row r="33" spans="3:6" x14ac:dyDescent="0.25">
      <c r="C33" s="124"/>
      <c r="D33" s="120"/>
      <c r="E33" s="125"/>
      <c r="F33" s="225"/>
    </row>
    <row r="34" spans="3:6" x14ac:dyDescent="0.25">
      <c r="C34" s="399" t="s">
        <v>81</v>
      </c>
      <c r="D34" s="57" t="s">
        <v>187</v>
      </c>
      <c r="E34" s="33">
        <v>10.5</v>
      </c>
      <c r="F34" s="7" t="s">
        <v>71</v>
      </c>
    </row>
    <row r="35" spans="3:6" x14ac:dyDescent="0.25">
      <c r="C35" s="399"/>
      <c r="D35" s="57" t="s">
        <v>188</v>
      </c>
      <c r="E35" s="30">
        <v>10.5</v>
      </c>
      <c r="F35" s="7" t="s">
        <v>71</v>
      </c>
    </row>
    <row r="36" spans="3:6" x14ac:dyDescent="0.25">
      <c r="C36" s="399"/>
      <c r="D36" s="58" t="s">
        <v>14</v>
      </c>
      <c r="E36" s="31">
        <v>21</v>
      </c>
      <c r="F36" s="7" t="s">
        <v>71</v>
      </c>
    </row>
    <row r="37" spans="3:6" x14ac:dyDescent="0.25">
      <c r="C37" s="399"/>
      <c r="D37" s="122" t="s">
        <v>338</v>
      </c>
      <c r="E37" s="32">
        <v>22</v>
      </c>
      <c r="F37" s="7" t="s">
        <v>247</v>
      </c>
    </row>
    <row r="38" spans="3:6" x14ac:dyDescent="0.25">
      <c r="C38" s="399"/>
      <c r="D38" s="122"/>
      <c r="E38" s="32"/>
      <c r="F38" s="8"/>
    </row>
    <row r="39" spans="3:6" x14ac:dyDescent="0.25">
      <c r="C39" s="399"/>
      <c r="D39" s="122"/>
      <c r="E39" s="32"/>
      <c r="F39" s="8"/>
    </row>
    <row r="40" spans="3:6" x14ac:dyDescent="0.25">
      <c r="C40" s="399"/>
      <c r="D40" s="122"/>
      <c r="E40" s="32"/>
      <c r="F40" s="8"/>
    </row>
    <row r="41" spans="3:6" x14ac:dyDescent="0.25">
      <c r="C41" s="399"/>
      <c r="D41" s="122"/>
      <c r="E41" s="32"/>
      <c r="F41" s="8"/>
    </row>
    <row r="42" spans="3:6" x14ac:dyDescent="0.25">
      <c r="C42" s="399"/>
      <c r="D42" s="122"/>
      <c r="E42" s="32"/>
      <c r="F42" s="8"/>
    </row>
    <row r="43" spans="3:6" x14ac:dyDescent="0.25">
      <c r="C43" s="399"/>
      <c r="D43" s="20"/>
      <c r="E43" s="33"/>
      <c r="F43" s="8"/>
    </row>
    <row r="44" spans="3:6" x14ac:dyDescent="0.25">
      <c r="C44" s="399"/>
      <c r="D44" s="123"/>
      <c r="E44" s="33"/>
      <c r="F44" s="8"/>
    </row>
    <row r="45" spans="3:6" x14ac:dyDescent="0.25">
      <c r="C45" s="399"/>
      <c r="D45" s="118"/>
      <c r="E45" s="30"/>
      <c r="F45" s="8"/>
    </row>
    <row r="46" spans="3:6" x14ac:dyDescent="0.25">
      <c r="C46" s="399"/>
      <c r="D46" s="118"/>
      <c r="E46" s="30"/>
      <c r="F46" s="8"/>
    </row>
  </sheetData>
  <mergeCells count="6">
    <mergeCell ref="C34:C46"/>
    <mergeCell ref="C2:F2"/>
    <mergeCell ref="D3:E3"/>
    <mergeCell ref="C5:C6"/>
    <mergeCell ref="C7:C17"/>
    <mergeCell ref="C19:C32"/>
  </mergeCells>
  <conditionalFormatting sqref="D30:D32 D16:D17 D44:D46">
    <cfRule type="colorScale" priority="2">
      <colorScale>
        <cfvo type="num" val="0"/>
        <cfvo type="num" val="0"/>
        <color rgb="FFFF0000"/>
        <color rgb="FF00B050"/>
      </colorScale>
    </cfRule>
  </conditionalFormatting>
  <conditionalFormatting sqref="D34:D36">
    <cfRule type="colorScale" priority="1">
      <colorScale>
        <cfvo type="num" val="0"/>
        <cfvo type="num" val="0"/>
        <color rgb="FFFF0000"/>
        <color rgb="FF00B050"/>
      </colorScale>
    </cfRule>
  </conditionalFormatting>
  <dataValidations count="1">
    <dataValidation type="list" allowBlank="1" showInputMessage="1" showErrorMessage="1" sqref="F7:F17 F19:F32 F34:F46">
      <formula1>"Oui, Non"</formula1>
    </dataValidation>
  </dataValidation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sheetPr>
  <dimension ref="B2:C16"/>
  <sheetViews>
    <sheetView workbookViewId="0">
      <selection activeCell="C15" sqref="C15"/>
    </sheetView>
  </sheetViews>
  <sheetFormatPr baseColWidth="10" defaultColWidth="8.85546875" defaultRowHeight="15" x14ac:dyDescent="0.25"/>
  <cols>
    <col min="1" max="1" width="8.85546875" style="1"/>
    <col min="2" max="2" width="32.140625" style="1" customWidth="1"/>
    <col min="3" max="3" width="50.140625" style="1" customWidth="1"/>
    <col min="4" max="16384" width="8.85546875" style="1"/>
  </cols>
  <sheetData>
    <row r="2" spans="2:3" x14ac:dyDescent="0.25">
      <c r="B2" s="3" t="s">
        <v>1</v>
      </c>
      <c r="C2" s="109" t="s">
        <v>236</v>
      </c>
    </row>
    <row r="4" spans="2:3" x14ac:dyDescent="0.25">
      <c r="B4" s="443" t="s">
        <v>79</v>
      </c>
      <c r="C4" s="443"/>
    </row>
    <row r="5" spans="2:3" x14ac:dyDescent="0.25">
      <c r="B5" s="107" t="s">
        <v>82</v>
      </c>
      <c r="C5" s="107" t="s">
        <v>22</v>
      </c>
    </row>
    <row r="6" spans="2:3" x14ac:dyDescent="0.25">
      <c r="B6" s="441" t="s">
        <v>158</v>
      </c>
      <c r="C6" s="56" t="s">
        <v>148</v>
      </c>
    </row>
    <row r="7" spans="2:3" x14ac:dyDescent="0.25">
      <c r="B7" s="441"/>
      <c r="C7" s="56" t="s">
        <v>149</v>
      </c>
    </row>
    <row r="8" spans="2:3" x14ac:dyDescent="0.25">
      <c r="B8" s="34" t="s">
        <v>159</v>
      </c>
      <c r="C8" s="57" t="s">
        <v>150</v>
      </c>
    </row>
    <row r="9" spans="2:3" x14ac:dyDescent="0.25">
      <c r="B9" s="441" t="s">
        <v>160</v>
      </c>
      <c r="C9" s="56" t="s">
        <v>151</v>
      </c>
    </row>
    <row r="10" spans="2:3" x14ac:dyDescent="0.25">
      <c r="B10" s="441"/>
      <c r="C10" s="56" t="s">
        <v>152</v>
      </c>
    </row>
    <row r="11" spans="2:3" x14ac:dyDescent="0.25">
      <c r="B11" s="441" t="s">
        <v>161</v>
      </c>
      <c r="C11" s="20" t="s">
        <v>26</v>
      </c>
    </row>
    <row r="12" spans="2:3" x14ac:dyDescent="0.25">
      <c r="B12" s="441"/>
      <c r="C12" s="56" t="s">
        <v>153</v>
      </c>
    </row>
    <row r="13" spans="2:3" x14ac:dyDescent="0.25">
      <c r="B13" s="441" t="s">
        <v>164</v>
      </c>
      <c r="C13" s="56" t="s">
        <v>27</v>
      </c>
    </row>
    <row r="14" spans="2:3" x14ac:dyDescent="0.25">
      <c r="B14" s="441"/>
      <c r="C14" s="56" t="s">
        <v>154</v>
      </c>
    </row>
    <row r="15" spans="2:3" x14ac:dyDescent="0.25">
      <c r="B15" s="442" t="s">
        <v>162</v>
      </c>
      <c r="C15" s="186" t="s">
        <v>343</v>
      </c>
    </row>
    <row r="16" spans="2:3" x14ac:dyDescent="0.25">
      <c r="B16" s="442"/>
      <c r="C16" s="20" t="s">
        <v>68</v>
      </c>
    </row>
  </sheetData>
  <mergeCells count="6">
    <mergeCell ref="B6:B7"/>
    <mergeCell ref="B15:B16"/>
    <mergeCell ref="B4:C4"/>
    <mergeCell ref="B9:B10"/>
    <mergeCell ref="B11:B12"/>
    <mergeCell ref="B13:B14"/>
  </mergeCells>
  <conditionalFormatting sqref="C8">
    <cfRule type="colorScale" priority="1">
      <colorScale>
        <cfvo type="num" val="0"/>
        <cfvo type="num" val="0"/>
        <color rgb="FFFF0000"/>
        <color rgb="FF00B050"/>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7"/>
  <sheetViews>
    <sheetView zoomScaleNormal="100" workbookViewId="0">
      <selection activeCell="B1" sqref="B1"/>
    </sheetView>
  </sheetViews>
  <sheetFormatPr baseColWidth="10" defaultColWidth="8.85546875" defaultRowHeight="15" x14ac:dyDescent="0.25"/>
  <cols>
    <col min="1" max="1" width="2.5703125" style="1" customWidth="1"/>
    <col min="2" max="2" width="37.140625" style="1" bestFit="1" customWidth="1"/>
    <col min="3" max="3" width="16.5703125" style="1" bestFit="1" customWidth="1"/>
    <col min="4" max="4" width="11.85546875" style="1" bestFit="1" customWidth="1"/>
    <col min="5" max="5" width="7.140625" style="1" bestFit="1" customWidth="1"/>
    <col min="6" max="6" width="68.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8"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696</v>
      </c>
      <c r="D8" s="444"/>
      <c r="E8" s="444"/>
      <c r="F8" s="444"/>
    </row>
    <row r="9" spans="2:6" ht="15.75" x14ac:dyDescent="0.25">
      <c r="B9" s="187" t="s">
        <v>310</v>
      </c>
      <c r="C9" s="444">
        <v>3</v>
      </c>
      <c r="D9" s="444"/>
      <c r="E9" s="444"/>
      <c r="F9" s="444"/>
    </row>
    <row r="10" spans="2:6" ht="15.75" x14ac:dyDescent="0.25">
      <c r="B10" s="150"/>
      <c r="C10" s="150"/>
      <c r="D10" s="150"/>
      <c r="E10" s="150"/>
      <c r="F10" s="150"/>
    </row>
    <row r="11" spans="2:6" ht="15.75" x14ac:dyDescent="0.25">
      <c r="B11" s="452" t="s">
        <v>309</v>
      </c>
      <c r="C11" s="452"/>
      <c r="D11" s="452"/>
      <c r="E11" s="452"/>
      <c r="F11" s="452"/>
    </row>
    <row r="12" spans="2:6" ht="15.75" x14ac:dyDescent="0.25">
      <c r="B12" s="452" t="s">
        <v>304</v>
      </c>
      <c r="C12" s="452"/>
      <c r="D12" s="452" t="s">
        <v>308</v>
      </c>
      <c r="E12" s="452"/>
      <c r="F12" s="452"/>
    </row>
    <row r="13" spans="2:6" ht="15.75" x14ac:dyDescent="0.25">
      <c r="B13" s="453">
        <v>43012</v>
      </c>
      <c r="C13" s="453"/>
      <c r="D13" s="444" t="s">
        <v>437</v>
      </c>
      <c r="E13" s="444"/>
      <c r="F13" s="444"/>
    </row>
    <row r="14" spans="2:6" ht="15.75" x14ac:dyDescent="0.25">
      <c r="B14" s="150"/>
      <c r="C14" s="150"/>
      <c r="D14" s="150"/>
      <c r="E14" s="150"/>
      <c r="F14" s="150"/>
    </row>
    <row r="15" spans="2:6" ht="15.75" x14ac:dyDescent="0.25">
      <c r="B15" s="150"/>
      <c r="C15" s="150"/>
      <c r="D15" s="150"/>
      <c r="E15" s="150"/>
      <c r="F15" s="150"/>
    </row>
    <row r="16" spans="2:6" ht="15.75" x14ac:dyDescent="0.25">
      <c r="B16" s="162" t="s">
        <v>300</v>
      </c>
      <c r="C16" s="162" t="s">
        <v>299</v>
      </c>
      <c r="D16" s="162" t="s">
        <v>298</v>
      </c>
      <c r="E16" s="162" t="s">
        <v>297</v>
      </c>
      <c r="F16" s="162" t="s">
        <v>296</v>
      </c>
    </row>
    <row r="17" spans="2:6" ht="28.5" customHeight="1" x14ac:dyDescent="0.25">
      <c r="B17" s="35" t="s">
        <v>438</v>
      </c>
      <c r="C17" s="24" t="s">
        <v>439</v>
      </c>
      <c r="D17" s="233">
        <v>2</v>
      </c>
      <c r="E17" s="233">
        <v>2</v>
      </c>
      <c r="F17" s="233" t="s">
        <v>440</v>
      </c>
    </row>
    <row r="18" spans="2:6" ht="15.75" x14ac:dyDescent="0.25">
      <c r="B18" s="150"/>
      <c r="C18" s="150"/>
      <c r="D18" s="150"/>
      <c r="E18" s="150"/>
      <c r="F18" s="150"/>
    </row>
    <row r="19" spans="2:6" ht="15.75" x14ac:dyDescent="0.25">
      <c r="B19" s="446" t="s">
        <v>293</v>
      </c>
      <c r="C19" s="447"/>
      <c r="D19" s="447"/>
      <c r="E19" s="447"/>
      <c r="F19" s="448"/>
    </row>
    <row r="20" spans="2:6" ht="15.75" x14ac:dyDescent="0.25">
      <c r="B20" s="449" t="s">
        <v>441</v>
      </c>
      <c r="C20" s="450"/>
      <c r="D20" s="450"/>
      <c r="E20" s="450"/>
      <c r="F20" s="451"/>
    </row>
    <row r="21" spans="2:6" ht="15.75" x14ac:dyDescent="0.25">
      <c r="B21" s="150"/>
      <c r="C21" s="150"/>
      <c r="D21" s="150"/>
      <c r="E21" s="150"/>
      <c r="F21" s="150"/>
    </row>
    <row r="22" spans="2:6" ht="15.75" x14ac:dyDescent="0.25">
      <c r="B22" s="446" t="s">
        <v>292</v>
      </c>
      <c r="C22" s="447"/>
      <c r="D22" s="447"/>
      <c r="E22" s="447"/>
      <c r="F22" s="448"/>
    </row>
    <row r="23" spans="2:6" ht="80.45" customHeight="1" x14ac:dyDescent="0.25">
      <c r="B23" s="454" t="s">
        <v>442</v>
      </c>
      <c r="C23" s="450"/>
      <c r="D23" s="450"/>
      <c r="E23" s="450"/>
      <c r="F23" s="451"/>
    </row>
    <row r="24" spans="2:6" ht="15.75" x14ac:dyDescent="0.25">
      <c r="B24" s="150"/>
      <c r="C24" s="150"/>
      <c r="D24" s="150"/>
      <c r="E24" s="150"/>
      <c r="F24" s="150"/>
    </row>
    <row r="25" spans="2:6" ht="15.75" x14ac:dyDescent="0.25">
      <c r="B25" s="446" t="s">
        <v>430</v>
      </c>
      <c r="C25" s="447"/>
      <c r="D25" s="447"/>
      <c r="E25" s="447"/>
      <c r="F25" s="448"/>
    </row>
    <row r="26" spans="2:6" ht="30.6" customHeight="1" x14ac:dyDescent="0.25">
      <c r="B26" s="449" t="s">
        <v>450</v>
      </c>
      <c r="C26" s="455"/>
      <c r="D26" s="455"/>
      <c r="E26" s="455"/>
      <c r="F26" s="456"/>
    </row>
    <row r="27" spans="2:6" ht="15.75" x14ac:dyDescent="0.25">
      <c r="B27" s="150"/>
      <c r="C27" s="150"/>
      <c r="D27" s="150"/>
      <c r="E27" s="150"/>
      <c r="F27" s="150"/>
    </row>
    <row r="28" spans="2:6" ht="15.75" x14ac:dyDescent="0.25">
      <c r="B28" s="446" t="s">
        <v>431</v>
      </c>
      <c r="C28" s="447"/>
      <c r="D28" s="447"/>
      <c r="E28" s="447"/>
      <c r="F28" s="448"/>
    </row>
    <row r="29" spans="2:6" ht="15.75" x14ac:dyDescent="0.25">
      <c r="B29" s="460" t="s">
        <v>445</v>
      </c>
      <c r="C29" s="460"/>
      <c r="D29" s="460"/>
      <c r="E29" s="460"/>
      <c r="F29" s="460"/>
    </row>
    <row r="30" spans="2:6" ht="15.75" x14ac:dyDescent="0.25">
      <c r="B30" s="199"/>
      <c r="C30" s="213"/>
      <c r="D30" s="213"/>
      <c r="E30" s="213"/>
      <c r="F30" s="213"/>
    </row>
    <row r="31" spans="2:6" ht="15.75" x14ac:dyDescent="0.25">
      <c r="B31" s="446" t="s">
        <v>282</v>
      </c>
      <c r="C31" s="447"/>
      <c r="D31" s="447"/>
      <c r="E31" s="447"/>
      <c r="F31" s="448"/>
    </row>
    <row r="32" spans="2:6" ht="409.5" customHeight="1" x14ac:dyDescent="0.25">
      <c r="B32" s="465" t="s">
        <v>446</v>
      </c>
      <c r="C32" s="466"/>
      <c r="D32" s="466"/>
      <c r="E32" s="466"/>
      <c r="F32" s="467"/>
    </row>
    <row r="33" spans="2:6" ht="15.75" x14ac:dyDescent="0.25">
      <c r="B33" s="213"/>
      <c r="C33" s="199"/>
      <c r="D33" s="199"/>
      <c r="E33" s="199"/>
      <c r="F33" s="199"/>
    </row>
    <row r="34" spans="2:6" ht="15.75" x14ac:dyDescent="0.25">
      <c r="B34" s="446" t="s">
        <v>435</v>
      </c>
      <c r="C34" s="447"/>
      <c r="D34" s="447"/>
      <c r="E34" s="447"/>
      <c r="F34" s="448"/>
    </row>
    <row r="35" spans="2:6" ht="15.75" x14ac:dyDescent="0.25">
      <c r="B35" s="192" t="s">
        <v>279</v>
      </c>
      <c r="C35" s="468" t="s">
        <v>451</v>
      </c>
      <c r="D35" s="468"/>
      <c r="E35" s="468"/>
      <c r="F35" s="468"/>
    </row>
    <row r="36" spans="2:6" ht="15.75" x14ac:dyDescent="0.25">
      <c r="B36" s="201"/>
      <c r="C36" s="201"/>
      <c r="D36" s="201"/>
      <c r="E36" s="201"/>
      <c r="F36" s="201"/>
    </row>
    <row r="37" spans="2:6" ht="15.75" x14ac:dyDescent="0.25">
      <c r="B37" s="446" t="s">
        <v>276</v>
      </c>
      <c r="C37" s="447"/>
      <c r="D37" s="447"/>
      <c r="E37" s="447"/>
      <c r="F37" s="448"/>
    </row>
    <row r="38" spans="2:6" ht="15.75" x14ac:dyDescent="0.25">
      <c r="B38" s="464" t="s">
        <v>452</v>
      </c>
      <c r="C38" s="450"/>
      <c r="D38" s="450"/>
      <c r="E38" s="450"/>
      <c r="F38" s="451"/>
    </row>
    <row r="39" spans="2:6" ht="15.75" x14ac:dyDescent="0.25">
      <c r="B39" s="201"/>
      <c r="C39" s="201"/>
      <c r="D39" s="201"/>
      <c r="E39" s="201"/>
      <c r="F39" s="201"/>
    </row>
    <row r="40" spans="2:6" ht="15.75" x14ac:dyDescent="0.25">
      <c r="B40" s="446" t="s">
        <v>274</v>
      </c>
      <c r="C40" s="447"/>
      <c r="D40" s="447"/>
      <c r="E40" s="447"/>
      <c r="F40" s="448"/>
    </row>
    <row r="41" spans="2:6" ht="15.75" x14ac:dyDescent="0.25">
      <c r="B41" s="234" t="s">
        <v>273</v>
      </c>
      <c r="C41" s="234" t="s">
        <v>272</v>
      </c>
      <c r="D41" s="457" t="s">
        <v>271</v>
      </c>
      <c r="E41" s="458"/>
      <c r="F41" s="459"/>
    </row>
    <row r="42" spans="2:6" ht="15.75" x14ac:dyDescent="0.25">
      <c r="B42" s="192"/>
      <c r="C42" s="192"/>
      <c r="D42" s="461"/>
      <c r="E42" s="462"/>
      <c r="F42" s="463"/>
    </row>
    <row r="43" spans="2:6" ht="15.75" x14ac:dyDescent="0.25">
      <c r="B43" s="192"/>
      <c r="C43" s="192"/>
      <c r="D43" s="461"/>
      <c r="E43" s="462"/>
      <c r="F43" s="463"/>
    </row>
    <row r="44" spans="2:6" ht="15.75" x14ac:dyDescent="0.25">
      <c r="B44" s="192"/>
      <c r="C44" s="192"/>
      <c r="D44" s="461"/>
      <c r="E44" s="462"/>
      <c r="F44" s="463"/>
    </row>
    <row r="45" spans="2:6" ht="15.75" x14ac:dyDescent="0.25">
      <c r="B45" s="201"/>
      <c r="C45" s="201"/>
      <c r="D45" s="201"/>
      <c r="E45" s="201"/>
      <c r="F45" s="201"/>
    </row>
    <row r="46" spans="2:6" ht="15.75" x14ac:dyDescent="0.25">
      <c r="B46" s="457" t="s">
        <v>266</v>
      </c>
      <c r="C46" s="458"/>
      <c r="D46" s="458"/>
      <c r="E46" s="458"/>
      <c r="F46" s="459"/>
    </row>
    <row r="47" spans="2:6" ht="15.75" x14ac:dyDescent="0.25">
      <c r="B47" s="449"/>
      <c r="C47" s="450"/>
      <c r="D47" s="450"/>
      <c r="E47" s="450"/>
      <c r="F47" s="451"/>
    </row>
  </sheetData>
  <mergeCells count="32">
    <mergeCell ref="B46:F46"/>
    <mergeCell ref="B47:F47"/>
    <mergeCell ref="B29:F29"/>
    <mergeCell ref="D42:F42"/>
    <mergeCell ref="D43:F43"/>
    <mergeCell ref="D44:F44"/>
    <mergeCell ref="B37:F37"/>
    <mergeCell ref="B38:F38"/>
    <mergeCell ref="B40:F40"/>
    <mergeCell ref="D41:F41"/>
    <mergeCell ref="B31:F31"/>
    <mergeCell ref="B32:F32"/>
    <mergeCell ref="B34:F34"/>
    <mergeCell ref="C35:F35"/>
    <mergeCell ref="B28:F28"/>
    <mergeCell ref="B22:F22"/>
    <mergeCell ref="B23:F23"/>
    <mergeCell ref="B25:F25"/>
    <mergeCell ref="B26:F26"/>
    <mergeCell ref="B19:F19"/>
    <mergeCell ref="B20:F20"/>
    <mergeCell ref="B11:F11"/>
    <mergeCell ref="B12:C12"/>
    <mergeCell ref="D12:F12"/>
    <mergeCell ref="B13:C13"/>
    <mergeCell ref="D13:F13"/>
    <mergeCell ref="C9:F9"/>
    <mergeCell ref="C4:F4"/>
    <mergeCell ref="C5:F5"/>
    <mergeCell ref="C6:F6"/>
    <mergeCell ref="C7:F7"/>
    <mergeCell ref="C8:F8"/>
  </mergeCells>
  <dataValidations count="2">
    <dataValidation type="list" allowBlank="1" showInputMessage="1" showErrorMessage="1" sqref="C42:C44">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7" display="Schéma d'enseignement"/>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2"/>
  <sheetViews>
    <sheetView workbookViewId="0">
      <selection activeCell="B1" sqref="B1"/>
    </sheetView>
  </sheetViews>
  <sheetFormatPr baseColWidth="10" defaultColWidth="8.85546875" defaultRowHeight="15" x14ac:dyDescent="0.25"/>
  <cols>
    <col min="1" max="1" width="3.140625" style="1" customWidth="1"/>
    <col min="2" max="2" width="37.140625" style="1" bestFit="1" customWidth="1"/>
    <col min="3" max="3" width="16.5703125" style="1" bestFit="1" customWidth="1"/>
    <col min="4" max="4" width="11.85546875" style="1" bestFit="1" customWidth="1"/>
    <col min="5" max="5" width="7.140625" style="1" bestFit="1" customWidth="1"/>
    <col min="6" max="6" width="22.42578125" style="1" bestFit="1" customWidth="1"/>
    <col min="7" max="16384" width="8.85546875" style="1"/>
  </cols>
  <sheetData>
    <row r="1" spans="2:6" x14ac:dyDescent="0.25">
      <c r="B1" s="326" t="s">
        <v>692</v>
      </c>
    </row>
    <row r="2" spans="2:6" ht="15.75" x14ac:dyDescent="0.25">
      <c r="B2" s="166" t="s">
        <v>344</v>
      </c>
      <c r="C2" s="165"/>
      <c r="D2" s="165"/>
      <c r="E2" s="165"/>
      <c r="F2" s="165"/>
    </row>
    <row r="4" spans="2:6" ht="15.75" x14ac:dyDescent="0.25">
      <c r="B4" s="187" t="s">
        <v>320</v>
      </c>
      <c r="C4" s="469" t="s">
        <v>345</v>
      </c>
      <c r="D4" s="470"/>
      <c r="E4" s="470"/>
      <c r="F4" s="471"/>
    </row>
    <row r="5" spans="2:6" ht="14.1" customHeight="1" x14ac:dyDescent="0.25">
      <c r="B5" s="188" t="s">
        <v>318</v>
      </c>
      <c r="C5" s="472" t="s">
        <v>317</v>
      </c>
      <c r="D5" s="473"/>
      <c r="E5" s="473"/>
      <c r="F5" s="474"/>
    </row>
    <row r="6" spans="2:6" ht="15.75" x14ac:dyDescent="0.25">
      <c r="B6" s="187" t="s">
        <v>316</v>
      </c>
      <c r="C6" s="469" t="s">
        <v>315</v>
      </c>
      <c r="D6" s="470"/>
      <c r="E6" s="470"/>
      <c r="F6" s="471"/>
    </row>
    <row r="7" spans="2:6" ht="15.75" x14ac:dyDescent="0.25">
      <c r="B7" s="187" t="s">
        <v>314</v>
      </c>
      <c r="C7" s="444" t="s">
        <v>635</v>
      </c>
      <c r="D7" s="444"/>
      <c r="E7" s="444"/>
      <c r="F7" s="444"/>
    </row>
    <row r="8" spans="2:6" ht="15.75" x14ac:dyDescent="0.25">
      <c r="B8" s="187" t="s">
        <v>348</v>
      </c>
      <c r="C8" s="469" t="s">
        <v>696</v>
      </c>
      <c r="D8" s="470"/>
      <c r="E8" s="470"/>
      <c r="F8" s="471"/>
    </row>
    <row r="9" spans="2:6" ht="15.75" x14ac:dyDescent="0.25">
      <c r="B9" s="187" t="s">
        <v>310</v>
      </c>
      <c r="C9" s="469">
        <v>3</v>
      </c>
      <c r="D9" s="470"/>
      <c r="E9" s="470"/>
      <c r="F9" s="471"/>
    </row>
    <row r="10" spans="2:6" ht="15.75" x14ac:dyDescent="0.25">
      <c r="B10" s="150"/>
      <c r="C10" s="150"/>
      <c r="D10" s="150"/>
      <c r="E10" s="150"/>
      <c r="F10" s="150"/>
    </row>
    <row r="11" spans="2:6" ht="15.75" x14ac:dyDescent="0.25">
      <c r="B11" s="475" t="s">
        <v>309</v>
      </c>
      <c r="C11" s="476"/>
      <c r="D11" s="476"/>
      <c r="E11" s="476"/>
      <c r="F11" s="477"/>
    </row>
    <row r="12" spans="2:6" ht="15.75" x14ac:dyDescent="0.25">
      <c r="B12" s="452" t="s">
        <v>304</v>
      </c>
      <c r="C12" s="452"/>
      <c r="D12" s="475" t="s">
        <v>308</v>
      </c>
      <c r="E12" s="476"/>
      <c r="F12" s="477"/>
    </row>
    <row r="13" spans="2:6" ht="15.75" x14ac:dyDescent="0.25">
      <c r="B13" s="453">
        <v>43012</v>
      </c>
      <c r="C13" s="453"/>
      <c r="D13" s="469" t="s">
        <v>437</v>
      </c>
      <c r="E13" s="470"/>
      <c r="F13" s="471"/>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29.1" customHeight="1" x14ac:dyDescent="0.25">
      <c r="B16" s="35" t="s">
        <v>453</v>
      </c>
      <c r="C16" s="24" t="s">
        <v>439</v>
      </c>
      <c r="D16" s="233">
        <v>2</v>
      </c>
      <c r="E16" s="233">
        <v>2</v>
      </c>
      <c r="F16" s="233" t="s">
        <v>440</v>
      </c>
    </row>
    <row r="17" spans="2:6" ht="15.75" x14ac:dyDescent="0.25">
      <c r="B17" s="150"/>
      <c r="C17" s="150"/>
      <c r="D17" s="150"/>
      <c r="E17" s="150"/>
      <c r="F17" s="150"/>
    </row>
    <row r="18" spans="2:6" ht="15.75" x14ac:dyDescent="0.25">
      <c r="B18" s="446" t="s">
        <v>293</v>
      </c>
      <c r="C18" s="447"/>
      <c r="D18" s="447"/>
      <c r="E18" s="447"/>
      <c r="F18" s="448"/>
    </row>
    <row r="19" spans="2:6" ht="15.75" x14ac:dyDescent="0.25">
      <c r="B19" s="449" t="s">
        <v>454</v>
      </c>
      <c r="C19" s="455"/>
      <c r="D19" s="455"/>
      <c r="E19" s="455"/>
      <c r="F19" s="456"/>
    </row>
    <row r="20" spans="2:6" ht="15.75" x14ac:dyDescent="0.25">
      <c r="B20" s="150"/>
      <c r="C20" s="150"/>
      <c r="D20" s="150"/>
      <c r="E20" s="150"/>
      <c r="F20" s="150"/>
    </row>
    <row r="21" spans="2:6" ht="15.75" x14ac:dyDescent="0.25">
      <c r="B21" s="446" t="s">
        <v>292</v>
      </c>
      <c r="C21" s="447"/>
      <c r="D21" s="447"/>
      <c r="E21" s="447"/>
      <c r="F21" s="448"/>
    </row>
    <row r="22" spans="2:6" ht="47.1" customHeight="1" x14ac:dyDescent="0.25">
      <c r="B22" s="454" t="s">
        <v>455</v>
      </c>
      <c r="C22" s="478"/>
      <c r="D22" s="478"/>
      <c r="E22" s="478"/>
      <c r="F22" s="479"/>
    </row>
    <row r="23" spans="2:6" ht="15.75" x14ac:dyDescent="0.25">
      <c r="B23" s="150"/>
      <c r="C23" s="150"/>
      <c r="D23" s="150"/>
      <c r="E23" s="150"/>
      <c r="F23" s="150"/>
    </row>
    <row r="24" spans="2:6" ht="15.75" x14ac:dyDescent="0.25">
      <c r="B24" s="446" t="s">
        <v>291</v>
      </c>
      <c r="C24" s="447"/>
      <c r="D24" s="447"/>
      <c r="E24" s="447"/>
      <c r="F24" s="448"/>
    </row>
    <row r="25" spans="2:6" ht="30" customHeight="1" x14ac:dyDescent="0.25">
      <c r="B25" s="449" t="s">
        <v>443</v>
      </c>
      <c r="C25" s="455"/>
      <c r="D25" s="455"/>
      <c r="E25" s="455"/>
      <c r="F25" s="456"/>
    </row>
    <row r="26" spans="2:6" ht="15.75" x14ac:dyDescent="0.25">
      <c r="B26" s="150"/>
      <c r="C26" s="150"/>
      <c r="D26" s="150"/>
      <c r="E26" s="150"/>
      <c r="F26" s="150"/>
    </row>
    <row r="27" spans="2:6" ht="15.75" x14ac:dyDescent="0.25">
      <c r="B27" s="446" t="s">
        <v>290</v>
      </c>
      <c r="C27" s="447"/>
      <c r="D27" s="447"/>
      <c r="E27" s="447"/>
      <c r="F27" s="448"/>
    </row>
    <row r="28" spans="2:6" ht="15.75" x14ac:dyDescent="0.25">
      <c r="B28" s="449" t="s">
        <v>444</v>
      </c>
      <c r="C28" s="455"/>
      <c r="D28" s="455"/>
      <c r="E28" s="455"/>
      <c r="F28" s="456"/>
    </row>
    <row r="29" spans="2:6" ht="15.75" x14ac:dyDescent="0.25">
      <c r="B29" s="150"/>
      <c r="C29" s="150"/>
      <c r="D29" s="150"/>
      <c r="E29" s="150"/>
      <c r="F29" s="150"/>
    </row>
    <row r="30" spans="2:6" ht="15.75" x14ac:dyDescent="0.25">
      <c r="B30" s="446" t="s">
        <v>431</v>
      </c>
      <c r="C30" s="447"/>
      <c r="D30" s="447"/>
      <c r="E30" s="447"/>
      <c r="F30" s="448"/>
    </row>
    <row r="31" spans="2:6" ht="15.75" x14ac:dyDescent="0.25">
      <c r="B31" s="460" t="s">
        <v>445</v>
      </c>
      <c r="C31" s="460"/>
      <c r="D31" s="460"/>
      <c r="E31" s="460"/>
      <c r="F31" s="460"/>
    </row>
    <row r="32" spans="2:6" ht="15.75" x14ac:dyDescent="0.25">
      <c r="B32" s="199"/>
      <c r="C32" s="213"/>
      <c r="D32" s="213"/>
      <c r="E32" s="213"/>
      <c r="F32" s="213"/>
    </row>
    <row r="33" spans="2:6" ht="15.75" x14ac:dyDescent="0.25">
      <c r="B33" s="446" t="s">
        <v>282</v>
      </c>
      <c r="C33" s="447"/>
      <c r="D33" s="447"/>
      <c r="E33" s="447"/>
      <c r="F33" s="448"/>
    </row>
    <row r="34" spans="2:6" ht="79.5" customHeight="1" x14ac:dyDescent="0.25">
      <c r="B34" s="454" t="s">
        <v>456</v>
      </c>
      <c r="C34" s="478"/>
      <c r="D34" s="478"/>
      <c r="E34" s="478"/>
      <c r="F34" s="479"/>
    </row>
    <row r="35" spans="2:6" ht="15.75" x14ac:dyDescent="0.25">
      <c r="B35" s="213"/>
      <c r="C35" s="199"/>
      <c r="D35" s="199"/>
      <c r="E35" s="199"/>
      <c r="F35" s="199"/>
    </row>
    <row r="36" spans="2:6" ht="15.75" x14ac:dyDescent="0.25">
      <c r="B36" s="446" t="s">
        <v>436</v>
      </c>
      <c r="C36" s="447"/>
      <c r="D36" s="447"/>
      <c r="E36" s="447"/>
      <c r="F36" s="448"/>
    </row>
    <row r="37" spans="2:6" ht="15.75" x14ac:dyDescent="0.25">
      <c r="B37" s="192" t="s">
        <v>278</v>
      </c>
      <c r="C37" s="464" t="s">
        <v>451</v>
      </c>
      <c r="D37" s="450"/>
      <c r="E37" s="450"/>
      <c r="F37" s="451"/>
    </row>
    <row r="38" spans="2:6" ht="15.75" x14ac:dyDescent="0.25">
      <c r="B38" s="192" t="s">
        <v>277</v>
      </c>
      <c r="C38" s="464" t="s">
        <v>447</v>
      </c>
      <c r="D38" s="450"/>
      <c r="E38" s="450"/>
      <c r="F38" s="451"/>
    </row>
    <row r="39" spans="2:6" ht="15.75" x14ac:dyDescent="0.25">
      <c r="B39" s="192" t="s">
        <v>448</v>
      </c>
      <c r="C39" s="464" t="s">
        <v>447</v>
      </c>
      <c r="D39" s="450"/>
      <c r="E39" s="450"/>
      <c r="F39" s="451"/>
    </row>
    <row r="40" spans="2:6" ht="15.75" x14ac:dyDescent="0.25">
      <c r="B40" s="192" t="s">
        <v>372</v>
      </c>
      <c r="C40" s="464" t="s">
        <v>449</v>
      </c>
      <c r="D40" s="450"/>
      <c r="E40" s="450"/>
      <c r="F40" s="451"/>
    </row>
    <row r="41" spans="2:6" ht="15.75" x14ac:dyDescent="0.25">
      <c r="B41" s="201"/>
      <c r="C41" s="201"/>
      <c r="D41" s="201"/>
      <c r="E41" s="201"/>
      <c r="F41" s="201"/>
    </row>
    <row r="42" spans="2:6" ht="15.75" x14ac:dyDescent="0.25">
      <c r="B42" s="446" t="s">
        <v>276</v>
      </c>
      <c r="C42" s="447"/>
      <c r="D42" s="447"/>
      <c r="E42" s="447"/>
      <c r="F42" s="448"/>
    </row>
    <row r="43" spans="2:6" ht="15.75" x14ac:dyDescent="0.25">
      <c r="B43" s="464" t="s">
        <v>452</v>
      </c>
      <c r="C43" s="450"/>
      <c r="D43" s="450"/>
      <c r="E43" s="450"/>
      <c r="F43" s="451"/>
    </row>
    <row r="44" spans="2:6" ht="15.75" x14ac:dyDescent="0.25">
      <c r="B44" s="201"/>
      <c r="C44" s="201"/>
      <c r="D44" s="201"/>
      <c r="E44" s="201"/>
      <c r="F44" s="201"/>
    </row>
    <row r="45" spans="2:6" ht="15.75" x14ac:dyDescent="0.25">
      <c r="B45" s="446" t="s">
        <v>274</v>
      </c>
      <c r="C45" s="447"/>
      <c r="D45" s="447"/>
      <c r="E45" s="447"/>
      <c r="F45" s="448"/>
    </row>
    <row r="46" spans="2:6" ht="15.75" x14ac:dyDescent="0.25">
      <c r="B46" s="234" t="s">
        <v>273</v>
      </c>
      <c r="C46" s="234" t="s">
        <v>272</v>
      </c>
      <c r="D46" s="457" t="s">
        <v>271</v>
      </c>
      <c r="E46" s="458"/>
      <c r="F46" s="459"/>
    </row>
    <row r="47" spans="2:6" ht="15.75" x14ac:dyDescent="0.25">
      <c r="B47" s="192"/>
      <c r="C47" s="192"/>
      <c r="D47" s="461"/>
      <c r="E47" s="462"/>
      <c r="F47" s="463"/>
    </row>
    <row r="48" spans="2:6" ht="15.75" x14ac:dyDescent="0.25">
      <c r="B48" s="192"/>
      <c r="C48" s="192"/>
      <c r="D48" s="461"/>
      <c r="E48" s="462"/>
      <c r="F48" s="463"/>
    </row>
    <row r="49" spans="2:6" ht="15.75" x14ac:dyDescent="0.25">
      <c r="B49" s="192"/>
      <c r="C49" s="192"/>
      <c r="D49" s="461"/>
      <c r="E49" s="462"/>
      <c r="F49" s="463"/>
    </row>
    <row r="50" spans="2:6" ht="15.75" x14ac:dyDescent="0.25">
      <c r="B50" s="201"/>
      <c r="C50" s="201"/>
      <c r="D50" s="201"/>
      <c r="E50" s="201"/>
      <c r="F50" s="201"/>
    </row>
    <row r="51" spans="2:6" ht="15.75" x14ac:dyDescent="0.25">
      <c r="B51" s="446" t="s">
        <v>266</v>
      </c>
      <c r="C51" s="447"/>
      <c r="D51" s="447"/>
      <c r="E51" s="447"/>
      <c r="F51" s="448"/>
    </row>
    <row r="52" spans="2:6" ht="15.75" x14ac:dyDescent="0.25">
      <c r="B52" s="449"/>
      <c r="C52" s="455"/>
      <c r="D52" s="455"/>
      <c r="E52" s="455"/>
      <c r="F52" s="456"/>
    </row>
  </sheetData>
  <mergeCells count="37">
    <mergeCell ref="B51:F51"/>
    <mergeCell ref="B52:F52"/>
    <mergeCell ref="B31:F31"/>
    <mergeCell ref="D47:F47"/>
    <mergeCell ref="D48:F48"/>
    <mergeCell ref="D49:F49"/>
    <mergeCell ref="C39:F39"/>
    <mergeCell ref="C40:F40"/>
    <mergeCell ref="B42:F42"/>
    <mergeCell ref="B43:F43"/>
    <mergeCell ref="B45:F45"/>
    <mergeCell ref="D46:F46"/>
    <mergeCell ref="B33:F33"/>
    <mergeCell ref="B34:F34"/>
    <mergeCell ref="B36:F36"/>
    <mergeCell ref="C37:F37"/>
    <mergeCell ref="C38:F38"/>
    <mergeCell ref="B30:F30"/>
    <mergeCell ref="B21:F21"/>
    <mergeCell ref="B22:F22"/>
    <mergeCell ref="B24:F24"/>
    <mergeCell ref="B25:F25"/>
    <mergeCell ref="B27:F27"/>
    <mergeCell ref="B28:F28"/>
    <mergeCell ref="B18:F18"/>
    <mergeCell ref="B19:F19"/>
    <mergeCell ref="B11:F11"/>
    <mergeCell ref="B12:C12"/>
    <mergeCell ref="D12:F12"/>
    <mergeCell ref="B13:C13"/>
    <mergeCell ref="D13:F13"/>
    <mergeCell ref="C9:F9"/>
    <mergeCell ref="C4:F4"/>
    <mergeCell ref="C5:F5"/>
    <mergeCell ref="C6:F6"/>
    <mergeCell ref="C7:F7"/>
    <mergeCell ref="C8:F8"/>
  </mergeCells>
  <dataValidations count="2">
    <dataValidation type="list" allowBlank="1" showInputMessage="1" showErrorMessage="1" sqref="C47:C49">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8" display="Schéma d'enseignement"/>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0"/>
  <sheetViews>
    <sheetView workbookViewId="0">
      <selection activeCell="B1" sqref="B1"/>
    </sheetView>
  </sheetViews>
  <sheetFormatPr baseColWidth="10" defaultColWidth="8.85546875" defaultRowHeight="15" x14ac:dyDescent="0.25"/>
  <cols>
    <col min="1" max="1" width="3.85546875" style="1" customWidth="1"/>
    <col min="2" max="2" width="27" style="1" customWidth="1"/>
    <col min="3" max="3" width="17.5703125" style="1" customWidth="1"/>
    <col min="4" max="4" width="13.140625" style="1" customWidth="1"/>
    <col min="5" max="5" width="8.85546875" style="1"/>
    <col min="6" max="6" width="38.14062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6.5" customHeight="1" x14ac:dyDescent="0.25">
      <c r="B5" s="188" t="s">
        <v>318</v>
      </c>
      <c r="C5" s="445" t="s">
        <v>457</v>
      </c>
      <c r="D5" s="445"/>
      <c r="E5" s="445"/>
      <c r="F5" s="445"/>
    </row>
    <row r="6" spans="2:6" ht="15.75" x14ac:dyDescent="0.25">
      <c r="B6" s="187" t="s">
        <v>316</v>
      </c>
      <c r="C6" s="444" t="s">
        <v>458</v>
      </c>
      <c r="D6" s="444"/>
      <c r="E6" s="444"/>
      <c r="F6" s="444"/>
    </row>
    <row r="7" spans="2:6" ht="15.75" x14ac:dyDescent="0.25">
      <c r="B7" s="187" t="s">
        <v>314</v>
      </c>
      <c r="C7" s="444" t="s">
        <v>635</v>
      </c>
      <c r="D7" s="444"/>
      <c r="E7" s="444"/>
      <c r="F7" s="444"/>
    </row>
    <row r="8" spans="2:6" ht="15.75" x14ac:dyDescent="0.25">
      <c r="B8" s="187" t="s">
        <v>348</v>
      </c>
      <c r="C8" s="444" t="s">
        <v>696</v>
      </c>
      <c r="D8" s="444"/>
      <c r="E8" s="444"/>
      <c r="F8" s="444"/>
    </row>
    <row r="9" spans="2:6" ht="15.75" x14ac:dyDescent="0.25">
      <c r="B9" s="187" t="s">
        <v>310</v>
      </c>
      <c r="C9" s="444">
        <v>3</v>
      </c>
      <c r="D9" s="444"/>
      <c r="E9" s="444"/>
      <c r="F9" s="444"/>
    </row>
    <row r="10" spans="2:6" ht="15.75" x14ac:dyDescent="0.25">
      <c r="B10" s="238"/>
      <c r="C10" s="195"/>
      <c r="D10" s="195"/>
      <c r="E10" s="195"/>
      <c r="F10" s="195"/>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437</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3.6" customHeight="1" x14ac:dyDescent="0.25">
      <c r="B16" s="35" t="s">
        <v>459</v>
      </c>
      <c r="C16" s="24">
        <v>42</v>
      </c>
      <c r="D16" s="24">
        <v>2</v>
      </c>
      <c r="E16" s="24">
        <v>2</v>
      </c>
      <c r="F16" s="24" t="s">
        <v>440</v>
      </c>
    </row>
    <row r="17" spans="2:6" ht="15.75" x14ac:dyDescent="0.25">
      <c r="B17" s="189"/>
      <c r="C17" s="190"/>
      <c r="D17" s="190"/>
      <c r="E17" s="190"/>
      <c r="F17" s="190"/>
    </row>
    <row r="18" spans="2:6" ht="15.75" x14ac:dyDescent="0.25">
      <c r="B18" s="446" t="s">
        <v>293</v>
      </c>
      <c r="C18" s="447"/>
      <c r="D18" s="447"/>
      <c r="E18" s="447"/>
      <c r="F18" s="448"/>
    </row>
    <row r="19" spans="2:6" ht="15.75" x14ac:dyDescent="0.25">
      <c r="B19" s="449" t="s">
        <v>468</v>
      </c>
      <c r="C19" s="455"/>
      <c r="D19" s="455"/>
      <c r="E19" s="455"/>
      <c r="F19" s="456"/>
    </row>
    <row r="20" spans="2:6" ht="15.75" x14ac:dyDescent="0.25">
      <c r="B20" s="446" t="s">
        <v>292</v>
      </c>
      <c r="C20" s="447"/>
      <c r="D20" s="447"/>
      <c r="E20" s="447"/>
      <c r="F20" s="448"/>
    </row>
    <row r="21" spans="2:6" ht="60.95" customHeight="1" x14ac:dyDescent="0.25">
      <c r="B21" s="449" t="s">
        <v>469</v>
      </c>
      <c r="C21" s="455"/>
      <c r="D21" s="455"/>
      <c r="E21" s="455"/>
      <c r="F21" s="456"/>
    </row>
    <row r="22" spans="2:6" ht="15.75" x14ac:dyDescent="0.25">
      <c r="B22" s="150"/>
      <c r="C22" s="150"/>
      <c r="D22" s="150"/>
      <c r="E22" s="150"/>
      <c r="F22" s="150"/>
    </row>
    <row r="23" spans="2:6" ht="15.75" x14ac:dyDescent="0.25">
      <c r="B23" s="446" t="s">
        <v>353</v>
      </c>
      <c r="C23" s="447"/>
      <c r="D23" s="447"/>
      <c r="E23" s="447"/>
      <c r="F23" s="448"/>
    </row>
    <row r="24" spans="2:6" ht="15.75" x14ac:dyDescent="0.25">
      <c r="B24" s="449" t="s">
        <v>460</v>
      </c>
      <c r="C24" s="455"/>
      <c r="D24" s="455"/>
      <c r="E24" s="455"/>
      <c r="F24" s="456"/>
    </row>
    <row r="25" spans="2:6" ht="15.75" x14ac:dyDescent="0.25">
      <c r="B25" s="150"/>
      <c r="C25" s="150"/>
      <c r="D25" s="150"/>
      <c r="E25" s="150"/>
      <c r="F25" s="150"/>
    </row>
    <row r="26" spans="2:6" ht="15.75" x14ac:dyDescent="0.25">
      <c r="B26" s="446" t="s">
        <v>355</v>
      </c>
      <c r="C26" s="447"/>
      <c r="D26" s="447"/>
      <c r="E26" s="447"/>
      <c r="F26" s="448"/>
    </row>
    <row r="27" spans="2:6" ht="15.75" x14ac:dyDescent="0.25">
      <c r="B27" s="485" t="s">
        <v>461</v>
      </c>
      <c r="C27" s="486"/>
      <c r="D27" s="486"/>
      <c r="E27" s="486"/>
      <c r="F27" s="487"/>
    </row>
    <row r="28" spans="2:6" ht="15.75" x14ac:dyDescent="0.25">
      <c r="B28" s="485" t="s">
        <v>462</v>
      </c>
      <c r="C28" s="486"/>
      <c r="D28" s="486"/>
      <c r="E28" s="486"/>
      <c r="F28" s="487"/>
    </row>
    <row r="29" spans="2:6" ht="15.75" x14ac:dyDescent="0.25">
      <c r="B29" s="485" t="s">
        <v>463</v>
      </c>
      <c r="C29" s="486"/>
      <c r="D29" s="486"/>
      <c r="E29" s="486"/>
      <c r="F29" s="487"/>
    </row>
    <row r="30" spans="2:6" ht="15.75" x14ac:dyDescent="0.25">
      <c r="B30" s="150"/>
      <c r="C30" s="150"/>
      <c r="D30" s="150"/>
      <c r="E30" s="150"/>
      <c r="F30" s="150"/>
    </row>
    <row r="31" spans="2:6" ht="15.75" x14ac:dyDescent="0.25">
      <c r="B31" s="446" t="s">
        <v>282</v>
      </c>
      <c r="C31" s="447"/>
      <c r="D31" s="447"/>
      <c r="E31" s="447"/>
      <c r="F31" s="448"/>
    </row>
    <row r="32" spans="2:6" ht="132" customHeight="1" x14ac:dyDescent="0.25">
      <c r="B32" s="480" t="s">
        <v>470</v>
      </c>
      <c r="C32" s="481"/>
      <c r="D32" s="481"/>
      <c r="E32" s="481"/>
      <c r="F32" s="482"/>
    </row>
    <row r="33" spans="2:6" ht="15.75" x14ac:dyDescent="0.25">
      <c r="B33" s="160"/>
      <c r="C33" s="191"/>
      <c r="D33" s="191"/>
      <c r="E33" s="191"/>
      <c r="F33" s="191"/>
    </row>
    <row r="34" spans="2:6" ht="15.75" x14ac:dyDescent="0.25">
      <c r="B34" s="446" t="s">
        <v>435</v>
      </c>
      <c r="C34" s="447"/>
      <c r="D34" s="447"/>
      <c r="E34" s="447"/>
      <c r="F34" s="448"/>
    </row>
    <row r="35" spans="2:6" ht="15.75" x14ac:dyDescent="0.25">
      <c r="B35" s="464" t="s">
        <v>464</v>
      </c>
      <c r="C35" s="450"/>
      <c r="D35" s="450"/>
      <c r="E35" s="450"/>
      <c r="F35" s="451"/>
    </row>
    <row r="36" spans="2:6" ht="15.75" x14ac:dyDescent="0.25">
      <c r="B36" s="464" t="s">
        <v>465</v>
      </c>
      <c r="C36" s="450"/>
      <c r="D36" s="450"/>
      <c r="E36" s="450"/>
      <c r="F36" s="451"/>
    </row>
    <row r="37" spans="2:6" ht="15.75" x14ac:dyDescent="0.25">
      <c r="B37" s="464" t="s">
        <v>466</v>
      </c>
      <c r="C37" s="450"/>
      <c r="D37" s="450"/>
      <c r="E37" s="450"/>
      <c r="F37" s="451"/>
    </row>
    <row r="38" spans="2:6" ht="15.75" x14ac:dyDescent="0.25">
      <c r="B38" s="464" t="s">
        <v>467</v>
      </c>
      <c r="C38" s="450"/>
      <c r="D38" s="450"/>
      <c r="E38" s="450"/>
      <c r="F38" s="451"/>
    </row>
    <row r="39" spans="2:6" ht="15.75" x14ac:dyDescent="0.25">
      <c r="B39" s="150"/>
      <c r="C39" s="150"/>
      <c r="D39" s="150"/>
      <c r="E39" s="150"/>
      <c r="F39" s="150"/>
    </row>
    <row r="40" spans="2:6" ht="15.75" x14ac:dyDescent="0.25">
      <c r="B40" s="446" t="s">
        <v>276</v>
      </c>
      <c r="C40" s="447"/>
      <c r="D40" s="447"/>
      <c r="E40" s="447"/>
      <c r="F40" s="448"/>
    </row>
    <row r="41" spans="2:6" ht="15.75" x14ac:dyDescent="0.25">
      <c r="B41" s="464" t="s">
        <v>471</v>
      </c>
      <c r="C41" s="450"/>
      <c r="D41" s="450"/>
      <c r="E41" s="450"/>
      <c r="F41" s="451"/>
    </row>
    <row r="42" spans="2:6" ht="15.75" x14ac:dyDescent="0.25">
      <c r="B42" s="150"/>
      <c r="C42" s="150"/>
      <c r="D42" s="150"/>
      <c r="E42" s="150"/>
      <c r="F42" s="150"/>
    </row>
    <row r="43" spans="2:6" ht="15.75" x14ac:dyDescent="0.25">
      <c r="B43" s="446" t="s">
        <v>274</v>
      </c>
      <c r="C43" s="447"/>
      <c r="D43" s="447"/>
      <c r="E43" s="447"/>
      <c r="F43" s="448"/>
    </row>
    <row r="44" spans="2:6" ht="15.75" x14ac:dyDescent="0.25">
      <c r="B44" s="155" t="s">
        <v>273</v>
      </c>
      <c r="C44" s="155" t="s">
        <v>272</v>
      </c>
      <c r="D44" s="446" t="s">
        <v>271</v>
      </c>
      <c r="E44" s="447"/>
      <c r="F44" s="448"/>
    </row>
    <row r="45" spans="2:6" ht="15.75" x14ac:dyDescent="0.25">
      <c r="B45" s="156"/>
      <c r="C45" s="156"/>
      <c r="D45" s="491"/>
      <c r="E45" s="492"/>
      <c r="F45" s="493"/>
    </row>
    <row r="46" spans="2:6" ht="15.75" x14ac:dyDescent="0.25">
      <c r="B46" s="156"/>
      <c r="C46" s="156"/>
      <c r="D46" s="491"/>
      <c r="E46" s="492"/>
      <c r="F46" s="493"/>
    </row>
    <row r="47" spans="2:6" ht="15.75" x14ac:dyDescent="0.25">
      <c r="B47" s="185"/>
      <c r="C47" s="185"/>
      <c r="D47" s="491"/>
      <c r="E47" s="492"/>
      <c r="F47" s="493"/>
    </row>
    <row r="48" spans="2:6" ht="15.75" x14ac:dyDescent="0.25">
      <c r="B48" s="150"/>
      <c r="C48" s="150"/>
      <c r="D48" s="150"/>
      <c r="E48" s="150"/>
      <c r="F48" s="150"/>
    </row>
    <row r="49" spans="2:6" ht="15.75" x14ac:dyDescent="0.25">
      <c r="B49" s="446" t="s">
        <v>266</v>
      </c>
      <c r="C49" s="447"/>
      <c r="D49" s="447"/>
      <c r="E49" s="447"/>
      <c r="F49" s="448"/>
    </row>
    <row r="50" spans="2:6" ht="15.75" x14ac:dyDescent="0.25">
      <c r="B50" s="488"/>
      <c r="C50" s="489"/>
      <c r="D50" s="489"/>
      <c r="E50" s="489"/>
      <c r="F50" s="490"/>
    </row>
  </sheetData>
  <mergeCells count="37">
    <mergeCell ref="B27:F27"/>
    <mergeCell ref="B28:F28"/>
    <mergeCell ref="B29:F29"/>
    <mergeCell ref="B49:F49"/>
    <mergeCell ref="B50:F50"/>
    <mergeCell ref="B36:F36"/>
    <mergeCell ref="B37:F37"/>
    <mergeCell ref="B38:F38"/>
    <mergeCell ref="D45:F45"/>
    <mergeCell ref="D46:F46"/>
    <mergeCell ref="D47:F47"/>
    <mergeCell ref="B41:F41"/>
    <mergeCell ref="B43:F43"/>
    <mergeCell ref="D44:F44"/>
    <mergeCell ref="B40:F40"/>
    <mergeCell ref="B35:F35"/>
    <mergeCell ref="B13:C13"/>
    <mergeCell ref="D13:F13"/>
    <mergeCell ref="B19:F19"/>
    <mergeCell ref="B20:F20"/>
    <mergeCell ref="B21:F21"/>
    <mergeCell ref="B31:F31"/>
    <mergeCell ref="B32:F32"/>
    <mergeCell ref="B34:F34"/>
    <mergeCell ref="C9:F9"/>
    <mergeCell ref="C4:F4"/>
    <mergeCell ref="C5:F5"/>
    <mergeCell ref="C6:F6"/>
    <mergeCell ref="C7:F7"/>
    <mergeCell ref="C8:F8"/>
    <mergeCell ref="B23:F23"/>
    <mergeCell ref="B24:F24"/>
    <mergeCell ref="B26:F26"/>
    <mergeCell ref="B11:F11"/>
    <mergeCell ref="B12:C12"/>
    <mergeCell ref="D12:F12"/>
    <mergeCell ref="B18:F1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5:C47">
      <formula1>"Académique, Professionnel, Associatif, Autre"</formula1>
    </dataValidation>
  </dataValidations>
  <hyperlinks>
    <hyperlink ref="B1" location="'Schéma d''enseignement'!G9" display="Schéma d'enseignem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5"/>
  <sheetViews>
    <sheetView workbookViewId="0">
      <selection activeCell="B1" sqref="B1"/>
    </sheetView>
  </sheetViews>
  <sheetFormatPr baseColWidth="10" defaultColWidth="8.85546875" defaultRowHeight="15" x14ac:dyDescent="0.25"/>
  <cols>
    <col min="1" max="1" width="3.42578125" style="1" customWidth="1"/>
    <col min="2" max="2" width="29.42578125" style="1" customWidth="1"/>
    <col min="3" max="3" width="15.5703125" style="1" customWidth="1"/>
    <col min="4" max="4" width="11.85546875" style="1" customWidth="1"/>
    <col min="5" max="5" width="7" style="1" customWidth="1"/>
    <col min="6" max="6" width="34.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5.95" customHeight="1" x14ac:dyDescent="0.25">
      <c r="B5" s="188" t="s">
        <v>318</v>
      </c>
      <c r="C5" s="445" t="s">
        <v>472</v>
      </c>
      <c r="D5" s="445"/>
      <c r="E5" s="445"/>
      <c r="F5" s="445"/>
    </row>
    <row r="6" spans="2:6" ht="15.75" x14ac:dyDescent="0.25">
      <c r="B6" s="187" t="s">
        <v>316</v>
      </c>
      <c r="C6" s="444" t="s">
        <v>458</v>
      </c>
      <c r="D6" s="444"/>
      <c r="E6" s="444"/>
      <c r="F6" s="444"/>
    </row>
    <row r="7" spans="2:6" ht="15.75" x14ac:dyDescent="0.25">
      <c r="B7" s="187" t="s">
        <v>314</v>
      </c>
      <c r="C7" s="444" t="s">
        <v>635</v>
      </c>
      <c r="D7" s="444"/>
      <c r="E7" s="444"/>
      <c r="F7" s="444"/>
    </row>
    <row r="8" spans="2:6" ht="15.75" x14ac:dyDescent="0.25">
      <c r="B8" s="187" t="s">
        <v>348</v>
      </c>
      <c r="C8" s="444" t="s">
        <v>160</v>
      </c>
      <c r="D8" s="444"/>
      <c r="E8" s="444"/>
      <c r="F8" s="444"/>
    </row>
    <row r="9" spans="2:6" ht="15.75" x14ac:dyDescent="0.25">
      <c r="B9" s="187" t="s">
        <v>310</v>
      </c>
      <c r="C9" s="444">
        <v>3</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1.5" x14ac:dyDescent="0.25">
      <c r="B16" s="35" t="s">
        <v>491</v>
      </c>
      <c r="C16" s="24">
        <v>21</v>
      </c>
      <c r="D16" s="24">
        <v>3</v>
      </c>
      <c r="E16" s="24">
        <v>3</v>
      </c>
      <c r="F16" s="24" t="s">
        <v>440</v>
      </c>
    </row>
    <row r="17" spans="2:6" ht="15.75" x14ac:dyDescent="0.25">
      <c r="B17" s="189"/>
      <c r="C17" s="190"/>
      <c r="D17" s="190"/>
      <c r="E17" s="190"/>
      <c r="F17" s="190"/>
    </row>
    <row r="18" spans="2:6" ht="15.75" x14ac:dyDescent="0.25">
      <c r="B18" s="446" t="s">
        <v>293</v>
      </c>
      <c r="C18" s="447"/>
      <c r="D18" s="447"/>
      <c r="E18" s="447"/>
      <c r="F18" s="448"/>
    </row>
    <row r="19" spans="2:6" ht="15.75" x14ac:dyDescent="0.25">
      <c r="B19" s="449" t="s">
        <v>473</v>
      </c>
      <c r="C19" s="450"/>
      <c r="D19" s="450"/>
      <c r="E19" s="450"/>
      <c r="F19" s="451"/>
    </row>
    <row r="20" spans="2:6" ht="15.75" x14ac:dyDescent="0.25">
      <c r="B20" s="446" t="s">
        <v>292</v>
      </c>
      <c r="C20" s="447"/>
      <c r="D20" s="447"/>
      <c r="E20" s="447"/>
      <c r="F20" s="448"/>
    </row>
    <row r="21" spans="2:6" ht="46.5" customHeight="1" x14ac:dyDescent="0.25">
      <c r="B21" s="449" t="s">
        <v>474</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475</v>
      </c>
      <c r="C24" s="450"/>
      <c r="D24" s="450"/>
      <c r="E24" s="450"/>
      <c r="F24" s="451"/>
    </row>
    <row r="25" spans="2:6" ht="15.75" x14ac:dyDescent="0.25">
      <c r="B25" s="150"/>
      <c r="C25" s="150"/>
      <c r="D25" s="150"/>
      <c r="E25" s="150"/>
      <c r="F25" s="150"/>
    </row>
    <row r="26" spans="2:6" ht="15.75" x14ac:dyDescent="0.25">
      <c r="B26" s="446" t="s">
        <v>355</v>
      </c>
      <c r="C26" s="447"/>
      <c r="D26" s="447"/>
      <c r="E26" s="447"/>
      <c r="F26" s="448"/>
    </row>
    <row r="27" spans="2:6" ht="15.75" x14ac:dyDescent="0.25">
      <c r="B27" s="494" t="s">
        <v>476</v>
      </c>
      <c r="C27" s="495"/>
      <c r="D27" s="495"/>
      <c r="E27" s="495"/>
      <c r="F27" s="496"/>
    </row>
    <row r="28" spans="2:6" ht="15.75" x14ac:dyDescent="0.25">
      <c r="B28" s="494" t="s">
        <v>477</v>
      </c>
      <c r="C28" s="495"/>
      <c r="D28" s="495"/>
      <c r="E28" s="495"/>
      <c r="F28" s="496"/>
    </row>
    <row r="29" spans="2:6" ht="15.75" x14ac:dyDescent="0.25">
      <c r="B29" s="460" t="s">
        <v>478</v>
      </c>
      <c r="C29" s="460"/>
      <c r="D29" s="460"/>
      <c r="E29" s="460"/>
      <c r="F29" s="460"/>
    </row>
    <row r="30" spans="2:6" ht="15.75" x14ac:dyDescent="0.25">
      <c r="B30" s="150"/>
      <c r="C30" s="150"/>
      <c r="D30" s="150"/>
      <c r="E30" s="150"/>
      <c r="F30" s="150"/>
    </row>
    <row r="31" spans="2:6" ht="15.75" x14ac:dyDescent="0.25">
      <c r="B31" s="187" t="s">
        <v>282</v>
      </c>
      <c r="C31" s="235"/>
      <c r="D31" s="235"/>
      <c r="E31" s="235"/>
      <c r="F31" s="236"/>
    </row>
    <row r="32" spans="2:6" ht="33" customHeight="1" x14ac:dyDescent="0.25">
      <c r="B32" s="498" t="s">
        <v>479</v>
      </c>
      <c r="C32" s="499"/>
      <c r="D32" s="499"/>
      <c r="E32" s="499"/>
      <c r="F32" s="500"/>
    </row>
    <row r="33" spans="2:6" ht="15.75" x14ac:dyDescent="0.25">
      <c r="B33" s="498" t="s">
        <v>480</v>
      </c>
      <c r="C33" s="499"/>
      <c r="D33" s="499"/>
      <c r="E33" s="499"/>
      <c r="F33" s="500"/>
    </row>
    <row r="34" spans="2:6" ht="15.75" x14ac:dyDescent="0.25">
      <c r="B34" s="498" t="s">
        <v>481</v>
      </c>
      <c r="C34" s="499"/>
      <c r="D34" s="499"/>
      <c r="E34" s="499"/>
      <c r="F34" s="500"/>
    </row>
    <row r="35" spans="2:6" ht="15.75" x14ac:dyDescent="0.25">
      <c r="B35" s="498" t="s">
        <v>482</v>
      </c>
      <c r="C35" s="499"/>
      <c r="D35" s="499"/>
      <c r="E35" s="499"/>
      <c r="F35" s="500"/>
    </row>
    <row r="36" spans="2:6" ht="15.75" x14ac:dyDescent="0.25">
      <c r="B36" s="498" t="s">
        <v>483</v>
      </c>
      <c r="C36" s="499"/>
      <c r="D36" s="499"/>
      <c r="E36" s="499"/>
      <c r="F36" s="500"/>
    </row>
    <row r="37" spans="2:6" ht="15.75" x14ac:dyDescent="0.25">
      <c r="B37" s="498" t="s">
        <v>484</v>
      </c>
      <c r="C37" s="499"/>
      <c r="D37" s="499"/>
      <c r="E37" s="499"/>
      <c r="F37" s="500"/>
    </row>
    <row r="38" spans="2:6" ht="15.75" x14ac:dyDescent="0.25">
      <c r="B38" s="498" t="s">
        <v>485</v>
      </c>
      <c r="C38" s="499"/>
      <c r="D38" s="499"/>
      <c r="E38" s="499"/>
      <c r="F38" s="500"/>
    </row>
    <row r="39" spans="2:6" ht="15.75" x14ac:dyDescent="0.25">
      <c r="B39" s="497" t="s">
        <v>486</v>
      </c>
      <c r="C39" s="497"/>
      <c r="D39" s="497"/>
      <c r="E39" s="497"/>
      <c r="F39" s="497"/>
    </row>
    <row r="40" spans="2:6" ht="15.75" x14ac:dyDescent="0.25">
      <c r="B40" s="237"/>
      <c r="C40" s="191"/>
      <c r="D40" s="191"/>
      <c r="E40" s="191"/>
      <c r="F40" s="191"/>
    </row>
    <row r="41" spans="2:6" ht="15.75" x14ac:dyDescent="0.25">
      <c r="B41" s="446" t="s">
        <v>435</v>
      </c>
      <c r="C41" s="447"/>
      <c r="D41" s="447"/>
      <c r="E41" s="447"/>
      <c r="F41" s="448"/>
    </row>
    <row r="42" spans="2:6" ht="15.75" x14ac:dyDescent="0.25">
      <c r="B42" s="192" t="s">
        <v>487</v>
      </c>
      <c r="C42" s="468"/>
      <c r="D42" s="468"/>
      <c r="E42" s="468"/>
      <c r="F42" s="468"/>
    </row>
    <row r="43" spans="2:6" ht="15.75" x14ac:dyDescent="0.25">
      <c r="B43" s="192" t="s">
        <v>488</v>
      </c>
      <c r="C43" s="468"/>
      <c r="D43" s="468"/>
      <c r="E43" s="468"/>
      <c r="F43" s="468"/>
    </row>
    <row r="44" spans="2:6" ht="15.75" x14ac:dyDescent="0.25">
      <c r="B44" s="150"/>
      <c r="C44" s="150"/>
      <c r="D44" s="150"/>
      <c r="E44" s="150"/>
      <c r="F44" s="150"/>
    </row>
    <row r="45" spans="2:6" ht="15.75" x14ac:dyDescent="0.25">
      <c r="B45" s="446" t="s">
        <v>276</v>
      </c>
      <c r="C45" s="447"/>
      <c r="D45" s="447"/>
      <c r="E45" s="447"/>
      <c r="F45" s="448"/>
    </row>
    <row r="46" spans="2:6" ht="15.75" x14ac:dyDescent="0.25">
      <c r="B46" s="464" t="s">
        <v>489</v>
      </c>
      <c r="C46" s="450"/>
      <c r="D46" s="450"/>
      <c r="E46" s="450"/>
      <c r="F46" s="451"/>
    </row>
    <row r="47" spans="2:6" ht="15.75" x14ac:dyDescent="0.25">
      <c r="B47" s="150"/>
      <c r="C47" s="150"/>
      <c r="D47" s="150"/>
      <c r="E47" s="150"/>
      <c r="F47" s="150"/>
    </row>
    <row r="48" spans="2:6" ht="18" customHeight="1" x14ac:dyDescent="0.25">
      <c r="B48" s="501" t="s">
        <v>274</v>
      </c>
      <c r="C48" s="502"/>
      <c r="D48" s="502"/>
      <c r="E48" s="502"/>
      <c r="F48" s="503"/>
    </row>
    <row r="49" spans="2:6" ht="15.75" x14ac:dyDescent="0.25">
      <c r="B49" s="155" t="s">
        <v>273</v>
      </c>
      <c r="C49" s="155" t="s">
        <v>272</v>
      </c>
      <c r="D49" s="446" t="s">
        <v>271</v>
      </c>
      <c r="E49" s="447"/>
      <c r="F49" s="448"/>
    </row>
    <row r="50" spans="2:6" ht="15.75" x14ac:dyDescent="0.25">
      <c r="B50" s="156"/>
      <c r="C50" s="156"/>
      <c r="D50" s="491"/>
      <c r="E50" s="492"/>
      <c r="F50" s="493"/>
    </row>
    <row r="51" spans="2:6" ht="15.75" x14ac:dyDescent="0.25">
      <c r="B51" s="156"/>
      <c r="C51" s="156"/>
      <c r="D51" s="491"/>
      <c r="E51" s="492"/>
      <c r="F51" s="493"/>
    </row>
    <row r="52" spans="2:6" ht="15.75" x14ac:dyDescent="0.25">
      <c r="B52" s="185"/>
      <c r="C52" s="185"/>
      <c r="D52" s="491"/>
      <c r="E52" s="492"/>
      <c r="F52" s="493"/>
    </row>
    <row r="53" spans="2:6" ht="15.75" x14ac:dyDescent="0.25">
      <c r="B53" s="150"/>
      <c r="C53" s="150"/>
      <c r="D53" s="150"/>
      <c r="E53" s="150"/>
      <c r="F53" s="150"/>
    </row>
    <row r="54" spans="2:6" ht="15.75" x14ac:dyDescent="0.25">
      <c r="B54" s="446" t="s">
        <v>266</v>
      </c>
      <c r="C54" s="447"/>
      <c r="D54" s="447"/>
      <c r="E54" s="447"/>
      <c r="F54" s="448"/>
    </row>
    <row r="55" spans="2:6" ht="15.75" x14ac:dyDescent="0.25">
      <c r="B55" s="488"/>
      <c r="C55" s="489"/>
      <c r="D55" s="489"/>
      <c r="E55" s="489"/>
      <c r="F55" s="490"/>
    </row>
  </sheetData>
  <mergeCells count="41">
    <mergeCell ref="D52:F52"/>
    <mergeCell ref="B54:F54"/>
    <mergeCell ref="B55:F55"/>
    <mergeCell ref="B32:F32"/>
    <mergeCell ref="B33:F33"/>
    <mergeCell ref="B34:F34"/>
    <mergeCell ref="B35:F35"/>
    <mergeCell ref="B36:F36"/>
    <mergeCell ref="B37:F37"/>
    <mergeCell ref="B38:F38"/>
    <mergeCell ref="B45:F45"/>
    <mergeCell ref="B46:F46"/>
    <mergeCell ref="B48:F48"/>
    <mergeCell ref="D49:F49"/>
    <mergeCell ref="D50:F50"/>
    <mergeCell ref="D51:F51"/>
    <mergeCell ref="B41:F41"/>
    <mergeCell ref="C42:F42"/>
    <mergeCell ref="C43:F43"/>
    <mergeCell ref="B27:F27"/>
    <mergeCell ref="B28:F28"/>
    <mergeCell ref="B29:F29"/>
    <mergeCell ref="B39:F39"/>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count="2">
    <dataValidation type="list" allowBlank="1" showInputMessage="1" showErrorMessage="1" sqref="C50:C52">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10" display="Schéma d'enseignement"/>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H64"/>
  <sheetViews>
    <sheetView workbookViewId="0">
      <selection activeCell="B1" sqref="B1"/>
    </sheetView>
  </sheetViews>
  <sheetFormatPr baseColWidth="10" defaultColWidth="8.85546875" defaultRowHeight="15" x14ac:dyDescent="0.25"/>
  <cols>
    <col min="1" max="1" width="4" style="1" customWidth="1"/>
    <col min="2" max="2" width="29.42578125" style="1" customWidth="1"/>
    <col min="3" max="3" width="15.5703125" style="1" customWidth="1"/>
    <col min="4" max="4" width="11.85546875" style="1" customWidth="1"/>
    <col min="5" max="5" width="7" style="1" customWidth="1"/>
    <col min="6" max="6" width="34.85546875" style="1" customWidth="1"/>
    <col min="7" max="16384" width="8.85546875" style="1"/>
  </cols>
  <sheetData>
    <row r="1" spans="2:6" x14ac:dyDescent="0.25">
      <c r="B1" s="326" t="s">
        <v>692</v>
      </c>
    </row>
    <row r="2" spans="2:6" ht="15.75" x14ac:dyDescent="0.25">
      <c r="B2" s="246" t="s">
        <v>344</v>
      </c>
      <c r="C2" s="247"/>
      <c r="D2" s="247"/>
      <c r="E2" s="247"/>
      <c r="F2" s="247"/>
    </row>
    <row r="3" spans="2:6" ht="15.75" x14ac:dyDescent="0.25">
      <c r="B3" s="150"/>
      <c r="C3" s="150"/>
      <c r="D3" s="150"/>
      <c r="E3" s="150"/>
      <c r="F3" s="150"/>
    </row>
    <row r="4" spans="2:6" ht="15.75" x14ac:dyDescent="0.25">
      <c r="B4" s="248" t="s">
        <v>320</v>
      </c>
      <c r="C4" s="444" t="s">
        <v>319</v>
      </c>
      <c r="D4" s="444"/>
      <c r="E4" s="444"/>
      <c r="F4" s="444"/>
    </row>
    <row r="5" spans="2:6" ht="17.45" customHeight="1" x14ac:dyDescent="0.25">
      <c r="B5" s="250" t="s">
        <v>318</v>
      </c>
      <c r="C5" s="445" t="s">
        <v>317</v>
      </c>
      <c r="D5" s="445"/>
      <c r="E5" s="445"/>
      <c r="F5" s="445"/>
    </row>
    <row r="6" spans="2:6" ht="15.75" x14ac:dyDescent="0.25">
      <c r="B6" s="248" t="s">
        <v>316</v>
      </c>
      <c r="C6" s="444" t="s">
        <v>315</v>
      </c>
      <c r="D6" s="444"/>
      <c r="E6" s="444"/>
      <c r="F6" s="444"/>
    </row>
    <row r="7" spans="2:6" ht="15.75" x14ac:dyDescent="0.25">
      <c r="B7" s="248" t="s">
        <v>314</v>
      </c>
      <c r="C7" s="444" t="s">
        <v>635</v>
      </c>
      <c r="D7" s="444"/>
      <c r="E7" s="444"/>
      <c r="F7" s="444"/>
    </row>
    <row r="8" spans="2:6" ht="15.75" x14ac:dyDescent="0.25">
      <c r="B8" s="248" t="s">
        <v>348</v>
      </c>
      <c r="C8" s="444" t="s">
        <v>618</v>
      </c>
      <c r="D8" s="444"/>
      <c r="E8" s="444"/>
      <c r="F8" s="444"/>
    </row>
    <row r="9" spans="2:6" ht="15.75" x14ac:dyDescent="0.25">
      <c r="B9" s="248" t="s">
        <v>310</v>
      </c>
      <c r="C9" s="444" t="s">
        <v>569</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490</v>
      </c>
      <c r="E13" s="444"/>
      <c r="F13" s="444"/>
    </row>
    <row r="14" spans="2:6" ht="15.75" x14ac:dyDescent="0.25">
      <c r="B14" s="150"/>
      <c r="C14" s="150"/>
      <c r="D14" s="150"/>
      <c r="E14" s="150"/>
      <c r="F14" s="150"/>
    </row>
    <row r="15" spans="2:6" ht="15.75" x14ac:dyDescent="0.25">
      <c r="B15" s="252" t="s">
        <v>300</v>
      </c>
      <c r="C15" s="252" t="s">
        <v>299</v>
      </c>
      <c r="D15" s="252" t="s">
        <v>298</v>
      </c>
      <c r="E15" s="252" t="s">
        <v>297</v>
      </c>
      <c r="F15" s="252" t="s">
        <v>296</v>
      </c>
    </row>
    <row r="16" spans="2:6" ht="29.1" customHeight="1" x14ac:dyDescent="0.25">
      <c r="B16" s="253" t="s">
        <v>618</v>
      </c>
      <c r="C16" s="254">
        <v>21</v>
      </c>
      <c r="D16" s="254">
        <v>3</v>
      </c>
      <c r="E16" s="254">
        <v>3</v>
      </c>
      <c r="F16" s="254" t="s">
        <v>440</v>
      </c>
    </row>
    <row r="17" spans="2:6" ht="15.75" x14ac:dyDescent="0.25">
      <c r="B17" s="255"/>
      <c r="C17" s="251"/>
      <c r="D17" s="251"/>
      <c r="E17" s="251"/>
      <c r="F17" s="251"/>
    </row>
    <row r="18" spans="2:6" ht="15.75" x14ac:dyDescent="0.25">
      <c r="B18" s="446" t="s">
        <v>293</v>
      </c>
      <c r="C18" s="447"/>
      <c r="D18" s="447"/>
      <c r="E18" s="447"/>
      <c r="F18" s="448"/>
    </row>
    <row r="19" spans="2:6" ht="15.75" x14ac:dyDescent="0.25">
      <c r="B19" s="449" t="s">
        <v>473</v>
      </c>
      <c r="C19" s="450"/>
      <c r="D19" s="450"/>
      <c r="E19" s="450"/>
      <c r="F19" s="451"/>
    </row>
    <row r="20" spans="2:6" ht="15.75" x14ac:dyDescent="0.25">
      <c r="B20" s="446" t="s">
        <v>292</v>
      </c>
      <c r="C20" s="447"/>
      <c r="D20" s="447"/>
      <c r="E20" s="447"/>
      <c r="F20" s="448"/>
    </row>
    <row r="21" spans="2:6" ht="93.6" customHeight="1" x14ac:dyDescent="0.25">
      <c r="B21" s="454" t="s">
        <v>634</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619</v>
      </c>
      <c r="C24" s="450"/>
      <c r="D24" s="450"/>
      <c r="E24" s="450"/>
      <c r="F24" s="451"/>
    </row>
    <row r="25" spans="2:6" ht="15.75" x14ac:dyDescent="0.25">
      <c r="B25" s="150"/>
      <c r="C25" s="150"/>
      <c r="D25" s="150"/>
      <c r="E25" s="150"/>
      <c r="F25" s="150"/>
    </row>
    <row r="26" spans="2:6" ht="15.75" x14ac:dyDescent="0.25">
      <c r="B26" s="446" t="s">
        <v>355</v>
      </c>
      <c r="C26" s="447"/>
      <c r="D26" s="447"/>
      <c r="E26" s="447"/>
      <c r="F26" s="448"/>
    </row>
    <row r="27" spans="2:6" ht="15.75" x14ac:dyDescent="0.25">
      <c r="B27" s="494" t="s">
        <v>620</v>
      </c>
      <c r="C27" s="495"/>
      <c r="D27" s="495"/>
      <c r="E27" s="495"/>
      <c r="F27" s="496"/>
    </row>
    <row r="28" spans="2:6" ht="15.75" x14ac:dyDescent="0.25">
      <c r="B28" s="494" t="s">
        <v>621</v>
      </c>
      <c r="C28" s="495"/>
      <c r="D28" s="495"/>
      <c r="E28" s="495"/>
      <c r="F28" s="496"/>
    </row>
    <row r="29" spans="2:6" ht="15.75" x14ac:dyDescent="0.25">
      <c r="B29" s="494" t="s">
        <v>622</v>
      </c>
      <c r="C29" s="495"/>
      <c r="D29" s="495"/>
      <c r="E29" s="495"/>
      <c r="F29" s="496"/>
    </row>
    <row r="30" spans="2:6" ht="15.75" x14ac:dyDescent="0.25">
      <c r="B30" s="494" t="s">
        <v>623</v>
      </c>
      <c r="C30" s="495"/>
      <c r="D30" s="495"/>
      <c r="E30" s="495"/>
      <c r="F30" s="496"/>
    </row>
    <row r="31" spans="2:6" ht="15.75" x14ac:dyDescent="0.25">
      <c r="B31" s="494" t="s">
        <v>624</v>
      </c>
      <c r="C31" s="495"/>
      <c r="D31" s="495"/>
      <c r="E31" s="495"/>
      <c r="F31" s="496"/>
    </row>
    <row r="32" spans="2:6" ht="15.75" x14ac:dyDescent="0.25">
      <c r="B32" s="494" t="s">
        <v>625</v>
      </c>
      <c r="C32" s="495"/>
      <c r="D32" s="495"/>
      <c r="E32" s="495"/>
      <c r="F32" s="496"/>
    </row>
    <row r="33" spans="1:8" ht="15.75" x14ac:dyDescent="0.25">
      <c r="B33" s="494" t="s">
        <v>622</v>
      </c>
      <c r="C33" s="495"/>
      <c r="D33" s="495"/>
      <c r="E33" s="495"/>
      <c r="F33" s="496"/>
    </row>
    <row r="34" spans="1:8" ht="15.75" x14ac:dyDescent="0.25">
      <c r="B34" s="485" t="s">
        <v>626</v>
      </c>
      <c r="C34" s="486"/>
      <c r="D34" s="486"/>
      <c r="E34" s="486"/>
      <c r="F34" s="487"/>
    </row>
    <row r="35" spans="1:8" ht="15.75" x14ac:dyDescent="0.25">
      <c r="B35" s="468" t="s">
        <v>627</v>
      </c>
      <c r="C35" s="468"/>
      <c r="D35" s="468"/>
      <c r="E35" s="468"/>
      <c r="F35" s="468"/>
    </row>
    <row r="36" spans="1:8" ht="15.75" x14ac:dyDescent="0.25">
      <c r="B36" s="485" t="s">
        <v>628</v>
      </c>
      <c r="C36" s="486"/>
      <c r="D36" s="486"/>
      <c r="E36" s="486"/>
      <c r="F36" s="487"/>
    </row>
    <row r="37" spans="1:8" ht="15.75" x14ac:dyDescent="0.25">
      <c r="B37" s="150"/>
      <c r="C37" s="150"/>
      <c r="D37" s="150"/>
      <c r="E37" s="150"/>
      <c r="F37" s="150"/>
    </row>
    <row r="38" spans="1:8" ht="15.75" x14ac:dyDescent="0.25">
      <c r="B38" s="248" t="s">
        <v>282</v>
      </c>
      <c r="C38" s="235"/>
      <c r="D38" s="235"/>
      <c r="E38" s="235"/>
      <c r="F38" s="236"/>
    </row>
    <row r="39" spans="1:8" ht="15.6" customHeight="1" x14ac:dyDescent="0.25">
      <c r="B39" s="497" t="s">
        <v>629</v>
      </c>
      <c r="C39" s="497"/>
      <c r="D39" s="497"/>
      <c r="E39" s="497"/>
      <c r="F39" s="497"/>
    </row>
    <row r="40" spans="1:8" ht="15.6" customHeight="1" x14ac:dyDescent="0.25">
      <c r="B40" s="497"/>
      <c r="C40" s="497"/>
      <c r="D40" s="497"/>
      <c r="E40" s="497"/>
      <c r="F40" s="497"/>
    </row>
    <row r="41" spans="1:8" ht="15.6" customHeight="1" x14ac:dyDescent="0.25">
      <c r="B41" s="497"/>
      <c r="C41" s="497"/>
      <c r="D41" s="497"/>
      <c r="E41" s="497"/>
      <c r="F41" s="497"/>
    </row>
    <row r="42" spans="1:8" ht="15.6" customHeight="1" x14ac:dyDescent="0.25">
      <c r="B42" s="497"/>
      <c r="C42" s="497"/>
      <c r="D42" s="497"/>
      <c r="E42" s="497"/>
      <c r="F42" s="497"/>
    </row>
    <row r="43" spans="1:8" ht="15.6" customHeight="1" x14ac:dyDescent="0.25">
      <c r="B43" s="497"/>
      <c r="C43" s="497"/>
      <c r="D43" s="497"/>
      <c r="E43" s="497"/>
      <c r="F43" s="497"/>
    </row>
    <row r="44" spans="1:8" ht="15.6" customHeight="1" x14ac:dyDescent="0.25">
      <c r="B44" s="497"/>
      <c r="C44" s="497"/>
      <c r="D44" s="497"/>
      <c r="E44" s="497"/>
      <c r="F44" s="497"/>
    </row>
    <row r="45" spans="1:8" ht="110.1" customHeight="1" x14ac:dyDescent="0.25">
      <c r="B45" s="497"/>
      <c r="C45" s="497"/>
      <c r="D45" s="497"/>
      <c r="E45" s="497"/>
      <c r="F45" s="497"/>
    </row>
    <row r="46" spans="1:8" ht="15.6" customHeight="1" x14ac:dyDescent="0.25">
      <c r="A46" s="135"/>
      <c r="B46" s="278"/>
      <c r="C46" s="278"/>
      <c r="D46" s="278"/>
      <c r="E46" s="278"/>
      <c r="F46" s="278"/>
      <c r="G46" s="135"/>
      <c r="H46" s="135"/>
    </row>
    <row r="47" spans="1:8" ht="15.75" x14ac:dyDescent="0.25">
      <c r="B47" s="504" t="s">
        <v>435</v>
      </c>
      <c r="C47" s="504"/>
      <c r="D47" s="504"/>
      <c r="E47" s="504"/>
      <c r="F47" s="504"/>
    </row>
    <row r="48" spans="1:8" ht="15.75" x14ac:dyDescent="0.25">
      <c r="B48" s="256" t="s">
        <v>558</v>
      </c>
      <c r="C48" s="468"/>
      <c r="D48" s="468"/>
      <c r="E48" s="468"/>
      <c r="F48" s="468"/>
    </row>
    <row r="49" spans="2:6" ht="31.5" x14ac:dyDescent="0.25">
      <c r="B49" s="218" t="s">
        <v>630</v>
      </c>
      <c r="C49" s="468"/>
      <c r="D49" s="468"/>
      <c r="E49" s="468"/>
      <c r="F49" s="468"/>
    </row>
    <row r="50" spans="2:6" ht="15.75" x14ac:dyDescent="0.25">
      <c r="B50" s="256" t="s">
        <v>631</v>
      </c>
      <c r="C50" s="464"/>
      <c r="D50" s="450"/>
      <c r="E50" s="450"/>
      <c r="F50" s="451"/>
    </row>
    <row r="51" spans="2:6" ht="15.75" x14ac:dyDescent="0.25">
      <c r="B51" s="256"/>
      <c r="C51" s="468"/>
      <c r="D51" s="468"/>
      <c r="E51" s="468"/>
      <c r="F51" s="468"/>
    </row>
    <row r="52" spans="2:6" ht="15.75" x14ac:dyDescent="0.25">
      <c r="B52" s="256"/>
      <c r="C52" s="468"/>
      <c r="D52" s="468"/>
      <c r="E52" s="468"/>
      <c r="F52" s="468"/>
    </row>
    <row r="53" spans="2:6" ht="15.75" x14ac:dyDescent="0.25">
      <c r="B53" s="150"/>
      <c r="C53" s="150"/>
      <c r="D53" s="150"/>
      <c r="E53" s="150"/>
      <c r="F53" s="150"/>
    </row>
    <row r="54" spans="2:6" ht="15.75" x14ac:dyDescent="0.25">
      <c r="B54" s="446" t="s">
        <v>276</v>
      </c>
      <c r="C54" s="447"/>
      <c r="D54" s="447"/>
      <c r="E54" s="447"/>
      <c r="F54" s="448"/>
    </row>
    <row r="55" spans="2:6" ht="15.75" x14ac:dyDescent="0.25">
      <c r="B55" s="464" t="s">
        <v>632</v>
      </c>
      <c r="C55" s="450"/>
      <c r="D55" s="450"/>
      <c r="E55" s="450"/>
      <c r="F55" s="451"/>
    </row>
    <row r="56" spans="2:6" ht="15.75" x14ac:dyDescent="0.25">
      <c r="B56" s="150"/>
      <c r="C56" s="150"/>
      <c r="D56" s="150"/>
      <c r="E56" s="150"/>
      <c r="F56" s="150"/>
    </row>
    <row r="57" spans="2:6" ht="15.75" x14ac:dyDescent="0.25">
      <c r="B57" s="501" t="s">
        <v>274</v>
      </c>
      <c r="C57" s="502"/>
      <c r="D57" s="502"/>
      <c r="E57" s="502"/>
      <c r="F57" s="503"/>
    </row>
    <row r="58" spans="2:6" ht="15.75" x14ac:dyDescent="0.25">
      <c r="B58" s="259" t="s">
        <v>273</v>
      </c>
      <c r="C58" s="259" t="s">
        <v>272</v>
      </c>
      <c r="D58" s="446" t="s">
        <v>271</v>
      </c>
      <c r="E58" s="447"/>
      <c r="F58" s="448"/>
    </row>
    <row r="59" spans="2:6" ht="15.75" x14ac:dyDescent="0.25">
      <c r="B59" s="260"/>
      <c r="C59" s="260"/>
      <c r="D59" s="491"/>
      <c r="E59" s="492"/>
      <c r="F59" s="493"/>
    </row>
    <row r="60" spans="2:6" ht="15.75" x14ac:dyDescent="0.25">
      <c r="B60" s="260"/>
      <c r="C60" s="260"/>
      <c r="D60" s="491"/>
      <c r="E60" s="492"/>
      <c r="F60" s="493"/>
    </row>
    <row r="61" spans="2:6" ht="15.75" x14ac:dyDescent="0.25">
      <c r="B61" s="249"/>
      <c r="C61" s="249"/>
      <c r="D61" s="491"/>
      <c r="E61" s="492"/>
      <c r="F61" s="493"/>
    </row>
    <row r="62" spans="2:6" ht="15.75" x14ac:dyDescent="0.25">
      <c r="B62" s="150"/>
      <c r="C62" s="150"/>
      <c r="D62" s="150"/>
      <c r="E62" s="150"/>
      <c r="F62" s="150"/>
    </row>
    <row r="63" spans="2:6" ht="15.75" x14ac:dyDescent="0.25">
      <c r="B63" s="446" t="s">
        <v>266</v>
      </c>
      <c r="C63" s="447"/>
      <c r="D63" s="447"/>
      <c r="E63" s="447"/>
      <c r="F63" s="448"/>
    </row>
    <row r="64" spans="2:6" ht="65.099999999999994" customHeight="1" x14ac:dyDescent="0.25">
      <c r="B64" s="488" t="s">
        <v>633</v>
      </c>
      <c r="C64" s="489"/>
      <c r="D64" s="489"/>
      <c r="E64" s="489"/>
      <c r="F64" s="490"/>
    </row>
  </sheetData>
  <mergeCells count="44">
    <mergeCell ref="B64:F64"/>
    <mergeCell ref="B35:F35"/>
    <mergeCell ref="B39:F45"/>
    <mergeCell ref="B57:F57"/>
    <mergeCell ref="D58:F58"/>
    <mergeCell ref="D59:F59"/>
    <mergeCell ref="D60:F60"/>
    <mergeCell ref="D61:F61"/>
    <mergeCell ref="B63:F63"/>
    <mergeCell ref="C49:F49"/>
    <mergeCell ref="C50:F50"/>
    <mergeCell ref="C51:F51"/>
    <mergeCell ref="C52:F52"/>
    <mergeCell ref="B54:F54"/>
    <mergeCell ref="B55:F55"/>
    <mergeCell ref="B33:F33"/>
    <mergeCell ref="B34:F34"/>
    <mergeCell ref="B36:F36"/>
    <mergeCell ref="B47:F47"/>
    <mergeCell ref="C48:F48"/>
    <mergeCell ref="B32:F32"/>
    <mergeCell ref="B19:F19"/>
    <mergeCell ref="B20:F20"/>
    <mergeCell ref="B21:F21"/>
    <mergeCell ref="B23:F23"/>
    <mergeCell ref="B24:F24"/>
    <mergeCell ref="B26:F26"/>
    <mergeCell ref="B27:F27"/>
    <mergeCell ref="B28:F28"/>
    <mergeCell ref="B29:F29"/>
    <mergeCell ref="B30:F30"/>
    <mergeCell ref="B31:F31"/>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59:C61">
      <formula1>"Académique, Professionnel, Associatif, Autre"</formula1>
    </dataValidation>
  </dataValidations>
  <hyperlinks>
    <hyperlink ref="B1" location="'Schéma d''enseignement'!G11" display="Schéma d'enseignement"/>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4"/>
  <sheetViews>
    <sheetView workbookViewId="0">
      <selection activeCell="B1" sqref="B1"/>
    </sheetView>
  </sheetViews>
  <sheetFormatPr baseColWidth="10" defaultColWidth="8.85546875" defaultRowHeight="15" x14ac:dyDescent="0.25"/>
  <cols>
    <col min="1" max="1" width="4.42578125" style="1" customWidth="1"/>
    <col min="2" max="2" width="29.42578125" style="1" customWidth="1"/>
    <col min="3" max="3" width="27.8554687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505" t="s">
        <v>344</v>
      </c>
      <c r="C2" s="505"/>
      <c r="D2" s="505"/>
      <c r="E2" s="505"/>
      <c r="F2" s="505"/>
    </row>
    <row r="3" spans="2:6" ht="15.75" x14ac:dyDescent="0.25">
      <c r="B3" s="280"/>
      <c r="C3" s="280"/>
      <c r="D3" s="280"/>
      <c r="E3" s="280"/>
      <c r="F3" s="280"/>
    </row>
    <row r="4" spans="2:6" ht="15.75" x14ac:dyDescent="0.25">
      <c r="B4" s="291" t="s">
        <v>320</v>
      </c>
      <c r="C4" s="444" t="s">
        <v>319</v>
      </c>
      <c r="D4" s="444"/>
      <c r="E4" s="444"/>
      <c r="F4" s="444"/>
    </row>
    <row r="5" spans="2:6" ht="15.75" x14ac:dyDescent="0.25">
      <c r="B5" s="292" t="s">
        <v>318</v>
      </c>
      <c r="C5" s="445" t="s">
        <v>457</v>
      </c>
      <c r="D5" s="445"/>
      <c r="E5" s="445"/>
      <c r="F5" s="445"/>
    </row>
    <row r="6" spans="2:6" ht="15.75" x14ac:dyDescent="0.25">
      <c r="B6" s="291" t="s">
        <v>316</v>
      </c>
      <c r="C6" s="444" t="s">
        <v>458</v>
      </c>
      <c r="D6" s="444"/>
      <c r="E6" s="444"/>
      <c r="F6" s="444"/>
    </row>
    <row r="7" spans="2:6" ht="15.75" x14ac:dyDescent="0.25">
      <c r="B7" s="291" t="s">
        <v>314</v>
      </c>
      <c r="C7" s="444" t="s">
        <v>635</v>
      </c>
      <c r="D7" s="444"/>
      <c r="E7" s="444"/>
      <c r="F7" s="444"/>
    </row>
    <row r="8" spans="2:6" ht="15.75" x14ac:dyDescent="0.25">
      <c r="B8" s="291" t="s">
        <v>348</v>
      </c>
      <c r="C8" s="444" t="s">
        <v>161</v>
      </c>
      <c r="D8" s="444"/>
      <c r="E8" s="444"/>
      <c r="F8" s="444"/>
    </row>
    <row r="9" spans="2:6" ht="15.75" x14ac:dyDescent="0.25">
      <c r="B9" s="291" t="s">
        <v>310</v>
      </c>
      <c r="C9" s="444">
        <v>3</v>
      </c>
      <c r="D9" s="444"/>
      <c r="E9" s="444"/>
      <c r="F9" s="444"/>
    </row>
    <row r="10" spans="2:6" ht="15.75" x14ac:dyDescent="0.25">
      <c r="B10" s="280"/>
      <c r="C10" s="280"/>
      <c r="D10" s="280"/>
      <c r="E10" s="280"/>
      <c r="F10" s="28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490</v>
      </c>
      <c r="E13" s="444"/>
      <c r="F13" s="444"/>
    </row>
    <row r="14" spans="2:6" ht="15.75" x14ac:dyDescent="0.25">
      <c r="B14" s="280"/>
      <c r="C14" s="280"/>
      <c r="D14" s="280"/>
      <c r="E14" s="280"/>
      <c r="F14" s="280"/>
    </row>
    <row r="15" spans="2:6" ht="15.75" x14ac:dyDescent="0.25">
      <c r="B15" s="290" t="s">
        <v>300</v>
      </c>
      <c r="C15" s="290" t="s">
        <v>299</v>
      </c>
      <c r="D15" s="290" t="s">
        <v>298</v>
      </c>
      <c r="E15" s="290" t="s">
        <v>297</v>
      </c>
      <c r="F15" s="290" t="s">
        <v>296</v>
      </c>
    </row>
    <row r="16" spans="2:6" ht="15.75" x14ac:dyDescent="0.25">
      <c r="B16" s="289" t="s">
        <v>161</v>
      </c>
      <c r="C16" s="288">
        <v>21</v>
      </c>
      <c r="D16" s="288">
        <v>2</v>
      </c>
      <c r="E16" s="288">
        <v>2</v>
      </c>
      <c r="F16" s="288" t="s">
        <v>440</v>
      </c>
    </row>
    <row r="17" spans="2:6" ht="15.75" x14ac:dyDescent="0.25">
      <c r="B17" s="287"/>
      <c r="C17" s="286"/>
      <c r="D17" s="286"/>
      <c r="E17" s="286"/>
      <c r="F17" s="286"/>
    </row>
    <row r="18" spans="2:6" ht="15.75" x14ac:dyDescent="0.25">
      <c r="B18" s="446" t="s">
        <v>293</v>
      </c>
      <c r="C18" s="447"/>
      <c r="D18" s="447"/>
      <c r="E18" s="447"/>
      <c r="F18" s="448"/>
    </row>
    <row r="19" spans="2:6" ht="22.5" customHeight="1" x14ac:dyDescent="0.25">
      <c r="B19" s="497" t="s">
        <v>492</v>
      </c>
      <c r="C19" s="497"/>
      <c r="D19" s="497"/>
      <c r="E19" s="497"/>
      <c r="F19" s="497"/>
    </row>
    <row r="20" spans="2:6" ht="15.75" x14ac:dyDescent="0.25">
      <c r="B20" s="446" t="s">
        <v>292</v>
      </c>
      <c r="C20" s="447"/>
      <c r="D20" s="447"/>
      <c r="E20" s="447"/>
      <c r="F20" s="448"/>
    </row>
    <row r="21" spans="2:6" ht="15.75" x14ac:dyDescent="0.25">
      <c r="B21" s="464" t="s">
        <v>658</v>
      </c>
      <c r="C21" s="450"/>
      <c r="D21" s="450"/>
      <c r="E21" s="450"/>
      <c r="F21" s="451"/>
    </row>
    <row r="22" spans="2:6" ht="15.75" x14ac:dyDescent="0.25">
      <c r="B22" s="464" t="s">
        <v>659</v>
      </c>
      <c r="C22" s="450"/>
      <c r="D22" s="450"/>
      <c r="E22" s="450"/>
      <c r="F22" s="451"/>
    </row>
    <row r="23" spans="2:6" ht="15.75" x14ac:dyDescent="0.25">
      <c r="B23" s="464" t="s">
        <v>666</v>
      </c>
      <c r="C23" s="450"/>
      <c r="D23" s="450"/>
      <c r="E23" s="450"/>
      <c r="F23" s="451"/>
    </row>
    <row r="24" spans="2:6" ht="15.75" x14ac:dyDescent="0.25">
      <c r="B24" s="464" t="s">
        <v>660</v>
      </c>
      <c r="C24" s="450"/>
      <c r="D24" s="450"/>
      <c r="E24" s="450"/>
      <c r="F24" s="451"/>
    </row>
    <row r="25" spans="2:6" ht="15.75" x14ac:dyDescent="0.25">
      <c r="B25" s="464" t="s">
        <v>667</v>
      </c>
      <c r="C25" s="450"/>
      <c r="D25" s="450"/>
      <c r="E25" s="450"/>
      <c r="F25" s="451"/>
    </row>
    <row r="26" spans="2:6" ht="15.75" x14ac:dyDescent="0.25">
      <c r="B26" s="280"/>
      <c r="C26" s="280"/>
      <c r="D26" s="280"/>
      <c r="E26" s="280"/>
      <c r="F26" s="280"/>
    </row>
    <row r="27" spans="2:6" ht="15.75" x14ac:dyDescent="0.25">
      <c r="B27" s="446" t="s">
        <v>282</v>
      </c>
      <c r="C27" s="447"/>
      <c r="D27" s="447"/>
      <c r="E27" s="447"/>
      <c r="F27" s="448"/>
    </row>
    <row r="28" spans="2:6" ht="188.45" customHeight="1" x14ac:dyDescent="0.25">
      <c r="B28" s="454" t="s">
        <v>661</v>
      </c>
      <c r="C28" s="450"/>
      <c r="D28" s="450"/>
      <c r="E28" s="450"/>
      <c r="F28" s="451"/>
    </row>
    <row r="29" spans="2:6" ht="15.75" x14ac:dyDescent="0.25">
      <c r="B29" s="285"/>
      <c r="C29" s="279"/>
      <c r="D29" s="279"/>
      <c r="E29" s="279"/>
      <c r="F29" s="279"/>
    </row>
    <row r="30" spans="2:6" ht="15.75" x14ac:dyDescent="0.25">
      <c r="B30" s="446" t="s">
        <v>280</v>
      </c>
      <c r="C30" s="447"/>
      <c r="D30" s="447"/>
      <c r="E30" s="447"/>
      <c r="F30" s="448"/>
    </row>
    <row r="31" spans="2:6" ht="15.75" x14ac:dyDescent="0.25">
      <c r="B31" s="284" t="s">
        <v>662</v>
      </c>
      <c r="C31" s="295" t="s">
        <v>663</v>
      </c>
      <c r="D31" s="296"/>
      <c r="E31" s="296"/>
      <c r="F31" s="297"/>
    </row>
    <row r="32" spans="2:6" ht="15.75" x14ac:dyDescent="0.25">
      <c r="B32" s="284" t="s">
        <v>278</v>
      </c>
      <c r="C32" s="468" t="s">
        <v>664</v>
      </c>
      <c r="D32" s="468"/>
      <c r="E32" s="468"/>
      <c r="F32" s="468"/>
    </row>
    <row r="33" spans="2:6" ht="15.75" x14ac:dyDescent="0.25">
      <c r="B33" s="280"/>
      <c r="C33" s="280"/>
      <c r="D33" s="280"/>
      <c r="E33" s="280"/>
      <c r="F33" s="280"/>
    </row>
    <row r="34" spans="2:6" ht="15.75" x14ac:dyDescent="0.25">
      <c r="B34" s="446" t="s">
        <v>276</v>
      </c>
      <c r="C34" s="447"/>
      <c r="D34" s="447"/>
      <c r="E34" s="447"/>
      <c r="F34" s="448"/>
    </row>
    <row r="35" spans="2:6" ht="15.75" x14ac:dyDescent="0.25">
      <c r="B35" s="464" t="s">
        <v>496</v>
      </c>
      <c r="C35" s="450"/>
      <c r="D35" s="450"/>
      <c r="E35" s="450"/>
      <c r="F35" s="451"/>
    </row>
    <row r="36" spans="2:6" ht="15.75" x14ac:dyDescent="0.25">
      <c r="B36" s="280"/>
      <c r="C36" s="280"/>
      <c r="D36" s="280"/>
      <c r="E36" s="280"/>
      <c r="F36" s="280"/>
    </row>
    <row r="37" spans="2:6" ht="15.75" x14ac:dyDescent="0.25">
      <c r="B37" s="446" t="s">
        <v>274</v>
      </c>
      <c r="C37" s="447"/>
      <c r="D37" s="447"/>
      <c r="E37" s="447"/>
      <c r="F37" s="448"/>
    </row>
    <row r="38" spans="2:6" ht="15.75" x14ac:dyDescent="0.25">
      <c r="B38" s="283" t="s">
        <v>273</v>
      </c>
      <c r="C38" s="283" t="s">
        <v>272</v>
      </c>
      <c r="D38" s="446" t="s">
        <v>271</v>
      </c>
      <c r="E38" s="447"/>
      <c r="F38" s="448"/>
    </row>
    <row r="39" spans="2:6" ht="15.75" x14ac:dyDescent="0.25">
      <c r="B39" s="282"/>
      <c r="C39" s="282"/>
      <c r="D39" s="491"/>
      <c r="E39" s="492"/>
      <c r="F39" s="493"/>
    </row>
    <row r="40" spans="2:6" ht="15.75" x14ac:dyDescent="0.25">
      <c r="B40" s="282"/>
      <c r="C40" s="282"/>
      <c r="D40" s="491"/>
      <c r="E40" s="492"/>
      <c r="F40" s="493"/>
    </row>
    <row r="41" spans="2:6" ht="15.75" x14ac:dyDescent="0.25">
      <c r="B41" s="281"/>
      <c r="C41" s="281"/>
      <c r="D41" s="491"/>
      <c r="E41" s="492"/>
      <c r="F41" s="493"/>
    </row>
    <row r="42" spans="2:6" ht="15.75" x14ac:dyDescent="0.25">
      <c r="B42" s="280"/>
      <c r="C42" s="280"/>
      <c r="D42" s="280"/>
      <c r="E42" s="280"/>
      <c r="F42" s="280"/>
    </row>
    <row r="43" spans="2:6" ht="15.75" x14ac:dyDescent="0.25">
      <c r="B43" s="446" t="s">
        <v>266</v>
      </c>
      <c r="C43" s="447"/>
      <c r="D43" s="447"/>
      <c r="E43" s="447"/>
      <c r="F43" s="448"/>
    </row>
    <row r="44" spans="2:6" ht="91.5" customHeight="1" x14ac:dyDescent="0.25">
      <c r="B44" s="488" t="s">
        <v>665</v>
      </c>
      <c r="C44" s="489"/>
      <c r="D44" s="489"/>
      <c r="E44" s="489"/>
      <c r="F44" s="490"/>
    </row>
  </sheetData>
  <mergeCells count="33">
    <mergeCell ref="B2:F2"/>
    <mergeCell ref="B43:F43"/>
    <mergeCell ref="B44:F44"/>
    <mergeCell ref="B19:F19"/>
    <mergeCell ref="B22:F22"/>
    <mergeCell ref="B25:F25"/>
    <mergeCell ref="B28:F28"/>
    <mergeCell ref="B30:F30"/>
    <mergeCell ref="C32:F32"/>
    <mergeCell ref="B13:C13"/>
    <mergeCell ref="D13:F13"/>
    <mergeCell ref="B18:F18"/>
    <mergeCell ref="B20:F20"/>
    <mergeCell ref="C8:F8"/>
    <mergeCell ref="C9:F9"/>
    <mergeCell ref="B11:F11"/>
    <mergeCell ref="D39:F39"/>
    <mergeCell ref="D40:F40"/>
    <mergeCell ref="D41:F41"/>
    <mergeCell ref="B21:F21"/>
    <mergeCell ref="B23:F23"/>
    <mergeCell ref="B24:F24"/>
    <mergeCell ref="B27:F27"/>
    <mergeCell ref="B34:F34"/>
    <mergeCell ref="B35:F35"/>
    <mergeCell ref="B37:F37"/>
    <mergeCell ref="C4:F4"/>
    <mergeCell ref="C5:F5"/>
    <mergeCell ref="C6:F6"/>
    <mergeCell ref="C7:F7"/>
    <mergeCell ref="D38:F38"/>
    <mergeCell ref="B12:C12"/>
    <mergeCell ref="D12:F12"/>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39:C41">
      <formula1>"Académique, Professionnel, Associatif, Autre"</formula1>
    </dataValidation>
  </dataValidations>
  <hyperlinks>
    <hyperlink ref="B1" location="'Schéma d''enseignement'!G12" display="Schéma d'enseignement"/>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7"/>
  <sheetViews>
    <sheetView workbookViewId="0">
      <selection activeCell="B1" sqref="B1"/>
    </sheetView>
  </sheetViews>
  <sheetFormatPr baseColWidth="10" defaultColWidth="8.85546875" defaultRowHeight="15" x14ac:dyDescent="0.25"/>
  <cols>
    <col min="1" max="1" width="3.5703125" style="1" customWidth="1"/>
    <col min="2" max="2" width="29.42578125" style="1" customWidth="1"/>
    <col min="3" max="3" width="27.85546875" style="1" customWidth="1"/>
    <col min="4" max="4" width="11.85546875" style="1" customWidth="1"/>
    <col min="5" max="5" width="16.42578125" style="1" customWidth="1"/>
    <col min="6" max="6" width="24.140625" style="1" customWidth="1"/>
    <col min="7" max="16384" width="8.85546875" style="1"/>
  </cols>
  <sheetData>
    <row r="1" spans="2:6" x14ac:dyDescent="0.25">
      <c r="B1" s="326" t="s">
        <v>692</v>
      </c>
    </row>
    <row r="2" spans="2:6" ht="15.75" x14ac:dyDescent="0.25">
      <c r="B2" s="505" t="s">
        <v>344</v>
      </c>
      <c r="C2" s="505"/>
      <c r="D2" s="505"/>
      <c r="E2" s="505"/>
      <c r="F2" s="505"/>
    </row>
    <row r="3" spans="2:6" ht="15.75" x14ac:dyDescent="0.25">
      <c r="B3" s="280"/>
      <c r="C3" s="280"/>
      <c r="D3" s="280"/>
      <c r="E3" s="280"/>
      <c r="F3" s="280"/>
    </row>
    <row r="4" spans="2:6" ht="15.75" x14ac:dyDescent="0.25">
      <c r="B4" s="291" t="s">
        <v>320</v>
      </c>
      <c r="C4" s="444" t="s">
        <v>319</v>
      </c>
      <c r="D4" s="444"/>
      <c r="E4" s="444"/>
      <c r="F4" s="444"/>
    </row>
    <row r="5" spans="2:6" ht="15.75" x14ac:dyDescent="0.25">
      <c r="B5" s="292" t="s">
        <v>318</v>
      </c>
      <c r="C5" s="445" t="s">
        <v>457</v>
      </c>
      <c r="D5" s="445"/>
      <c r="E5" s="445"/>
      <c r="F5" s="445"/>
    </row>
    <row r="6" spans="2:6" ht="15.75" x14ac:dyDescent="0.25">
      <c r="B6" s="291" t="s">
        <v>316</v>
      </c>
      <c r="C6" s="444" t="s">
        <v>458</v>
      </c>
      <c r="D6" s="444"/>
      <c r="E6" s="444"/>
      <c r="F6" s="444"/>
    </row>
    <row r="7" spans="2:6" ht="15.75" x14ac:dyDescent="0.25">
      <c r="B7" s="291" t="s">
        <v>314</v>
      </c>
      <c r="C7" s="444" t="s">
        <v>635</v>
      </c>
      <c r="D7" s="444"/>
      <c r="E7" s="444"/>
      <c r="F7" s="444"/>
    </row>
    <row r="8" spans="2:6" ht="15.75" x14ac:dyDescent="0.25">
      <c r="B8" s="291" t="s">
        <v>348</v>
      </c>
      <c r="C8" s="469" t="s">
        <v>657</v>
      </c>
      <c r="D8" s="470"/>
      <c r="E8" s="470"/>
      <c r="F8" s="471"/>
    </row>
    <row r="9" spans="2:6" ht="15.75" x14ac:dyDescent="0.25">
      <c r="B9" s="291" t="s">
        <v>310</v>
      </c>
      <c r="C9" s="444" t="s">
        <v>569</v>
      </c>
      <c r="D9" s="444"/>
      <c r="E9" s="444"/>
      <c r="F9" s="444"/>
    </row>
    <row r="10" spans="2:6" ht="15.75" x14ac:dyDescent="0.25">
      <c r="B10" s="280"/>
      <c r="C10" s="280"/>
      <c r="D10" s="280"/>
      <c r="E10" s="280"/>
      <c r="F10" s="28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490</v>
      </c>
      <c r="E13" s="444"/>
      <c r="F13" s="444"/>
    </row>
    <row r="14" spans="2:6" ht="15.75" x14ac:dyDescent="0.25">
      <c r="B14" s="280"/>
      <c r="C14" s="280"/>
      <c r="D14" s="280"/>
      <c r="E14" s="280"/>
      <c r="F14" s="280"/>
    </row>
    <row r="15" spans="2:6" ht="15.75" x14ac:dyDescent="0.25">
      <c r="B15" s="290" t="s">
        <v>300</v>
      </c>
      <c r="C15" s="290" t="s">
        <v>299</v>
      </c>
      <c r="D15" s="290" t="s">
        <v>298</v>
      </c>
      <c r="E15" s="290" t="s">
        <v>297</v>
      </c>
      <c r="F15" s="290" t="s">
        <v>296</v>
      </c>
    </row>
    <row r="16" spans="2:6" ht="15.75" x14ac:dyDescent="0.25">
      <c r="B16" s="289" t="s">
        <v>671</v>
      </c>
      <c r="C16" s="288">
        <v>21</v>
      </c>
      <c r="D16" s="288">
        <v>2</v>
      </c>
      <c r="E16" s="288">
        <v>2</v>
      </c>
      <c r="F16" s="288" t="s">
        <v>440</v>
      </c>
    </row>
    <row r="17" spans="2:6" ht="15.75" x14ac:dyDescent="0.25">
      <c r="B17" s="287"/>
      <c r="C17" s="286"/>
      <c r="D17" s="286"/>
      <c r="E17" s="286"/>
      <c r="F17" s="286"/>
    </row>
    <row r="18" spans="2:6" ht="15.75" x14ac:dyDescent="0.25">
      <c r="B18" s="446" t="s">
        <v>293</v>
      </c>
      <c r="C18" s="447"/>
      <c r="D18" s="447"/>
      <c r="E18" s="447"/>
      <c r="F18" s="448"/>
    </row>
    <row r="19" spans="2:6" ht="63.6" customHeight="1" x14ac:dyDescent="0.25">
      <c r="B19" s="497" t="s">
        <v>672</v>
      </c>
      <c r="C19" s="497"/>
      <c r="D19" s="497"/>
      <c r="E19" s="497"/>
      <c r="F19" s="497"/>
    </row>
    <row r="20" spans="2:6" ht="15.75" x14ac:dyDescent="0.25">
      <c r="B20" s="446" t="s">
        <v>493</v>
      </c>
      <c r="C20" s="447"/>
      <c r="D20" s="447"/>
      <c r="E20" s="447"/>
      <c r="F20" s="448"/>
    </row>
    <row r="21" spans="2:6" ht="94.5" customHeight="1" x14ac:dyDescent="0.25">
      <c r="B21" s="454" t="s">
        <v>668</v>
      </c>
      <c r="C21" s="450"/>
      <c r="D21" s="450"/>
      <c r="E21" s="450"/>
      <c r="F21" s="451"/>
    </row>
    <row r="22" spans="2:6" ht="15.75" x14ac:dyDescent="0.25">
      <c r="B22" s="280"/>
      <c r="C22" s="280"/>
      <c r="D22" s="280"/>
      <c r="E22" s="280"/>
      <c r="F22" s="280"/>
    </row>
    <row r="23" spans="2:6" ht="15.75" x14ac:dyDescent="0.25">
      <c r="B23" s="446" t="s">
        <v>353</v>
      </c>
      <c r="C23" s="447"/>
      <c r="D23" s="447"/>
      <c r="E23" s="447"/>
      <c r="F23" s="448"/>
    </row>
    <row r="24" spans="2:6" ht="15.75" x14ac:dyDescent="0.25">
      <c r="B24" s="464" t="s">
        <v>669</v>
      </c>
      <c r="C24" s="506"/>
      <c r="D24" s="506"/>
      <c r="E24" s="506"/>
      <c r="F24" s="507"/>
    </row>
    <row r="25" spans="2:6" ht="15.75" x14ac:dyDescent="0.25">
      <c r="B25" s="280"/>
      <c r="C25" s="280"/>
      <c r="D25" s="280"/>
      <c r="E25" s="280"/>
      <c r="F25" s="280"/>
    </row>
    <row r="26" spans="2:6" ht="15.75" x14ac:dyDescent="0.25">
      <c r="B26" s="446" t="s">
        <v>355</v>
      </c>
      <c r="C26" s="447"/>
      <c r="D26" s="447"/>
      <c r="E26" s="447"/>
      <c r="F26" s="448"/>
    </row>
    <row r="27" spans="2:6" ht="15.6" customHeight="1" x14ac:dyDescent="0.25">
      <c r="B27" s="508" t="s">
        <v>497</v>
      </c>
      <c r="C27" s="509"/>
      <c r="D27" s="244"/>
      <c r="E27" s="244"/>
      <c r="F27" s="226"/>
    </row>
    <row r="28" spans="2:6" ht="15.75" x14ac:dyDescent="0.25">
      <c r="B28" s="510" t="s">
        <v>494</v>
      </c>
      <c r="C28" s="511"/>
      <c r="D28" s="511"/>
      <c r="E28" s="511"/>
      <c r="F28" s="512"/>
    </row>
    <row r="29" spans="2:6" ht="15.75" x14ac:dyDescent="0.25">
      <c r="B29" s="280"/>
      <c r="C29" s="280"/>
      <c r="D29" s="280"/>
      <c r="E29" s="280"/>
      <c r="F29" s="280"/>
    </row>
    <row r="30" spans="2:6" ht="15.75" x14ac:dyDescent="0.25">
      <c r="B30" s="446" t="s">
        <v>282</v>
      </c>
      <c r="C30" s="447"/>
      <c r="D30" s="447"/>
      <c r="E30" s="447"/>
      <c r="F30" s="448"/>
    </row>
    <row r="31" spans="2:6" ht="125.45" customHeight="1" x14ac:dyDescent="0.25">
      <c r="B31" s="454" t="s">
        <v>673</v>
      </c>
      <c r="C31" s="450"/>
      <c r="D31" s="450"/>
      <c r="E31" s="450"/>
      <c r="F31" s="451"/>
    </row>
    <row r="32" spans="2:6" ht="15.75" x14ac:dyDescent="0.25">
      <c r="B32" s="285"/>
      <c r="C32" s="279"/>
      <c r="D32" s="279"/>
      <c r="E32" s="279"/>
      <c r="F32" s="279"/>
    </row>
    <row r="33" spans="2:6" ht="15.75" x14ac:dyDescent="0.25">
      <c r="B33" s="446" t="s">
        <v>435</v>
      </c>
      <c r="C33" s="447"/>
      <c r="D33" s="447"/>
      <c r="E33" s="447"/>
      <c r="F33" s="448"/>
    </row>
    <row r="34" spans="2:6" ht="15.75" x14ac:dyDescent="0.25">
      <c r="B34" s="284" t="s">
        <v>495</v>
      </c>
      <c r="C34" s="468"/>
      <c r="D34" s="468"/>
      <c r="E34" s="468"/>
      <c r="F34" s="468"/>
    </row>
    <row r="35" spans="2:6" ht="31.5" x14ac:dyDescent="0.25">
      <c r="B35" s="298" t="s">
        <v>464</v>
      </c>
      <c r="C35" s="468"/>
      <c r="D35" s="468"/>
      <c r="E35" s="468"/>
      <c r="F35" s="468"/>
    </row>
    <row r="36" spans="2:6" ht="15.75" x14ac:dyDescent="0.25">
      <c r="B36" s="280"/>
      <c r="C36" s="280"/>
      <c r="D36" s="280"/>
      <c r="E36" s="280"/>
      <c r="F36" s="280"/>
    </row>
    <row r="37" spans="2:6" ht="15.75" x14ac:dyDescent="0.25">
      <c r="B37" s="446" t="s">
        <v>276</v>
      </c>
      <c r="C37" s="447"/>
      <c r="D37" s="447"/>
      <c r="E37" s="447"/>
      <c r="F37" s="448"/>
    </row>
    <row r="38" spans="2:6" ht="15.75" x14ac:dyDescent="0.25">
      <c r="B38" s="464" t="s">
        <v>496</v>
      </c>
      <c r="C38" s="450"/>
      <c r="D38" s="450"/>
      <c r="E38" s="450"/>
      <c r="F38" s="451"/>
    </row>
    <row r="39" spans="2:6" ht="15.75" x14ac:dyDescent="0.25">
      <c r="B39" s="280"/>
      <c r="C39" s="280"/>
      <c r="D39" s="280"/>
      <c r="E39" s="280"/>
      <c r="F39" s="280"/>
    </row>
    <row r="40" spans="2:6" ht="15.75" x14ac:dyDescent="0.25">
      <c r="B40" s="446" t="s">
        <v>274</v>
      </c>
      <c r="C40" s="447"/>
      <c r="D40" s="447"/>
      <c r="E40" s="447"/>
      <c r="F40" s="448"/>
    </row>
    <row r="41" spans="2:6" ht="15.75" x14ac:dyDescent="0.25">
      <c r="B41" s="283" t="s">
        <v>273</v>
      </c>
      <c r="C41" s="283" t="s">
        <v>272</v>
      </c>
      <c r="D41" s="446" t="s">
        <v>271</v>
      </c>
      <c r="E41" s="447"/>
      <c r="F41" s="448"/>
    </row>
    <row r="42" spans="2:6" ht="15.75" x14ac:dyDescent="0.25">
      <c r="B42" s="282"/>
      <c r="C42" s="282"/>
      <c r="D42" s="491"/>
      <c r="E42" s="492"/>
      <c r="F42" s="493"/>
    </row>
    <row r="43" spans="2:6" ht="15.75" x14ac:dyDescent="0.25">
      <c r="B43" s="282"/>
      <c r="C43" s="282"/>
      <c r="D43" s="491"/>
      <c r="E43" s="492"/>
      <c r="F43" s="493"/>
    </row>
    <row r="44" spans="2:6" ht="15.75" x14ac:dyDescent="0.25">
      <c r="B44" s="281"/>
      <c r="C44" s="281"/>
      <c r="D44" s="491"/>
      <c r="E44" s="492"/>
      <c r="F44" s="493"/>
    </row>
    <row r="45" spans="2:6" ht="15.75" x14ac:dyDescent="0.25">
      <c r="B45" s="280"/>
      <c r="C45" s="280"/>
      <c r="D45" s="280"/>
      <c r="E45" s="280"/>
      <c r="F45" s="280"/>
    </row>
    <row r="46" spans="2:6" ht="15.75" x14ac:dyDescent="0.25">
      <c r="B46" s="446" t="s">
        <v>266</v>
      </c>
      <c r="C46" s="447"/>
      <c r="D46" s="447"/>
      <c r="E46" s="447"/>
      <c r="F46" s="448"/>
    </row>
    <row r="47" spans="2:6" ht="108.95" customHeight="1" x14ac:dyDescent="0.25">
      <c r="B47" s="449" t="s">
        <v>670</v>
      </c>
      <c r="C47" s="489"/>
      <c r="D47" s="489"/>
      <c r="E47" s="489"/>
      <c r="F47" s="490"/>
    </row>
  </sheetData>
  <mergeCells count="35">
    <mergeCell ref="B46:F46"/>
    <mergeCell ref="B47:F47"/>
    <mergeCell ref="B19:F19"/>
    <mergeCell ref="B38:F38"/>
    <mergeCell ref="B40:F40"/>
    <mergeCell ref="D41:F41"/>
    <mergeCell ref="D42:F42"/>
    <mergeCell ref="D43:F43"/>
    <mergeCell ref="B31:F31"/>
    <mergeCell ref="B33:F33"/>
    <mergeCell ref="C34:F34"/>
    <mergeCell ref="C35:F35"/>
    <mergeCell ref="B37:F37"/>
    <mergeCell ref="B30:F30"/>
    <mergeCell ref="B21:F21"/>
    <mergeCell ref="C8:F8"/>
    <mergeCell ref="C9:F9"/>
    <mergeCell ref="B11:F11"/>
    <mergeCell ref="B12:C12"/>
    <mergeCell ref="D44:F44"/>
    <mergeCell ref="D12:F12"/>
    <mergeCell ref="B13:C13"/>
    <mergeCell ref="D13:F13"/>
    <mergeCell ref="B18:F18"/>
    <mergeCell ref="B20:F20"/>
    <mergeCell ref="B23:F23"/>
    <mergeCell ref="B24:F24"/>
    <mergeCell ref="B26:F26"/>
    <mergeCell ref="B27:C27"/>
    <mergeCell ref="B28:F28"/>
    <mergeCell ref="B2:F2"/>
    <mergeCell ref="C4:F4"/>
    <mergeCell ref="C5:F5"/>
    <mergeCell ref="C6:F6"/>
    <mergeCell ref="C7:F7"/>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2:C44">
      <formula1>"Académique, Professionnel, Associatif, Autre"</formula1>
    </dataValidation>
  </dataValidations>
  <hyperlinks>
    <hyperlink ref="B1" location="'Schéma d''enseignement'!G13" display="Schéma d'enseignement"/>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5"/>
  <sheetViews>
    <sheetView workbookViewId="0">
      <selection activeCell="B1" sqref="B1"/>
    </sheetView>
  </sheetViews>
  <sheetFormatPr baseColWidth="10" defaultColWidth="8.85546875" defaultRowHeight="15" x14ac:dyDescent="0.25"/>
  <cols>
    <col min="1" max="1" width="8.85546875" style="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6.5" customHeight="1" x14ac:dyDescent="0.25">
      <c r="B5" s="188" t="s">
        <v>318</v>
      </c>
      <c r="C5" s="445" t="s">
        <v>457</v>
      </c>
      <c r="D5" s="445"/>
      <c r="E5" s="445"/>
      <c r="F5" s="445"/>
    </row>
    <row r="6" spans="2:6" ht="15.75" x14ac:dyDescent="0.25">
      <c r="B6" s="187" t="s">
        <v>316</v>
      </c>
      <c r="C6" s="444" t="s">
        <v>552</v>
      </c>
      <c r="D6" s="444"/>
      <c r="E6" s="444"/>
      <c r="F6" s="444"/>
    </row>
    <row r="7" spans="2:6" ht="15.75" x14ac:dyDescent="0.25">
      <c r="B7" s="187" t="s">
        <v>314</v>
      </c>
      <c r="C7" s="444" t="s">
        <v>635</v>
      </c>
      <c r="D7" s="444"/>
      <c r="E7" s="444"/>
      <c r="F7" s="444"/>
    </row>
    <row r="8" spans="2:6" ht="15.75" x14ac:dyDescent="0.25">
      <c r="B8" s="187" t="s">
        <v>348</v>
      </c>
      <c r="C8" s="444" t="s">
        <v>164</v>
      </c>
      <c r="D8" s="444"/>
      <c r="E8" s="444"/>
      <c r="F8" s="444"/>
    </row>
    <row r="9" spans="2:6" ht="15.75" x14ac:dyDescent="0.25">
      <c r="B9" s="187" t="s">
        <v>310</v>
      </c>
      <c r="C9" s="444" t="s">
        <v>569</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43192</v>
      </c>
      <c r="C13" s="484"/>
      <c r="D13" s="444" t="s">
        <v>437</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24" customHeight="1" x14ac:dyDescent="0.25">
      <c r="B16" s="35" t="s">
        <v>27</v>
      </c>
      <c r="C16" s="243">
        <v>21</v>
      </c>
      <c r="D16" s="243">
        <v>3</v>
      </c>
      <c r="E16" s="243">
        <v>3</v>
      </c>
      <c r="F16" s="243" t="s">
        <v>440</v>
      </c>
    </row>
    <row r="17" spans="2:6" ht="15.75" x14ac:dyDescent="0.25">
      <c r="B17" s="189"/>
      <c r="C17" s="190"/>
      <c r="D17" s="190"/>
      <c r="E17" s="190"/>
      <c r="F17" s="190"/>
    </row>
    <row r="18" spans="2:6" ht="15.75" x14ac:dyDescent="0.25">
      <c r="B18" s="446" t="s">
        <v>293</v>
      </c>
      <c r="C18" s="447"/>
      <c r="D18" s="447"/>
      <c r="E18" s="447"/>
      <c r="F18" s="448"/>
    </row>
    <row r="19" spans="2:6" ht="45.95" customHeight="1" x14ac:dyDescent="0.25">
      <c r="B19" s="449" t="s">
        <v>570</v>
      </c>
      <c r="C19" s="450"/>
      <c r="D19" s="450"/>
      <c r="E19" s="450"/>
      <c r="F19" s="451"/>
    </row>
    <row r="20" spans="2:6" ht="15.75" x14ac:dyDescent="0.25">
      <c r="B20" s="446" t="s">
        <v>292</v>
      </c>
      <c r="C20" s="447"/>
      <c r="D20" s="447"/>
      <c r="E20" s="447"/>
      <c r="F20" s="448"/>
    </row>
    <row r="21" spans="2:6" ht="93.95" customHeight="1" x14ac:dyDescent="0.25">
      <c r="B21" s="449" t="s">
        <v>571</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572</v>
      </c>
      <c r="C24" s="450"/>
      <c r="D24" s="450"/>
      <c r="E24" s="450"/>
      <c r="F24" s="451"/>
    </row>
    <row r="25" spans="2:6" ht="15.75" x14ac:dyDescent="0.25">
      <c r="B25" s="150"/>
      <c r="C25" s="150"/>
      <c r="D25" s="150"/>
      <c r="E25" s="150"/>
      <c r="F25" s="150"/>
    </row>
    <row r="26" spans="2:6" ht="15.75" x14ac:dyDescent="0.25">
      <c r="B26" s="446" t="s">
        <v>355</v>
      </c>
      <c r="C26" s="447"/>
      <c r="D26" s="447"/>
      <c r="E26" s="447"/>
      <c r="F26" s="448"/>
    </row>
    <row r="27" spans="2:6" ht="15.75" x14ac:dyDescent="0.25">
      <c r="B27" s="494" t="s">
        <v>8</v>
      </c>
      <c r="C27" s="495"/>
      <c r="D27" s="495"/>
      <c r="E27" s="495"/>
      <c r="F27" s="496"/>
    </row>
    <row r="28" spans="2:6" ht="15.75" x14ac:dyDescent="0.25">
      <c r="B28" s="494" t="s">
        <v>289</v>
      </c>
      <c r="C28" s="495"/>
      <c r="D28" s="495"/>
      <c r="E28" s="495"/>
      <c r="F28" s="496"/>
    </row>
    <row r="29" spans="2:6" ht="15.75" x14ac:dyDescent="0.25">
      <c r="B29" s="460" t="s">
        <v>9</v>
      </c>
      <c r="C29" s="460"/>
      <c r="D29" s="460"/>
      <c r="E29" s="460"/>
      <c r="F29" s="460"/>
    </row>
    <row r="30" spans="2:6" ht="15.75" x14ac:dyDescent="0.25">
      <c r="B30" s="150"/>
      <c r="C30" s="150"/>
      <c r="D30" s="150"/>
      <c r="E30" s="150"/>
      <c r="F30" s="150"/>
    </row>
    <row r="31" spans="2:6" ht="15.75" x14ac:dyDescent="0.25">
      <c r="B31" s="446" t="s">
        <v>282</v>
      </c>
      <c r="C31" s="447"/>
      <c r="D31" s="447"/>
      <c r="E31" s="447"/>
      <c r="F31" s="448"/>
    </row>
    <row r="32" spans="2:6" ht="113.1" customHeight="1" x14ac:dyDescent="0.25">
      <c r="B32" s="449" t="s">
        <v>573</v>
      </c>
      <c r="C32" s="450"/>
      <c r="D32" s="450"/>
      <c r="E32" s="450"/>
      <c r="F32" s="451"/>
    </row>
    <row r="33" spans="2:6" ht="15.75" x14ac:dyDescent="0.25">
      <c r="B33" s="160"/>
      <c r="C33" s="191"/>
      <c r="D33" s="191"/>
      <c r="E33" s="191"/>
      <c r="F33" s="191"/>
    </row>
    <row r="34" spans="2:6" ht="15.75" x14ac:dyDescent="0.25">
      <c r="B34" s="446" t="s">
        <v>436</v>
      </c>
      <c r="C34" s="447"/>
      <c r="D34" s="447"/>
      <c r="E34" s="447"/>
      <c r="F34" s="448"/>
    </row>
    <row r="35" spans="2:6" ht="15.75" x14ac:dyDescent="0.25">
      <c r="B35" s="192" t="s">
        <v>574</v>
      </c>
      <c r="C35" s="468"/>
      <c r="D35" s="468"/>
      <c r="E35" s="468"/>
      <c r="F35" s="468"/>
    </row>
    <row r="36" spans="2:6" ht="15.75" x14ac:dyDescent="0.25">
      <c r="B36" s="192" t="s">
        <v>488</v>
      </c>
      <c r="C36" s="468"/>
      <c r="D36" s="468"/>
      <c r="E36" s="468"/>
      <c r="F36" s="468"/>
    </row>
    <row r="37" spans="2:6" ht="15.75" x14ac:dyDescent="0.25">
      <c r="B37" s="192" t="s">
        <v>575</v>
      </c>
      <c r="C37" s="464"/>
      <c r="D37" s="450"/>
      <c r="E37" s="450"/>
      <c r="F37" s="451"/>
    </row>
    <row r="38" spans="2:6" ht="15.75" x14ac:dyDescent="0.25">
      <c r="B38" s="192" t="s">
        <v>576</v>
      </c>
      <c r="C38" s="468"/>
      <c r="D38" s="468"/>
      <c r="E38" s="468"/>
      <c r="F38" s="468"/>
    </row>
    <row r="39" spans="2:6" ht="15.75" x14ac:dyDescent="0.25">
      <c r="B39" s="192" t="s">
        <v>295</v>
      </c>
      <c r="C39" s="468"/>
      <c r="D39" s="468"/>
      <c r="E39" s="468"/>
      <c r="F39" s="468"/>
    </row>
    <row r="40" spans="2:6" ht="15.75" x14ac:dyDescent="0.25">
      <c r="B40" s="150"/>
      <c r="C40" s="150"/>
      <c r="D40" s="150"/>
      <c r="E40" s="150"/>
      <c r="F40" s="150"/>
    </row>
    <row r="41" spans="2:6" ht="15.75" x14ac:dyDescent="0.25">
      <c r="B41" s="446" t="s">
        <v>276</v>
      </c>
      <c r="C41" s="447"/>
      <c r="D41" s="447"/>
      <c r="E41" s="447"/>
      <c r="F41" s="448"/>
    </row>
    <row r="42" spans="2:6" ht="48" customHeight="1" x14ac:dyDescent="0.25">
      <c r="B42" s="449" t="s">
        <v>577</v>
      </c>
      <c r="C42" s="450"/>
      <c r="D42" s="450"/>
      <c r="E42" s="450"/>
      <c r="F42" s="451"/>
    </row>
    <row r="43" spans="2:6" ht="15.75" x14ac:dyDescent="0.25">
      <c r="B43" s="150"/>
      <c r="C43" s="150"/>
      <c r="D43" s="150"/>
      <c r="E43" s="150"/>
      <c r="F43" s="150"/>
    </row>
    <row r="44" spans="2:6" ht="15.75" x14ac:dyDescent="0.25">
      <c r="B44" s="446" t="s">
        <v>266</v>
      </c>
      <c r="C44" s="447"/>
      <c r="D44" s="447"/>
      <c r="E44" s="447"/>
      <c r="F44" s="448"/>
    </row>
    <row r="45" spans="2:6" ht="140.44999999999999" customHeight="1" x14ac:dyDescent="0.25">
      <c r="B45" s="449" t="s">
        <v>578</v>
      </c>
      <c r="C45" s="450"/>
      <c r="D45" s="450"/>
      <c r="E45" s="450"/>
      <c r="F45" s="451"/>
    </row>
  </sheetData>
  <mergeCells count="33">
    <mergeCell ref="B18:F18"/>
    <mergeCell ref="C4:F4"/>
    <mergeCell ref="C5:F5"/>
    <mergeCell ref="C6:F6"/>
    <mergeCell ref="C7:F7"/>
    <mergeCell ref="C8:F8"/>
    <mergeCell ref="C9:F9"/>
    <mergeCell ref="B11:F11"/>
    <mergeCell ref="B12:C12"/>
    <mergeCell ref="D12:F12"/>
    <mergeCell ref="B13:C13"/>
    <mergeCell ref="D13:F13"/>
    <mergeCell ref="B34:F34"/>
    <mergeCell ref="B19:F19"/>
    <mergeCell ref="B20:F20"/>
    <mergeCell ref="B21:F21"/>
    <mergeCell ref="B23:F23"/>
    <mergeCell ref="B24:F24"/>
    <mergeCell ref="B26:F26"/>
    <mergeCell ref="B27:F27"/>
    <mergeCell ref="B28:F28"/>
    <mergeCell ref="B29:F29"/>
    <mergeCell ref="B31:F31"/>
    <mergeCell ref="B32:F32"/>
    <mergeCell ref="B42:F42"/>
    <mergeCell ref="B44:F44"/>
    <mergeCell ref="B45:F45"/>
    <mergeCell ref="C35:F35"/>
    <mergeCell ref="C36:F36"/>
    <mergeCell ref="C37:F37"/>
    <mergeCell ref="C38:F38"/>
    <mergeCell ref="C39:F39"/>
    <mergeCell ref="B41:F41"/>
  </mergeCells>
  <dataValidations count="1">
    <dataValidation type="list" allowBlank="1" showInputMessage="1" showErrorMessage="1" sqref="C4">
      <formula1>"Mise à jour à partir du plan d'études, Nouvelle création"</formula1>
    </dataValidation>
  </dataValidations>
  <hyperlinks>
    <hyperlink ref="B1" location="'Schéma d''enseignement'!G14" display="Schéma d'enseignement"/>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0"/>
  <sheetViews>
    <sheetView workbookViewId="0">
      <selection activeCell="B1" sqref="B1"/>
    </sheetView>
  </sheetViews>
  <sheetFormatPr baseColWidth="10" defaultColWidth="8.85546875" defaultRowHeight="15" x14ac:dyDescent="0.25"/>
  <cols>
    <col min="1" max="1" width="3.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7.45" customHeight="1" x14ac:dyDescent="0.25">
      <c r="B5" s="188" t="s">
        <v>318</v>
      </c>
      <c r="C5" s="445" t="s">
        <v>457</v>
      </c>
      <c r="D5" s="445"/>
      <c r="E5" s="445"/>
      <c r="F5" s="445"/>
    </row>
    <row r="6" spans="2:6" ht="15.75" x14ac:dyDescent="0.25">
      <c r="B6" s="187" t="s">
        <v>316</v>
      </c>
      <c r="C6" s="444" t="s">
        <v>552</v>
      </c>
      <c r="D6" s="444"/>
      <c r="E6" s="444"/>
      <c r="F6" s="444"/>
    </row>
    <row r="7" spans="2:6" ht="15.75" x14ac:dyDescent="0.25">
      <c r="B7" s="187" t="s">
        <v>314</v>
      </c>
      <c r="C7" s="444" t="s">
        <v>635</v>
      </c>
      <c r="D7" s="444"/>
      <c r="E7" s="444"/>
      <c r="F7" s="444"/>
    </row>
    <row r="8" spans="2:6" ht="15.75" x14ac:dyDescent="0.25">
      <c r="B8" s="187" t="s">
        <v>348</v>
      </c>
      <c r="C8" s="444" t="s">
        <v>164</v>
      </c>
      <c r="D8" s="444"/>
      <c r="E8" s="444"/>
      <c r="F8" s="444"/>
    </row>
    <row r="9" spans="2:6" ht="15.75" x14ac:dyDescent="0.25">
      <c r="B9" s="187" t="s">
        <v>310</v>
      </c>
      <c r="C9" s="444" t="s">
        <v>569</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43192</v>
      </c>
      <c r="C13" s="484"/>
      <c r="D13" s="444" t="s">
        <v>437</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0.75" customHeight="1" x14ac:dyDescent="0.25">
      <c r="B16" s="35" t="s">
        <v>154</v>
      </c>
      <c r="C16" s="243">
        <v>42</v>
      </c>
      <c r="D16" s="243">
        <v>3</v>
      </c>
      <c r="E16" s="243">
        <v>3</v>
      </c>
      <c r="F16" s="243" t="s">
        <v>440</v>
      </c>
    </row>
    <row r="17" spans="2:6" ht="15.75" x14ac:dyDescent="0.25">
      <c r="B17" s="189"/>
      <c r="C17" s="190"/>
      <c r="D17" s="190"/>
      <c r="E17" s="190"/>
      <c r="F17" s="190"/>
    </row>
    <row r="18" spans="2:6" ht="15.75" x14ac:dyDescent="0.25">
      <c r="B18" s="446" t="s">
        <v>293</v>
      </c>
      <c r="C18" s="447"/>
      <c r="D18" s="447"/>
      <c r="E18" s="447"/>
      <c r="F18" s="448"/>
    </row>
    <row r="19" spans="2:6" ht="15.75" x14ac:dyDescent="0.25">
      <c r="B19" s="449" t="s">
        <v>579</v>
      </c>
      <c r="C19" s="450"/>
      <c r="D19" s="450"/>
      <c r="E19" s="450"/>
      <c r="F19" s="451"/>
    </row>
    <row r="20" spans="2:6" ht="15.75" x14ac:dyDescent="0.25">
      <c r="B20" s="446" t="s">
        <v>292</v>
      </c>
      <c r="C20" s="447"/>
      <c r="D20" s="447"/>
      <c r="E20" s="447"/>
      <c r="F20" s="448"/>
    </row>
    <row r="21" spans="2:6" ht="15.75" x14ac:dyDescent="0.25">
      <c r="B21" s="449" t="s">
        <v>580</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513"/>
      <c r="C24" s="506"/>
      <c r="D24" s="506"/>
      <c r="E24" s="506"/>
      <c r="F24" s="507"/>
    </row>
    <row r="25" spans="2:6" ht="15.75" x14ac:dyDescent="0.25">
      <c r="B25" s="150"/>
      <c r="C25" s="150"/>
      <c r="D25" s="150"/>
      <c r="E25" s="150"/>
      <c r="F25" s="150"/>
    </row>
    <row r="26" spans="2:6" ht="15.75" x14ac:dyDescent="0.25">
      <c r="B26" s="446" t="s">
        <v>355</v>
      </c>
      <c r="C26" s="447"/>
      <c r="D26" s="447"/>
      <c r="E26" s="447"/>
      <c r="F26" s="448"/>
    </row>
    <row r="27" spans="2:6" ht="15.75" x14ac:dyDescent="0.25">
      <c r="B27" s="494" t="s">
        <v>8</v>
      </c>
      <c r="C27" s="495"/>
      <c r="D27" s="495"/>
      <c r="E27" s="495"/>
      <c r="F27" s="496"/>
    </row>
    <row r="28" spans="2:6" ht="15.75" x14ac:dyDescent="0.25">
      <c r="B28" s="494" t="s">
        <v>289</v>
      </c>
      <c r="C28" s="495"/>
      <c r="D28" s="495"/>
      <c r="E28" s="495"/>
      <c r="F28" s="496"/>
    </row>
    <row r="29" spans="2:6" ht="15.75" x14ac:dyDescent="0.25">
      <c r="B29" s="494" t="s">
        <v>9</v>
      </c>
      <c r="C29" s="495"/>
      <c r="D29" s="495"/>
      <c r="E29" s="495"/>
      <c r="F29" s="496"/>
    </row>
    <row r="30" spans="2:6" ht="15.75" x14ac:dyDescent="0.25">
      <c r="B30" s="460" t="s">
        <v>581</v>
      </c>
      <c r="C30" s="460"/>
      <c r="D30" s="460"/>
      <c r="E30" s="460"/>
      <c r="F30" s="460"/>
    </row>
    <row r="31" spans="2:6" ht="15.75" x14ac:dyDescent="0.25">
      <c r="B31" s="150"/>
      <c r="C31" s="150"/>
      <c r="D31" s="150"/>
      <c r="E31" s="150"/>
      <c r="F31" s="150"/>
    </row>
    <row r="32" spans="2:6" ht="15.75" x14ac:dyDescent="0.25">
      <c r="B32" s="446" t="s">
        <v>282</v>
      </c>
      <c r="C32" s="447"/>
      <c r="D32" s="447"/>
      <c r="E32" s="447"/>
      <c r="F32" s="448"/>
    </row>
    <row r="33" spans="2:6" ht="108.6" customHeight="1" x14ac:dyDescent="0.25">
      <c r="B33" s="449" t="s">
        <v>582</v>
      </c>
      <c r="C33" s="450"/>
      <c r="D33" s="450"/>
      <c r="E33" s="450"/>
      <c r="F33" s="451"/>
    </row>
    <row r="34" spans="2:6" ht="15.75" x14ac:dyDescent="0.25">
      <c r="B34" s="160"/>
      <c r="C34" s="191"/>
      <c r="D34" s="191"/>
      <c r="E34" s="191"/>
      <c r="F34" s="191"/>
    </row>
    <row r="35" spans="2:6" ht="15.75" x14ac:dyDescent="0.25">
      <c r="B35" s="446" t="s">
        <v>436</v>
      </c>
      <c r="C35" s="447"/>
      <c r="D35" s="447"/>
      <c r="E35" s="447"/>
      <c r="F35" s="448"/>
    </row>
    <row r="36" spans="2:6" ht="15.75" x14ac:dyDescent="0.25">
      <c r="B36" s="192" t="s">
        <v>558</v>
      </c>
      <c r="C36" s="468"/>
      <c r="D36" s="468"/>
      <c r="E36" s="468"/>
      <c r="F36" s="468"/>
    </row>
    <row r="37" spans="2:6" ht="15.75" x14ac:dyDescent="0.25">
      <c r="B37" s="192" t="s">
        <v>559</v>
      </c>
      <c r="C37" s="468"/>
      <c r="D37" s="468"/>
      <c r="E37" s="468"/>
      <c r="F37" s="468"/>
    </row>
    <row r="38" spans="2:6" ht="31.5" x14ac:dyDescent="0.25">
      <c r="B38" s="218" t="s">
        <v>583</v>
      </c>
      <c r="C38" s="464"/>
      <c r="D38" s="450"/>
      <c r="E38" s="450"/>
      <c r="F38" s="451"/>
    </row>
    <row r="39" spans="2:6" ht="15.75" x14ac:dyDescent="0.25">
      <c r="B39" s="150"/>
      <c r="C39" s="150"/>
      <c r="D39" s="150"/>
      <c r="E39" s="150"/>
      <c r="F39" s="150"/>
    </row>
    <row r="40" spans="2:6" ht="15.75" x14ac:dyDescent="0.25">
      <c r="B40" s="446" t="s">
        <v>276</v>
      </c>
      <c r="C40" s="447"/>
      <c r="D40" s="447"/>
      <c r="E40" s="447"/>
      <c r="F40" s="448"/>
    </row>
    <row r="41" spans="2:6" ht="33.6" customHeight="1" x14ac:dyDescent="0.25">
      <c r="B41" s="449" t="s">
        <v>584</v>
      </c>
      <c r="C41" s="450"/>
      <c r="D41" s="450"/>
      <c r="E41" s="450"/>
      <c r="F41" s="451"/>
    </row>
    <row r="42" spans="2:6" ht="15.75" x14ac:dyDescent="0.25">
      <c r="B42" s="150"/>
      <c r="C42" s="150"/>
      <c r="D42" s="150"/>
      <c r="E42" s="150"/>
      <c r="F42" s="150"/>
    </row>
    <row r="43" spans="2:6" ht="15.75" x14ac:dyDescent="0.25">
      <c r="B43" s="446" t="s">
        <v>274</v>
      </c>
      <c r="C43" s="447"/>
      <c r="D43" s="447"/>
      <c r="E43" s="447"/>
      <c r="F43" s="448"/>
    </row>
    <row r="44" spans="2:6" ht="15.75" x14ac:dyDescent="0.25">
      <c r="B44" s="155" t="s">
        <v>273</v>
      </c>
      <c r="C44" s="155" t="s">
        <v>272</v>
      </c>
      <c r="D44" s="446" t="s">
        <v>271</v>
      </c>
      <c r="E44" s="447"/>
      <c r="F44" s="448"/>
    </row>
    <row r="45" spans="2:6" ht="15.75" x14ac:dyDescent="0.25">
      <c r="B45" s="156"/>
      <c r="C45" s="156"/>
      <c r="D45" s="491"/>
      <c r="E45" s="492"/>
      <c r="F45" s="493"/>
    </row>
    <row r="46" spans="2:6" ht="15.75" x14ac:dyDescent="0.25">
      <c r="B46" s="156"/>
      <c r="C46" s="156"/>
      <c r="D46" s="491"/>
      <c r="E46" s="492"/>
      <c r="F46" s="493"/>
    </row>
    <row r="47" spans="2:6" ht="15.75" x14ac:dyDescent="0.25">
      <c r="B47" s="185"/>
      <c r="C47" s="185"/>
      <c r="D47" s="491"/>
      <c r="E47" s="492"/>
      <c r="F47" s="493"/>
    </row>
    <row r="48" spans="2:6" ht="15.75" x14ac:dyDescent="0.25">
      <c r="B48" s="150"/>
      <c r="C48" s="150"/>
      <c r="D48" s="150"/>
      <c r="E48" s="150"/>
      <c r="F48" s="150"/>
    </row>
    <row r="49" spans="2:6" ht="15.75" x14ac:dyDescent="0.25">
      <c r="B49" s="446" t="s">
        <v>266</v>
      </c>
      <c r="C49" s="447"/>
      <c r="D49" s="447"/>
      <c r="E49" s="447"/>
      <c r="F49" s="448"/>
    </row>
    <row r="50" spans="2:6" ht="143.44999999999999" customHeight="1" x14ac:dyDescent="0.25">
      <c r="B50" s="449" t="s">
        <v>578</v>
      </c>
      <c r="C50" s="450"/>
      <c r="D50" s="450"/>
      <c r="E50" s="450"/>
      <c r="F50" s="451"/>
    </row>
  </sheetData>
  <mergeCells count="37">
    <mergeCell ref="B18:F18"/>
    <mergeCell ref="C4:F4"/>
    <mergeCell ref="C5:F5"/>
    <mergeCell ref="C6:F6"/>
    <mergeCell ref="C7:F7"/>
    <mergeCell ref="C8:F8"/>
    <mergeCell ref="C9:F9"/>
    <mergeCell ref="B11:F11"/>
    <mergeCell ref="B12:C12"/>
    <mergeCell ref="D12:F12"/>
    <mergeCell ref="B13:C13"/>
    <mergeCell ref="D13:F13"/>
    <mergeCell ref="B27:F27"/>
    <mergeCell ref="B28:F28"/>
    <mergeCell ref="B29:F29"/>
    <mergeCell ref="B30:F30"/>
    <mergeCell ref="B19:F19"/>
    <mergeCell ref="B20:F20"/>
    <mergeCell ref="B21:F21"/>
    <mergeCell ref="B23:F23"/>
    <mergeCell ref="B24:F24"/>
    <mergeCell ref="B26:F26"/>
    <mergeCell ref="C36:F36"/>
    <mergeCell ref="C37:F37"/>
    <mergeCell ref="C38:F38"/>
    <mergeCell ref="B40:F40"/>
    <mergeCell ref="B32:F32"/>
    <mergeCell ref="B33:F33"/>
    <mergeCell ref="B35:F35"/>
    <mergeCell ref="B49:F49"/>
    <mergeCell ref="B50:F50"/>
    <mergeCell ref="B41:F41"/>
    <mergeCell ref="B43:F43"/>
    <mergeCell ref="D44:F44"/>
    <mergeCell ref="D45:F45"/>
    <mergeCell ref="D46:F46"/>
    <mergeCell ref="D47:F47"/>
  </mergeCells>
  <dataValidations count="2">
    <dataValidation type="list" allowBlank="1" showInputMessage="1" showErrorMessage="1" sqref="C45:C47">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15" display="Schéma d'enseignement"/>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E59"/>
  <sheetViews>
    <sheetView zoomScaleNormal="100" workbookViewId="0">
      <selection activeCell="B1" sqref="B1"/>
    </sheetView>
  </sheetViews>
  <sheetFormatPr baseColWidth="10" defaultColWidth="9.140625" defaultRowHeight="15" x14ac:dyDescent="0.25"/>
  <cols>
    <col min="1" max="1" width="24.5703125" style="1" customWidth="1"/>
    <col min="2" max="2" width="19.42578125" style="1" customWidth="1"/>
    <col min="3" max="3" width="12.85546875" style="1" customWidth="1"/>
    <col min="4" max="4" width="13.140625" style="1" customWidth="1"/>
    <col min="5" max="5" width="39.42578125" style="1" customWidth="1"/>
    <col min="6" max="256" width="8.85546875" style="1"/>
    <col min="257" max="257" width="24.5703125" style="1" customWidth="1"/>
    <col min="258" max="258" width="19.42578125" style="1" customWidth="1"/>
    <col min="259" max="259" width="12.85546875" style="1" customWidth="1"/>
    <col min="260" max="260" width="13.140625" style="1" customWidth="1"/>
    <col min="261" max="261" width="39.42578125" style="1" customWidth="1"/>
    <col min="262" max="512" width="8.85546875" style="1"/>
    <col min="513" max="513" width="24.5703125" style="1" customWidth="1"/>
    <col min="514" max="514" width="19.42578125" style="1" customWidth="1"/>
    <col min="515" max="515" width="12.85546875" style="1" customWidth="1"/>
    <col min="516" max="516" width="13.140625" style="1" customWidth="1"/>
    <col min="517" max="517" width="39.42578125" style="1" customWidth="1"/>
    <col min="518" max="768" width="8.85546875" style="1"/>
    <col min="769" max="769" width="24.5703125" style="1" customWidth="1"/>
    <col min="770" max="770" width="19.42578125" style="1" customWidth="1"/>
    <col min="771" max="771" width="12.85546875" style="1" customWidth="1"/>
    <col min="772" max="772" width="13.140625" style="1" customWidth="1"/>
    <col min="773" max="773" width="39.42578125" style="1" customWidth="1"/>
    <col min="774" max="1024" width="8.85546875" style="1"/>
    <col min="1025" max="1025" width="24.5703125" style="1" customWidth="1"/>
    <col min="1026" max="1026" width="19.42578125" style="1" customWidth="1"/>
    <col min="1027" max="1027" width="12.85546875" style="1" customWidth="1"/>
    <col min="1028" max="1028" width="13.140625" style="1" customWidth="1"/>
    <col min="1029" max="1029" width="39.42578125" style="1" customWidth="1"/>
    <col min="1030" max="1280" width="8.85546875" style="1"/>
    <col min="1281" max="1281" width="24.5703125" style="1" customWidth="1"/>
    <col min="1282" max="1282" width="19.42578125" style="1" customWidth="1"/>
    <col min="1283" max="1283" width="12.85546875" style="1" customWidth="1"/>
    <col min="1284" max="1284" width="13.140625" style="1" customWidth="1"/>
    <col min="1285" max="1285" width="39.42578125" style="1" customWidth="1"/>
    <col min="1286" max="1536" width="8.85546875" style="1"/>
    <col min="1537" max="1537" width="24.5703125" style="1" customWidth="1"/>
    <col min="1538" max="1538" width="19.42578125" style="1" customWidth="1"/>
    <col min="1539" max="1539" width="12.85546875" style="1" customWidth="1"/>
    <col min="1540" max="1540" width="13.140625" style="1" customWidth="1"/>
    <col min="1541" max="1541" width="39.42578125" style="1" customWidth="1"/>
    <col min="1542" max="1792" width="8.85546875" style="1"/>
    <col min="1793" max="1793" width="24.5703125" style="1" customWidth="1"/>
    <col min="1794" max="1794" width="19.42578125" style="1" customWidth="1"/>
    <col min="1795" max="1795" width="12.85546875" style="1" customWidth="1"/>
    <col min="1796" max="1796" width="13.140625" style="1" customWidth="1"/>
    <col min="1797" max="1797" width="39.42578125" style="1" customWidth="1"/>
    <col min="1798" max="2048" width="8.85546875" style="1"/>
    <col min="2049" max="2049" width="24.5703125" style="1" customWidth="1"/>
    <col min="2050" max="2050" width="19.42578125" style="1" customWidth="1"/>
    <col min="2051" max="2051" width="12.85546875" style="1" customWidth="1"/>
    <col min="2052" max="2052" width="13.140625" style="1" customWidth="1"/>
    <col min="2053" max="2053" width="39.42578125" style="1" customWidth="1"/>
    <col min="2054" max="2304" width="8.85546875" style="1"/>
    <col min="2305" max="2305" width="24.5703125" style="1" customWidth="1"/>
    <col min="2306" max="2306" width="19.42578125" style="1" customWidth="1"/>
    <col min="2307" max="2307" width="12.85546875" style="1" customWidth="1"/>
    <col min="2308" max="2308" width="13.140625" style="1" customWidth="1"/>
    <col min="2309" max="2309" width="39.42578125" style="1" customWidth="1"/>
    <col min="2310" max="2560" width="8.85546875" style="1"/>
    <col min="2561" max="2561" width="24.5703125" style="1" customWidth="1"/>
    <col min="2562" max="2562" width="19.42578125" style="1" customWidth="1"/>
    <col min="2563" max="2563" width="12.85546875" style="1" customWidth="1"/>
    <col min="2564" max="2564" width="13.140625" style="1" customWidth="1"/>
    <col min="2565" max="2565" width="39.42578125" style="1" customWidth="1"/>
    <col min="2566" max="2816" width="8.85546875" style="1"/>
    <col min="2817" max="2817" width="24.5703125" style="1" customWidth="1"/>
    <col min="2818" max="2818" width="19.42578125" style="1" customWidth="1"/>
    <col min="2819" max="2819" width="12.85546875" style="1" customWidth="1"/>
    <col min="2820" max="2820" width="13.140625" style="1" customWidth="1"/>
    <col min="2821" max="2821" width="39.42578125" style="1" customWidth="1"/>
    <col min="2822" max="3072" width="8.85546875" style="1"/>
    <col min="3073" max="3073" width="24.5703125" style="1" customWidth="1"/>
    <col min="3074" max="3074" width="19.42578125" style="1" customWidth="1"/>
    <col min="3075" max="3075" width="12.85546875" style="1" customWidth="1"/>
    <col min="3076" max="3076" width="13.140625" style="1" customWidth="1"/>
    <col min="3077" max="3077" width="39.42578125" style="1" customWidth="1"/>
    <col min="3078" max="3328" width="8.85546875" style="1"/>
    <col min="3329" max="3329" width="24.5703125" style="1" customWidth="1"/>
    <col min="3330" max="3330" width="19.42578125" style="1" customWidth="1"/>
    <col min="3331" max="3331" width="12.85546875" style="1" customWidth="1"/>
    <col min="3332" max="3332" width="13.140625" style="1" customWidth="1"/>
    <col min="3333" max="3333" width="39.42578125" style="1" customWidth="1"/>
    <col min="3334" max="3584" width="8.85546875" style="1"/>
    <col min="3585" max="3585" width="24.5703125" style="1" customWidth="1"/>
    <col min="3586" max="3586" width="19.42578125" style="1" customWidth="1"/>
    <col min="3587" max="3587" width="12.85546875" style="1" customWidth="1"/>
    <col min="3588" max="3588" width="13.140625" style="1" customWidth="1"/>
    <col min="3589" max="3589" width="39.42578125" style="1" customWidth="1"/>
    <col min="3590" max="3840" width="8.85546875" style="1"/>
    <col min="3841" max="3841" width="24.5703125" style="1" customWidth="1"/>
    <col min="3842" max="3842" width="19.42578125" style="1" customWidth="1"/>
    <col min="3843" max="3843" width="12.85546875" style="1" customWidth="1"/>
    <col min="3844" max="3844" width="13.140625" style="1" customWidth="1"/>
    <col min="3845" max="3845" width="39.42578125" style="1" customWidth="1"/>
    <col min="3846" max="4096" width="8.85546875" style="1"/>
    <col min="4097" max="4097" width="24.5703125" style="1" customWidth="1"/>
    <col min="4098" max="4098" width="19.42578125" style="1" customWidth="1"/>
    <col min="4099" max="4099" width="12.85546875" style="1" customWidth="1"/>
    <col min="4100" max="4100" width="13.140625" style="1" customWidth="1"/>
    <col min="4101" max="4101" width="39.42578125" style="1" customWidth="1"/>
    <col min="4102" max="4352" width="8.85546875" style="1"/>
    <col min="4353" max="4353" width="24.5703125" style="1" customWidth="1"/>
    <col min="4354" max="4354" width="19.42578125" style="1" customWidth="1"/>
    <col min="4355" max="4355" width="12.85546875" style="1" customWidth="1"/>
    <col min="4356" max="4356" width="13.140625" style="1" customWidth="1"/>
    <col min="4357" max="4357" width="39.42578125" style="1" customWidth="1"/>
    <col min="4358" max="4608" width="8.85546875" style="1"/>
    <col min="4609" max="4609" width="24.5703125" style="1" customWidth="1"/>
    <col min="4610" max="4610" width="19.42578125" style="1" customWidth="1"/>
    <col min="4611" max="4611" width="12.85546875" style="1" customWidth="1"/>
    <col min="4612" max="4612" width="13.140625" style="1" customWidth="1"/>
    <col min="4613" max="4613" width="39.42578125" style="1" customWidth="1"/>
    <col min="4614" max="4864" width="8.85546875" style="1"/>
    <col min="4865" max="4865" width="24.5703125" style="1" customWidth="1"/>
    <col min="4866" max="4866" width="19.42578125" style="1" customWidth="1"/>
    <col min="4867" max="4867" width="12.85546875" style="1" customWidth="1"/>
    <col min="4868" max="4868" width="13.140625" style="1" customWidth="1"/>
    <col min="4869" max="4869" width="39.42578125" style="1" customWidth="1"/>
    <col min="4870" max="5120" width="8.85546875" style="1"/>
    <col min="5121" max="5121" width="24.5703125" style="1" customWidth="1"/>
    <col min="5122" max="5122" width="19.42578125" style="1" customWidth="1"/>
    <col min="5123" max="5123" width="12.85546875" style="1" customWidth="1"/>
    <col min="5124" max="5124" width="13.140625" style="1" customWidth="1"/>
    <col min="5125" max="5125" width="39.42578125" style="1" customWidth="1"/>
    <col min="5126" max="5376" width="8.85546875" style="1"/>
    <col min="5377" max="5377" width="24.5703125" style="1" customWidth="1"/>
    <col min="5378" max="5378" width="19.42578125" style="1" customWidth="1"/>
    <col min="5379" max="5379" width="12.85546875" style="1" customWidth="1"/>
    <col min="5380" max="5380" width="13.140625" style="1" customWidth="1"/>
    <col min="5381" max="5381" width="39.42578125" style="1" customWidth="1"/>
    <col min="5382" max="5632" width="8.85546875" style="1"/>
    <col min="5633" max="5633" width="24.5703125" style="1" customWidth="1"/>
    <col min="5634" max="5634" width="19.42578125" style="1" customWidth="1"/>
    <col min="5635" max="5635" width="12.85546875" style="1" customWidth="1"/>
    <col min="5636" max="5636" width="13.140625" style="1" customWidth="1"/>
    <col min="5637" max="5637" width="39.42578125" style="1" customWidth="1"/>
    <col min="5638" max="5888" width="8.85546875" style="1"/>
    <col min="5889" max="5889" width="24.5703125" style="1" customWidth="1"/>
    <col min="5890" max="5890" width="19.42578125" style="1" customWidth="1"/>
    <col min="5891" max="5891" width="12.85546875" style="1" customWidth="1"/>
    <col min="5892" max="5892" width="13.140625" style="1" customWidth="1"/>
    <col min="5893" max="5893" width="39.42578125" style="1" customWidth="1"/>
    <col min="5894" max="6144" width="8.85546875" style="1"/>
    <col min="6145" max="6145" width="24.5703125" style="1" customWidth="1"/>
    <col min="6146" max="6146" width="19.42578125" style="1" customWidth="1"/>
    <col min="6147" max="6147" width="12.85546875" style="1" customWidth="1"/>
    <col min="6148" max="6148" width="13.140625" style="1" customWidth="1"/>
    <col min="6149" max="6149" width="39.42578125" style="1" customWidth="1"/>
    <col min="6150" max="6400" width="8.85546875" style="1"/>
    <col min="6401" max="6401" width="24.5703125" style="1" customWidth="1"/>
    <col min="6402" max="6402" width="19.42578125" style="1" customWidth="1"/>
    <col min="6403" max="6403" width="12.85546875" style="1" customWidth="1"/>
    <col min="6404" max="6404" width="13.140625" style="1" customWidth="1"/>
    <col min="6405" max="6405" width="39.42578125" style="1" customWidth="1"/>
    <col min="6406" max="6656" width="8.85546875" style="1"/>
    <col min="6657" max="6657" width="24.5703125" style="1" customWidth="1"/>
    <col min="6658" max="6658" width="19.42578125" style="1" customWidth="1"/>
    <col min="6659" max="6659" width="12.85546875" style="1" customWidth="1"/>
    <col min="6660" max="6660" width="13.140625" style="1" customWidth="1"/>
    <col min="6661" max="6661" width="39.42578125" style="1" customWidth="1"/>
    <col min="6662" max="6912" width="8.85546875" style="1"/>
    <col min="6913" max="6913" width="24.5703125" style="1" customWidth="1"/>
    <col min="6914" max="6914" width="19.42578125" style="1" customWidth="1"/>
    <col min="6915" max="6915" width="12.85546875" style="1" customWidth="1"/>
    <col min="6916" max="6916" width="13.140625" style="1" customWidth="1"/>
    <col min="6917" max="6917" width="39.42578125" style="1" customWidth="1"/>
    <col min="6918" max="7168" width="8.85546875" style="1"/>
    <col min="7169" max="7169" width="24.5703125" style="1" customWidth="1"/>
    <col min="7170" max="7170" width="19.42578125" style="1" customWidth="1"/>
    <col min="7171" max="7171" width="12.85546875" style="1" customWidth="1"/>
    <col min="7172" max="7172" width="13.140625" style="1" customWidth="1"/>
    <col min="7173" max="7173" width="39.42578125" style="1" customWidth="1"/>
    <col min="7174" max="7424" width="8.85546875" style="1"/>
    <col min="7425" max="7425" width="24.5703125" style="1" customWidth="1"/>
    <col min="7426" max="7426" width="19.42578125" style="1" customWidth="1"/>
    <col min="7427" max="7427" width="12.85546875" style="1" customWidth="1"/>
    <col min="7428" max="7428" width="13.140625" style="1" customWidth="1"/>
    <col min="7429" max="7429" width="39.42578125" style="1" customWidth="1"/>
    <col min="7430" max="7680" width="8.85546875" style="1"/>
    <col min="7681" max="7681" width="24.5703125" style="1" customWidth="1"/>
    <col min="7682" max="7682" width="19.42578125" style="1" customWidth="1"/>
    <col min="7683" max="7683" width="12.85546875" style="1" customWidth="1"/>
    <col min="7684" max="7684" width="13.140625" style="1" customWidth="1"/>
    <col min="7685" max="7685" width="39.42578125" style="1" customWidth="1"/>
    <col min="7686" max="7936" width="8.85546875" style="1"/>
    <col min="7937" max="7937" width="24.5703125" style="1" customWidth="1"/>
    <col min="7938" max="7938" width="19.42578125" style="1" customWidth="1"/>
    <col min="7939" max="7939" width="12.85546875" style="1" customWidth="1"/>
    <col min="7940" max="7940" width="13.140625" style="1" customWidth="1"/>
    <col min="7941" max="7941" width="39.42578125" style="1" customWidth="1"/>
    <col min="7942" max="8192" width="8.85546875" style="1"/>
    <col min="8193" max="8193" width="24.5703125" style="1" customWidth="1"/>
    <col min="8194" max="8194" width="19.42578125" style="1" customWidth="1"/>
    <col min="8195" max="8195" width="12.85546875" style="1" customWidth="1"/>
    <col min="8196" max="8196" width="13.140625" style="1" customWidth="1"/>
    <col min="8197" max="8197" width="39.42578125" style="1" customWidth="1"/>
    <col min="8198" max="8448" width="8.85546875" style="1"/>
    <col min="8449" max="8449" width="24.5703125" style="1" customWidth="1"/>
    <col min="8450" max="8450" width="19.42578125" style="1" customWidth="1"/>
    <col min="8451" max="8451" width="12.85546875" style="1" customWidth="1"/>
    <col min="8452" max="8452" width="13.140625" style="1" customWidth="1"/>
    <col min="8453" max="8453" width="39.42578125" style="1" customWidth="1"/>
    <col min="8454" max="8704" width="8.85546875" style="1"/>
    <col min="8705" max="8705" width="24.5703125" style="1" customWidth="1"/>
    <col min="8706" max="8706" width="19.42578125" style="1" customWidth="1"/>
    <col min="8707" max="8707" width="12.85546875" style="1" customWidth="1"/>
    <col min="8708" max="8708" width="13.140625" style="1" customWidth="1"/>
    <col min="8709" max="8709" width="39.42578125" style="1" customWidth="1"/>
    <col min="8710" max="8960" width="8.85546875" style="1"/>
    <col min="8961" max="8961" width="24.5703125" style="1" customWidth="1"/>
    <col min="8962" max="8962" width="19.42578125" style="1" customWidth="1"/>
    <col min="8963" max="8963" width="12.85546875" style="1" customWidth="1"/>
    <col min="8964" max="8964" width="13.140625" style="1" customWidth="1"/>
    <col min="8965" max="8965" width="39.42578125" style="1" customWidth="1"/>
    <col min="8966" max="9216" width="8.85546875" style="1"/>
    <col min="9217" max="9217" width="24.5703125" style="1" customWidth="1"/>
    <col min="9218" max="9218" width="19.42578125" style="1" customWidth="1"/>
    <col min="9219" max="9219" width="12.85546875" style="1" customWidth="1"/>
    <col min="9220" max="9220" width="13.140625" style="1" customWidth="1"/>
    <col min="9221" max="9221" width="39.42578125" style="1" customWidth="1"/>
    <col min="9222" max="9472" width="8.85546875" style="1"/>
    <col min="9473" max="9473" width="24.5703125" style="1" customWidth="1"/>
    <col min="9474" max="9474" width="19.42578125" style="1" customWidth="1"/>
    <col min="9475" max="9475" width="12.85546875" style="1" customWidth="1"/>
    <col min="9476" max="9476" width="13.140625" style="1" customWidth="1"/>
    <col min="9477" max="9477" width="39.42578125" style="1" customWidth="1"/>
    <col min="9478" max="9728" width="8.85546875" style="1"/>
    <col min="9729" max="9729" width="24.5703125" style="1" customWidth="1"/>
    <col min="9730" max="9730" width="19.42578125" style="1" customWidth="1"/>
    <col min="9731" max="9731" width="12.85546875" style="1" customWidth="1"/>
    <col min="9732" max="9732" width="13.140625" style="1" customWidth="1"/>
    <col min="9733" max="9733" width="39.42578125" style="1" customWidth="1"/>
    <col min="9734" max="9984" width="8.85546875" style="1"/>
    <col min="9985" max="9985" width="24.5703125" style="1" customWidth="1"/>
    <col min="9986" max="9986" width="19.42578125" style="1" customWidth="1"/>
    <col min="9987" max="9987" width="12.85546875" style="1" customWidth="1"/>
    <col min="9988" max="9988" width="13.140625" style="1" customWidth="1"/>
    <col min="9989" max="9989" width="39.42578125" style="1" customWidth="1"/>
    <col min="9990" max="10240" width="8.85546875" style="1"/>
    <col min="10241" max="10241" width="24.5703125" style="1" customWidth="1"/>
    <col min="10242" max="10242" width="19.42578125" style="1" customWidth="1"/>
    <col min="10243" max="10243" width="12.85546875" style="1" customWidth="1"/>
    <col min="10244" max="10244" width="13.140625" style="1" customWidth="1"/>
    <col min="10245" max="10245" width="39.42578125" style="1" customWidth="1"/>
    <col min="10246" max="10496" width="8.85546875" style="1"/>
    <col min="10497" max="10497" width="24.5703125" style="1" customWidth="1"/>
    <col min="10498" max="10498" width="19.42578125" style="1" customWidth="1"/>
    <col min="10499" max="10499" width="12.85546875" style="1" customWidth="1"/>
    <col min="10500" max="10500" width="13.140625" style="1" customWidth="1"/>
    <col min="10501" max="10501" width="39.42578125" style="1" customWidth="1"/>
    <col min="10502" max="10752" width="8.85546875" style="1"/>
    <col min="10753" max="10753" width="24.5703125" style="1" customWidth="1"/>
    <col min="10754" max="10754" width="19.42578125" style="1" customWidth="1"/>
    <col min="10755" max="10755" width="12.85546875" style="1" customWidth="1"/>
    <col min="10756" max="10756" width="13.140625" style="1" customWidth="1"/>
    <col min="10757" max="10757" width="39.42578125" style="1" customWidth="1"/>
    <col min="10758" max="11008" width="8.85546875" style="1"/>
    <col min="11009" max="11009" width="24.5703125" style="1" customWidth="1"/>
    <col min="11010" max="11010" width="19.42578125" style="1" customWidth="1"/>
    <col min="11011" max="11011" width="12.85546875" style="1" customWidth="1"/>
    <col min="11012" max="11012" width="13.140625" style="1" customWidth="1"/>
    <col min="11013" max="11013" width="39.42578125" style="1" customWidth="1"/>
    <col min="11014" max="11264" width="8.85546875" style="1"/>
    <col min="11265" max="11265" width="24.5703125" style="1" customWidth="1"/>
    <col min="11266" max="11266" width="19.42578125" style="1" customWidth="1"/>
    <col min="11267" max="11267" width="12.85546875" style="1" customWidth="1"/>
    <col min="11268" max="11268" width="13.140625" style="1" customWidth="1"/>
    <col min="11269" max="11269" width="39.42578125" style="1" customWidth="1"/>
    <col min="11270" max="11520" width="8.85546875" style="1"/>
    <col min="11521" max="11521" width="24.5703125" style="1" customWidth="1"/>
    <col min="11522" max="11522" width="19.42578125" style="1" customWidth="1"/>
    <col min="11523" max="11523" width="12.85546875" style="1" customWidth="1"/>
    <col min="11524" max="11524" width="13.140625" style="1" customWidth="1"/>
    <col min="11525" max="11525" width="39.42578125" style="1" customWidth="1"/>
    <col min="11526" max="11776" width="8.85546875" style="1"/>
    <col min="11777" max="11777" width="24.5703125" style="1" customWidth="1"/>
    <col min="11778" max="11778" width="19.42578125" style="1" customWidth="1"/>
    <col min="11779" max="11779" width="12.85546875" style="1" customWidth="1"/>
    <col min="11780" max="11780" width="13.140625" style="1" customWidth="1"/>
    <col min="11781" max="11781" width="39.42578125" style="1" customWidth="1"/>
    <col min="11782" max="12032" width="8.85546875" style="1"/>
    <col min="12033" max="12033" width="24.5703125" style="1" customWidth="1"/>
    <col min="12034" max="12034" width="19.42578125" style="1" customWidth="1"/>
    <col min="12035" max="12035" width="12.85546875" style="1" customWidth="1"/>
    <col min="12036" max="12036" width="13.140625" style="1" customWidth="1"/>
    <col min="12037" max="12037" width="39.42578125" style="1" customWidth="1"/>
    <col min="12038" max="12288" width="8.85546875" style="1"/>
    <col min="12289" max="12289" width="24.5703125" style="1" customWidth="1"/>
    <col min="12290" max="12290" width="19.42578125" style="1" customWidth="1"/>
    <col min="12291" max="12291" width="12.85546875" style="1" customWidth="1"/>
    <col min="12292" max="12292" width="13.140625" style="1" customWidth="1"/>
    <col min="12293" max="12293" width="39.42578125" style="1" customWidth="1"/>
    <col min="12294" max="12544" width="8.85546875" style="1"/>
    <col min="12545" max="12545" width="24.5703125" style="1" customWidth="1"/>
    <col min="12546" max="12546" width="19.42578125" style="1" customWidth="1"/>
    <col min="12547" max="12547" width="12.85546875" style="1" customWidth="1"/>
    <col min="12548" max="12548" width="13.140625" style="1" customWidth="1"/>
    <col min="12549" max="12549" width="39.42578125" style="1" customWidth="1"/>
    <col min="12550" max="12800" width="8.85546875" style="1"/>
    <col min="12801" max="12801" width="24.5703125" style="1" customWidth="1"/>
    <col min="12802" max="12802" width="19.42578125" style="1" customWidth="1"/>
    <col min="12803" max="12803" width="12.85546875" style="1" customWidth="1"/>
    <col min="12804" max="12804" width="13.140625" style="1" customWidth="1"/>
    <col min="12805" max="12805" width="39.42578125" style="1" customWidth="1"/>
    <col min="12806" max="13056" width="8.85546875" style="1"/>
    <col min="13057" max="13057" width="24.5703125" style="1" customWidth="1"/>
    <col min="13058" max="13058" width="19.42578125" style="1" customWidth="1"/>
    <col min="13059" max="13059" width="12.85546875" style="1" customWidth="1"/>
    <col min="13060" max="13060" width="13.140625" style="1" customWidth="1"/>
    <col min="13061" max="13061" width="39.42578125" style="1" customWidth="1"/>
    <col min="13062" max="13312" width="8.85546875" style="1"/>
    <col min="13313" max="13313" width="24.5703125" style="1" customWidth="1"/>
    <col min="13314" max="13314" width="19.42578125" style="1" customWidth="1"/>
    <col min="13315" max="13315" width="12.85546875" style="1" customWidth="1"/>
    <col min="13316" max="13316" width="13.140625" style="1" customWidth="1"/>
    <col min="13317" max="13317" width="39.42578125" style="1" customWidth="1"/>
    <col min="13318" max="13568" width="8.85546875" style="1"/>
    <col min="13569" max="13569" width="24.5703125" style="1" customWidth="1"/>
    <col min="13570" max="13570" width="19.42578125" style="1" customWidth="1"/>
    <col min="13571" max="13571" width="12.85546875" style="1" customWidth="1"/>
    <col min="13572" max="13572" width="13.140625" style="1" customWidth="1"/>
    <col min="13573" max="13573" width="39.42578125" style="1" customWidth="1"/>
    <col min="13574" max="13824" width="8.85546875" style="1"/>
    <col min="13825" max="13825" width="24.5703125" style="1" customWidth="1"/>
    <col min="13826" max="13826" width="19.42578125" style="1" customWidth="1"/>
    <col min="13827" max="13827" width="12.85546875" style="1" customWidth="1"/>
    <col min="13828" max="13828" width="13.140625" style="1" customWidth="1"/>
    <col min="13829" max="13829" width="39.42578125" style="1" customWidth="1"/>
    <col min="13830" max="14080" width="8.85546875" style="1"/>
    <col min="14081" max="14081" width="24.5703125" style="1" customWidth="1"/>
    <col min="14082" max="14082" width="19.42578125" style="1" customWidth="1"/>
    <col min="14083" max="14083" width="12.85546875" style="1" customWidth="1"/>
    <col min="14084" max="14084" width="13.140625" style="1" customWidth="1"/>
    <col min="14085" max="14085" width="39.42578125" style="1" customWidth="1"/>
    <col min="14086" max="14336" width="8.85546875" style="1"/>
    <col min="14337" max="14337" width="24.5703125" style="1" customWidth="1"/>
    <col min="14338" max="14338" width="19.42578125" style="1" customWidth="1"/>
    <col min="14339" max="14339" width="12.85546875" style="1" customWidth="1"/>
    <col min="14340" max="14340" width="13.140625" style="1" customWidth="1"/>
    <col min="14341" max="14341" width="39.42578125" style="1" customWidth="1"/>
    <col min="14342" max="14592" width="8.85546875" style="1"/>
    <col min="14593" max="14593" width="24.5703125" style="1" customWidth="1"/>
    <col min="14594" max="14594" width="19.42578125" style="1" customWidth="1"/>
    <col min="14595" max="14595" width="12.85546875" style="1" customWidth="1"/>
    <col min="14596" max="14596" width="13.140625" style="1" customWidth="1"/>
    <col min="14597" max="14597" width="39.42578125" style="1" customWidth="1"/>
    <col min="14598" max="14848" width="8.85546875" style="1"/>
    <col min="14849" max="14849" width="24.5703125" style="1" customWidth="1"/>
    <col min="14850" max="14850" width="19.42578125" style="1" customWidth="1"/>
    <col min="14851" max="14851" width="12.85546875" style="1" customWidth="1"/>
    <col min="14852" max="14852" width="13.140625" style="1" customWidth="1"/>
    <col min="14853" max="14853" width="39.42578125" style="1" customWidth="1"/>
    <col min="14854" max="15104" width="8.85546875" style="1"/>
    <col min="15105" max="15105" width="24.5703125" style="1" customWidth="1"/>
    <col min="15106" max="15106" width="19.42578125" style="1" customWidth="1"/>
    <col min="15107" max="15107" width="12.85546875" style="1" customWidth="1"/>
    <col min="15108" max="15108" width="13.140625" style="1" customWidth="1"/>
    <col min="15109" max="15109" width="39.42578125" style="1" customWidth="1"/>
    <col min="15110" max="15360" width="8.85546875" style="1"/>
    <col min="15361" max="15361" width="24.5703125" style="1" customWidth="1"/>
    <col min="15362" max="15362" width="19.42578125" style="1" customWidth="1"/>
    <col min="15363" max="15363" width="12.85546875" style="1" customWidth="1"/>
    <col min="15364" max="15364" width="13.140625" style="1" customWidth="1"/>
    <col min="15365" max="15365" width="39.42578125" style="1" customWidth="1"/>
    <col min="15366" max="15616" width="8.85546875" style="1"/>
    <col min="15617" max="15617" width="24.5703125" style="1" customWidth="1"/>
    <col min="15618" max="15618" width="19.42578125" style="1" customWidth="1"/>
    <col min="15619" max="15619" width="12.85546875" style="1" customWidth="1"/>
    <col min="15620" max="15620" width="13.140625" style="1" customWidth="1"/>
    <col min="15621" max="15621" width="39.42578125" style="1" customWidth="1"/>
    <col min="15622" max="15872" width="8.85546875" style="1"/>
    <col min="15873" max="15873" width="24.5703125" style="1" customWidth="1"/>
    <col min="15874" max="15874" width="19.42578125" style="1" customWidth="1"/>
    <col min="15875" max="15875" width="12.85546875" style="1" customWidth="1"/>
    <col min="15876" max="15876" width="13.140625" style="1" customWidth="1"/>
    <col min="15877" max="15877" width="39.42578125" style="1" customWidth="1"/>
    <col min="15878" max="16128" width="8.85546875" style="1"/>
    <col min="16129" max="16129" width="24.5703125" style="1" customWidth="1"/>
    <col min="16130" max="16130" width="19.42578125" style="1" customWidth="1"/>
    <col min="16131" max="16131" width="12.85546875" style="1" customWidth="1"/>
    <col min="16132" max="16132" width="13.140625" style="1" customWidth="1"/>
    <col min="16133" max="16133" width="39.42578125" style="1" customWidth="1"/>
    <col min="16134" max="16384" width="8.85546875" style="1"/>
  </cols>
  <sheetData>
    <row r="1" spans="1:5" x14ac:dyDescent="0.25">
      <c r="B1" s="326" t="s">
        <v>692</v>
      </c>
    </row>
    <row r="2" spans="1:5" ht="15.75" x14ac:dyDescent="0.25">
      <c r="A2" s="166" t="s">
        <v>344</v>
      </c>
      <c r="B2" s="165"/>
      <c r="C2" s="165"/>
      <c r="D2" s="165"/>
      <c r="E2" s="165"/>
    </row>
    <row r="3" spans="1:5" ht="15.75" x14ac:dyDescent="0.25">
      <c r="A3" s="150"/>
      <c r="B3" s="150"/>
      <c r="C3" s="150"/>
      <c r="D3" s="150"/>
      <c r="E3" s="150"/>
    </row>
    <row r="4" spans="1:5" ht="15.75" x14ac:dyDescent="0.25">
      <c r="A4" s="187" t="s">
        <v>320</v>
      </c>
      <c r="B4" s="444" t="s">
        <v>345</v>
      </c>
      <c r="C4" s="444"/>
      <c r="D4" s="444"/>
      <c r="E4" s="444"/>
    </row>
    <row r="5" spans="1:5" ht="15" customHeight="1" x14ac:dyDescent="0.25">
      <c r="A5" s="188" t="s">
        <v>318</v>
      </c>
      <c r="B5" s="445" t="s">
        <v>317</v>
      </c>
      <c r="C5" s="445"/>
      <c r="D5" s="445"/>
      <c r="E5" s="445"/>
    </row>
    <row r="6" spans="1:5" ht="15.75" x14ac:dyDescent="0.25">
      <c r="A6" s="187" t="s">
        <v>316</v>
      </c>
      <c r="B6" s="444" t="s">
        <v>346</v>
      </c>
      <c r="C6" s="444"/>
      <c r="D6" s="444"/>
      <c r="E6" s="444"/>
    </row>
    <row r="7" spans="1:5" ht="15.75" x14ac:dyDescent="0.25">
      <c r="A7" s="187" t="s">
        <v>314</v>
      </c>
      <c r="B7" s="444" t="s">
        <v>347</v>
      </c>
      <c r="C7" s="444"/>
      <c r="D7" s="444"/>
      <c r="E7" s="444"/>
    </row>
    <row r="8" spans="1:5" ht="15.75" x14ac:dyDescent="0.25">
      <c r="A8" s="187" t="s">
        <v>348</v>
      </c>
      <c r="B8" s="444" t="s">
        <v>349</v>
      </c>
      <c r="C8" s="444"/>
      <c r="D8" s="444"/>
      <c r="E8" s="444"/>
    </row>
    <row r="9" spans="1:5" ht="15.75" x14ac:dyDescent="0.25">
      <c r="A9" s="187" t="s">
        <v>310</v>
      </c>
      <c r="B9" s="444">
        <v>3</v>
      </c>
      <c r="C9" s="444"/>
      <c r="D9" s="444"/>
      <c r="E9" s="444"/>
    </row>
    <row r="10" spans="1:5" ht="15.75" x14ac:dyDescent="0.25">
      <c r="A10" s="150"/>
      <c r="B10" s="150"/>
      <c r="C10" s="150"/>
      <c r="D10" s="150"/>
      <c r="E10" s="150"/>
    </row>
    <row r="11" spans="1:5" ht="15.75" x14ac:dyDescent="0.25">
      <c r="A11" s="452" t="s">
        <v>350</v>
      </c>
      <c r="B11" s="452"/>
      <c r="C11" s="452"/>
      <c r="D11" s="452"/>
      <c r="E11" s="452"/>
    </row>
    <row r="12" spans="1:5" ht="15.75" x14ac:dyDescent="0.25">
      <c r="A12" s="475" t="s">
        <v>304</v>
      </c>
      <c r="B12" s="477"/>
      <c r="C12" s="452" t="s">
        <v>308</v>
      </c>
      <c r="D12" s="452"/>
      <c r="E12" s="452"/>
    </row>
    <row r="13" spans="1:5" ht="15.75" x14ac:dyDescent="0.25">
      <c r="A13" s="483"/>
      <c r="B13" s="484"/>
      <c r="C13" s="444" t="s">
        <v>345</v>
      </c>
      <c r="D13" s="444"/>
      <c r="E13" s="444"/>
    </row>
    <row r="14" spans="1:5" ht="15.75" x14ac:dyDescent="0.25">
      <c r="A14" s="150"/>
      <c r="B14" s="150"/>
      <c r="C14" s="150"/>
      <c r="D14" s="150"/>
      <c r="E14" s="150"/>
    </row>
    <row r="15" spans="1:5" ht="15.75" x14ac:dyDescent="0.25">
      <c r="A15" s="162" t="s">
        <v>300</v>
      </c>
      <c r="B15" s="162" t="s">
        <v>299</v>
      </c>
      <c r="C15" s="162" t="s">
        <v>298</v>
      </c>
      <c r="D15" s="162" t="s">
        <v>297</v>
      </c>
      <c r="E15" s="162" t="s">
        <v>296</v>
      </c>
    </row>
    <row r="16" spans="1:5" ht="31.5" x14ac:dyDescent="0.25">
      <c r="A16" s="35" t="s">
        <v>68</v>
      </c>
      <c r="B16" s="24">
        <v>42</v>
      </c>
      <c r="C16" s="24">
        <v>2</v>
      </c>
      <c r="D16" s="24">
        <v>2</v>
      </c>
      <c r="E16" s="24" t="s">
        <v>440</v>
      </c>
    </row>
    <row r="17" spans="1:5" ht="15.75" x14ac:dyDescent="0.25">
      <c r="A17" s="189"/>
      <c r="B17" s="190"/>
      <c r="C17" s="190"/>
      <c r="D17" s="190"/>
      <c r="E17" s="190"/>
    </row>
    <row r="18" spans="1:5" ht="15.75" x14ac:dyDescent="0.25">
      <c r="A18" s="446" t="s">
        <v>293</v>
      </c>
      <c r="B18" s="447"/>
      <c r="C18" s="447"/>
      <c r="D18" s="447"/>
      <c r="E18" s="448"/>
    </row>
    <row r="19" spans="1:5" x14ac:dyDescent="0.25">
      <c r="A19" s="517" t="s">
        <v>351</v>
      </c>
      <c r="B19" s="518"/>
      <c r="C19" s="518"/>
      <c r="D19" s="518"/>
      <c r="E19" s="519"/>
    </row>
    <row r="20" spans="1:5" x14ac:dyDescent="0.25">
      <c r="A20" s="520"/>
      <c r="B20" s="521"/>
      <c r="C20" s="521"/>
      <c r="D20" s="521"/>
      <c r="E20" s="522"/>
    </row>
    <row r="21" spans="1:5" ht="15.75" x14ac:dyDescent="0.25">
      <c r="A21" s="446" t="s">
        <v>292</v>
      </c>
      <c r="B21" s="447"/>
      <c r="C21" s="447"/>
      <c r="D21" s="447"/>
      <c r="E21" s="448"/>
    </row>
    <row r="22" spans="1:5" ht="15.75" x14ac:dyDescent="0.25">
      <c r="A22" s="153"/>
      <c r="B22" s="152"/>
      <c r="C22" s="152"/>
      <c r="D22" s="152"/>
      <c r="E22" s="151"/>
    </row>
    <row r="23" spans="1:5" x14ac:dyDescent="0.25">
      <c r="A23" s="523" t="s">
        <v>352</v>
      </c>
      <c r="B23" s="524"/>
      <c r="C23" s="524"/>
      <c r="D23" s="524"/>
      <c r="E23" s="525"/>
    </row>
    <row r="24" spans="1:5" x14ac:dyDescent="0.25">
      <c r="A24" s="526"/>
      <c r="B24" s="527"/>
      <c r="C24" s="527"/>
      <c r="D24" s="527"/>
      <c r="E24" s="528"/>
    </row>
    <row r="25" spans="1:5" x14ac:dyDescent="0.25">
      <c r="A25" s="526"/>
      <c r="B25" s="527"/>
      <c r="C25" s="527"/>
      <c r="D25" s="527"/>
      <c r="E25" s="528"/>
    </row>
    <row r="26" spans="1:5" ht="69.95" customHeight="1" x14ac:dyDescent="0.25">
      <c r="A26" s="529"/>
      <c r="B26" s="530"/>
      <c r="C26" s="530"/>
      <c r="D26" s="530"/>
      <c r="E26" s="531"/>
    </row>
    <row r="27" spans="1:5" ht="15.75" x14ac:dyDescent="0.25">
      <c r="A27" s="446" t="s">
        <v>353</v>
      </c>
      <c r="B27" s="447"/>
      <c r="C27" s="447"/>
      <c r="D27" s="447"/>
      <c r="E27" s="448"/>
    </row>
    <row r="28" spans="1:5" ht="29.1" customHeight="1" x14ac:dyDescent="0.25">
      <c r="A28" s="449" t="s">
        <v>354</v>
      </c>
      <c r="B28" s="532"/>
      <c r="C28" s="532"/>
      <c r="D28" s="532"/>
      <c r="E28" s="533"/>
    </row>
    <row r="29" spans="1:5" ht="15.75" x14ac:dyDescent="0.25">
      <c r="A29" s="150"/>
      <c r="B29" s="150"/>
      <c r="C29" s="150"/>
      <c r="D29" s="150"/>
      <c r="E29" s="150"/>
    </row>
    <row r="30" spans="1:5" ht="15.75" x14ac:dyDescent="0.25">
      <c r="A30" s="446" t="s">
        <v>355</v>
      </c>
      <c r="B30" s="447"/>
      <c r="C30" s="447"/>
      <c r="D30" s="447"/>
      <c r="E30" s="448"/>
    </row>
    <row r="31" spans="1:5" ht="15.75" x14ac:dyDescent="0.25">
      <c r="A31" s="494" t="s">
        <v>146</v>
      </c>
      <c r="B31" s="495"/>
      <c r="C31" s="495"/>
      <c r="D31" s="495"/>
      <c r="E31" s="496"/>
    </row>
    <row r="32" spans="1:5" ht="15.75" x14ac:dyDescent="0.25">
      <c r="A32" s="494" t="s">
        <v>16</v>
      </c>
      <c r="B32" s="495"/>
      <c r="C32" s="495"/>
      <c r="D32" s="495"/>
      <c r="E32" s="496"/>
    </row>
    <row r="33" spans="1:5" ht="15.75" x14ac:dyDescent="0.25">
      <c r="A33" s="494" t="s">
        <v>356</v>
      </c>
      <c r="B33" s="495"/>
      <c r="C33" s="495"/>
      <c r="D33" s="495"/>
      <c r="E33" s="496"/>
    </row>
    <row r="34" spans="1:5" ht="15.75" x14ac:dyDescent="0.25">
      <c r="A34" s="494" t="s">
        <v>357</v>
      </c>
      <c r="B34" s="495"/>
      <c r="C34" s="495"/>
      <c r="D34" s="495"/>
      <c r="E34" s="496"/>
    </row>
    <row r="35" spans="1:5" ht="15.75" x14ac:dyDescent="0.25">
      <c r="A35" s="494" t="s">
        <v>358</v>
      </c>
      <c r="B35" s="495"/>
      <c r="C35" s="495"/>
      <c r="D35" s="495"/>
      <c r="E35" s="496"/>
    </row>
    <row r="36" spans="1:5" ht="15.75" x14ac:dyDescent="0.25">
      <c r="A36" s="460" t="s">
        <v>359</v>
      </c>
      <c r="B36" s="460"/>
      <c r="C36" s="460"/>
      <c r="D36" s="460"/>
      <c r="E36" s="460"/>
    </row>
    <row r="37" spans="1:5" ht="15.75" x14ac:dyDescent="0.25">
      <c r="A37" s="150"/>
      <c r="B37" s="150"/>
      <c r="C37" s="150"/>
      <c r="D37" s="150"/>
      <c r="E37" s="150"/>
    </row>
    <row r="38" spans="1:5" ht="15.75" x14ac:dyDescent="0.25">
      <c r="A38" s="446" t="s">
        <v>282</v>
      </c>
      <c r="B38" s="447"/>
      <c r="C38" s="447"/>
      <c r="D38" s="447"/>
      <c r="E38" s="448"/>
    </row>
    <row r="39" spans="1:5" ht="408.95" customHeight="1" x14ac:dyDescent="0.25">
      <c r="A39" s="514" t="s">
        <v>360</v>
      </c>
      <c r="B39" s="515"/>
      <c r="C39" s="515"/>
      <c r="D39" s="515"/>
      <c r="E39" s="516"/>
    </row>
    <row r="40" spans="1:5" ht="15.75" x14ac:dyDescent="0.25">
      <c r="A40" s="160"/>
      <c r="B40" s="191"/>
      <c r="C40" s="191"/>
      <c r="D40" s="191"/>
      <c r="E40" s="191"/>
    </row>
    <row r="41" spans="1:5" ht="15.75" x14ac:dyDescent="0.25">
      <c r="A41" s="446" t="s">
        <v>280</v>
      </c>
      <c r="B41" s="447"/>
      <c r="C41" s="447"/>
      <c r="D41" s="447"/>
      <c r="E41" s="448"/>
    </row>
    <row r="42" spans="1:5" ht="15.75" x14ac:dyDescent="0.25">
      <c r="A42" s="192" t="s">
        <v>361</v>
      </c>
      <c r="B42" s="468" t="s">
        <v>362</v>
      </c>
      <c r="C42" s="468"/>
      <c r="D42" s="468"/>
      <c r="E42" s="468"/>
    </row>
    <row r="43" spans="1:5" ht="15.75" x14ac:dyDescent="0.25">
      <c r="A43" s="192" t="s">
        <v>363</v>
      </c>
      <c r="B43" s="468" t="s">
        <v>364</v>
      </c>
      <c r="C43" s="468"/>
      <c r="D43" s="468"/>
      <c r="E43" s="468"/>
    </row>
    <row r="44" spans="1:5" ht="15.75" x14ac:dyDescent="0.25">
      <c r="A44" s="192" t="s">
        <v>365</v>
      </c>
      <c r="B44" s="464" t="s">
        <v>366</v>
      </c>
      <c r="C44" s="450"/>
      <c r="D44" s="450"/>
      <c r="E44" s="451"/>
    </row>
    <row r="45" spans="1:5" ht="15.75" x14ac:dyDescent="0.25">
      <c r="A45" s="150"/>
      <c r="B45" s="150"/>
      <c r="C45" s="150"/>
      <c r="D45" s="150"/>
      <c r="E45" s="150"/>
    </row>
    <row r="46" spans="1:5" ht="15.75" x14ac:dyDescent="0.25">
      <c r="A46" s="446" t="s">
        <v>276</v>
      </c>
      <c r="B46" s="447"/>
      <c r="C46" s="447"/>
      <c r="D46" s="447"/>
      <c r="E46" s="448"/>
    </row>
    <row r="47" spans="1:5" ht="15.75" x14ac:dyDescent="0.25">
      <c r="A47" s="464" t="s">
        <v>367</v>
      </c>
      <c r="B47" s="450"/>
      <c r="C47" s="450"/>
      <c r="D47" s="450"/>
      <c r="E47" s="451"/>
    </row>
    <row r="48" spans="1:5" ht="15.75" x14ac:dyDescent="0.25">
      <c r="A48" s="150"/>
      <c r="B48" s="150"/>
      <c r="C48" s="150"/>
      <c r="D48" s="150"/>
      <c r="E48" s="150"/>
    </row>
    <row r="49" spans="1:5" ht="15.75" x14ac:dyDescent="0.25">
      <c r="A49" s="446" t="s">
        <v>274</v>
      </c>
      <c r="B49" s="447"/>
      <c r="C49" s="447"/>
      <c r="D49" s="447"/>
      <c r="E49" s="448"/>
    </row>
    <row r="50" spans="1:5" ht="15.75" x14ac:dyDescent="0.25">
      <c r="A50" s="155" t="s">
        <v>273</v>
      </c>
      <c r="B50" s="155" t="s">
        <v>272</v>
      </c>
      <c r="C50" s="446" t="s">
        <v>271</v>
      </c>
      <c r="D50" s="447"/>
      <c r="E50" s="448"/>
    </row>
    <row r="51" spans="1:5" ht="15.75" x14ac:dyDescent="0.25">
      <c r="A51" s="193" t="s">
        <v>368</v>
      </c>
      <c r="B51" s="193"/>
      <c r="C51" s="464" t="s">
        <v>369</v>
      </c>
      <c r="D51" s="450"/>
      <c r="E51" s="451"/>
    </row>
    <row r="52" spans="1:5" ht="15.75" x14ac:dyDescent="0.25">
      <c r="A52" s="193" t="s">
        <v>370</v>
      </c>
      <c r="B52" s="193"/>
      <c r="C52" s="464" t="s">
        <v>371</v>
      </c>
      <c r="D52" s="450"/>
      <c r="E52" s="451"/>
    </row>
    <row r="53" spans="1:5" ht="15.75" x14ac:dyDescent="0.25">
      <c r="A53" s="161"/>
      <c r="B53" s="161"/>
      <c r="C53" s="491"/>
      <c r="D53" s="492"/>
      <c r="E53" s="493"/>
    </row>
    <row r="54" spans="1:5" ht="15.75" x14ac:dyDescent="0.25">
      <c r="A54" s="150"/>
      <c r="B54" s="150"/>
      <c r="C54" s="150"/>
      <c r="D54" s="150"/>
      <c r="E54" s="150"/>
    </row>
    <row r="55" spans="1:5" ht="15.75" x14ac:dyDescent="0.25">
      <c r="A55" s="446" t="s">
        <v>266</v>
      </c>
      <c r="B55" s="447"/>
      <c r="C55" s="447"/>
      <c r="D55" s="447"/>
      <c r="E55" s="448"/>
    </row>
    <row r="56" spans="1:5" ht="15.75" x14ac:dyDescent="0.25">
      <c r="A56" s="488"/>
      <c r="B56" s="489"/>
      <c r="C56" s="489"/>
      <c r="D56" s="489"/>
      <c r="E56" s="490"/>
    </row>
    <row r="57" spans="1:5" ht="15.75" x14ac:dyDescent="0.25">
      <c r="A57" s="150"/>
      <c r="B57" s="150"/>
      <c r="C57" s="150"/>
      <c r="D57" s="150"/>
      <c r="E57" s="150"/>
    </row>
    <row r="58" spans="1:5" ht="15.75" x14ac:dyDescent="0.25">
      <c r="A58" s="446" t="s">
        <v>372</v>
      </c>
      <c r="B58" s="447"/>
      <c r="C58" s="447"/>
      <c r="D58" s="447"/>
      <c r="E58" s="448"/>
    </row>
    <row r="59" spans="1:5" ht="15.75" x14ac:dyDescent="0.25">
      <c r="A59" s="488"/>
      <c r="B59" s="489"/>
      <c r="C59" s="489"/>
      <c r="D59" s="489"/>
      <c r="E59" s="490"/>
    </row>
  </sheetData>
  <mergeCells count="41">
    <mergeCell ref="A18:E18"/>
    <mergeCell ref="B4:E4"/>
    <mergeCell ref="B5:E5"/>
    <mergeCell ref="B6:E6"/>
    <mergeCell ref="B7:E7"/>
    <mergeCell ref="B8:E8"/>
    <mergeCell ref="B9:E9"/>
    <mergeCell ref="A11:E11"/>
    <mergeCell ref="A12:B12"/>
    <mergeCell ref="C12:E12"/>
    <mergeCell ref="A13:B13"/>
    <mergeCell ref="C13:E13"/>
    <mergeCell ref="A36:E36"/>
    <mergeCell ref="A19:E20"/>
    <mergeCell ref="A21:E21"/>
    <mergeCell ref="A23:E26"/>
    <mergeCell ref="A27:E27"/>
    <mergeCell ref="A28:E28"/>
    <mergeCell ref="A30:E30"/>
    <mergeCell ref="A31:E31"/>
    <mergeCell ref="A32:E32"/>
    <mergeCell ref="A33:E33"/>
    <mergeCell ref="A34:E34"/>
    <mergeCell ref="A35:E35"/>
    <mergeCell ref="C52:E52"/>
    <mergeCell ref="A38:E38"/>
    <mergeCell ref="A39:E39"/>
    <mergeCell ref="A41:E41"/>
    <mergeCell ref="B42:E42"/>
    <mergeCell ref="B43:E43"/>
    <mergeCell ref="B44:E44"/>
    <mergeCell ref="A46:E46"/>
    <mergeCell ref="A47:E47"/>
    <mergeCell ref="A49:E49"/>
    <mergeCell ref="C50:E50"/>
    <mergeCell ref="C51:E51"/>
    <mergeCell ref="C53:E53"/>
    <mergeCell ref="A55:E55"/>
    <mergeCell ref="A56:E56"/>
    <mergeCell ref="A58:E58"/>
    <mergeCell ref="A59:E59"/>
  </mergeCells>
  <hyperlinks>
    <hyperlink ref="B1" location="'Schéma d''enseignement'!G17" display="Schéma d'enseignement"/>
  </hyperlink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G53"/>
  <sheetViews>
    <sheetView workbookViewId="0">
      <selection activeCell="B1" sqref="B1"/>
    </sheetView>
  </sheetViews>
  <sheetFormatPr baseColWidth="10" defaultColWidth="9.140625" defaultRowHeight="15.75" x14ac:dyDescent="0.25"/>
  <cols>
    <col min="1" max="1" width="1.140625" style="149" customWidth="1"/>
    <col min="2" max="2" width="29.42578125" style="149" customWidth="1"/>
    <col min="3" max="3" width="15.5703125" style="149" customWidth="1"/>
    <col min="4" max="4" width="11.85546875" style="149" customWidth="1"/>
    <col min="5" max="5" width="7" style="149" customWidth="1"/>
    <col min="6" max="6" width="32.5703125" style="149" customWidth="1"/>
    <col min="7" max="7" width="8.140625" style="149" customWidth="1"/>
    <col min="8" max="8" width="20.140625" style="149" customWidth="1"/>
    <col min="9" max="9" width="119.85546875" style="149" customWidth="1"/>
    <col min="10" max="10" width="11.5703125" style="149" customWidth="1"/>
    <col min="11" max="11" width="128.140625" style="149" customWidth="1"/>
    <col min="12" max="256" width="11.5703125" style="149" customWidth="1"/>
    <col min="257" max="257" width="1.140625" style="149" customWidth="1"/>
    <col min="258" max="258" width="29.42578125" style="149" customWidth="1"/>
    <col min="259" max="259" width="15.5703125" style="149" customWidth="1"/>
    <col min="260" max="260" width="11.85546875" style="149" customWidth="1"/>
    <col min="261" max="261" width="7" style="149" customWidth="1"/>
    <col min="262" max="262" width="32.5703125" style="149" customWidth="1"/>
    <col min="263" max="263" width="8.140625" style="149" customWidth="1"/>
    <col min="264" max="264" width="20.140625" style="149" customWidth="1"/>
    <col min="265" max="265" width="119.85546875" style="149" customWidth="1"/>
    <col min="266" max="266" width="11.5703125" style="149" customWidth="1"/>
    <col min="267" max="267" width="128.140625" style="149" customWidth="1"/>
    <col min="268" max="512" width="11.5703125" style="149" customWidth="1"/>
    <col min="513" max="513" width="1.140625" style="149" customWidth="1"/>
    <col min="514" max="514" width="29.42578125" style="149" customWidth="1"/>
    <col min="515" max="515" width="15.5703125" style="149" customWidth="1"/>
    <col min="516" max="516" width="11.85546875" style="149" customWidth="1"/>
    <col min="517" max="517" width="7" style="149" customWidth="1"/>
    <col min="518" max="518" width="32.5703125" style="149" customWidth="1"/>
    <col min="519" max="519" width="8.140625" style="149" customWidth="1"/>
    <col min="520" max="520" width="20.140625" style="149" customWidth="1"/>
    <col min="521" max="521" width="119.85546875" style="149" customWidth="1"/>
    <col min="522" max="522" width="11.5703125" style="149" customWidth="1"/>
    <col min="523" max="523" width="128.140625" style="149" customWidth="1"/>
    <col min="524" max="768" width="11.5703125" style="149" customWidth="1"/>
    <col min="769" max="769" width="1.140625" style="149" customWidth="1"/>
    <col min="770" max="770" width="29.42578125" style="149" customWidth="1"/>
    <col min="771" max="771" width="15.5703125" style="149" customWidth="1"/>
    <col min="772" max="772" width="11.85546875" style="149" customWidth="1"/>
    <col min="773" max="773" width="7" style="149" customWidth="1"/>
    <col min="774" max="774" width="32.5703125" style="149" customWidth="1"/>
    <col min="775" max="775" width="8.140625" style="149" customWidth="1"/>
    <col min="776" max="776" width="20.140625" style="149" customWidth="1"/>
    <col min="777" max="777" width="119.85546875" style="149" customWidth="1"/>
    <col min="778" max="778" width="11.5703125" style="149" customWidth="1"/>
    <col min="779" max="779" width="128.140625" style="149" customWidth="1"/>
    <col min="780" max="1024" width="11.5703125" style="149" customWidth="1"/>
    <col min="1025" max="1025" width="1.140625" style="149" customWidth="1"/>
    <col min="1026" max="1026" width="29.42578125" style="149" customWidth="1"/>
    <col min="1027" max="1027" width="15.5703125" style="149" customWidth="1"/>
    <col min="1028" max="1028" width="11.85546875" style="149" customWidth="1"/>
    <col min="1029" max="1029" width="7" style="149" customWidth="1"/>
    <col min="1030" max="1030" width="32.5703125" style="149" customWidth="1"/>
    <col min="1031" max="1031" width="8.140625" style="149" customWidth="1"/>
    <col min="1032" max="1032" width="20.140625" style="149" customWidth="1"/>
    <col min="1033" max="1033" width="119.85546875" style="149" customWidth="1"/>
    <col min="1034" max="1034" width="11.5703125" style="149" customWidth="1"/>
    <col min="1035" max="1035" width="128.140625" style="149" customWidth="1"/>
    <col min="1036" max="1280" width="11.5703125" style="149" customWidth="1"/>
    <col min="1281" max="1281" width="1.140625" style="149" customWidth="1"/>
    <col min="1282" max="1282" width="29.42578125" style="149" customWidth="1"/>
    <col min="1283" max="1283" width="15.5703125" style="149" customWidth="1"/>
    <col min="1284" max="1284" width="11.85546875" style="149" customWidth="1"/>
    <col min="1285" max="1285" width="7" style="149" customWidth="1"/>
    <col min="1286" max="1286" width="32.5703125" style="149" customWidth="1"/>
    <col min="1287" max="1287" width="8.140625" style="149" customWidth="1"/>
    <col min="1288" max="1288" width="20.140625" style="149" customWidth="1"/>
    <col min="1289" max="1289" width="119.85546875" style="149" customWidth="1"/>
    <col min="1290" max="1290" width="11.5703125" style="149" customWidth="1"/>
    <col min="1291" max="1291" width="128.140625" style="149" customWidth="1"/>
    <col min="1292" max="1536" width="11.5703125" style="149" customWidth="1"/>
    <col min="1537" max="1537" width="1.140625" style="149" customWidth="1"/>
    <col min="1538" max="1538" width="29.42578125" style="149" customWidth="1"/>
    <col min="1539" max="1539" width="15.5703125" style="149" customWidth="1"/>
    <col min="1540" max="1540" width="11.85546875" style="149" customWidth="1"/>
    <col min="1541" max="1541" width="7" style="149" customWidth="1"/>
    <col min="1542" max="1542" width="32.5703125" style="149" customWidth="1"/>
    <col min="1543" max="1543" width="8.140625" style="149" customWidth="1"/>
    <col min="1544" max="1544" width="20.140625" style="149" customWidth="1"/>
    <col min="1545" max="1545" width="119.85546875" style="149" customWidth="1"/>
    <col min="1546" max="1546" width="11.5703125" style="149" customWidth="1"/>
    <col min="1547" max="1547" width="128.140625" style="149" customWidth="1"/>
    <col min="1548" max="1792" width="11.5703125" style="149" customWidth="1"/>
    <col min="1793" max="1793" width="1.140625" style="149" customWidth="1"/>
    <col min="1794" max="1794" width="29.42578125" style="149" customWidth="1"/>
    <col min="1795" max="1795" width="15.5703125" style="149" customWidth="1"/>
    <col min="1796" max="1796" width="11.85546875" style="149" customWidth="1"/>
    <col min="1797" max="1797" width="7" style="149" customWidth="1"/>
    <col min="1798" max="1798" width="32.5703125" style="149" customWidth="1"/>
    <col min="1799" max="1799" width="8.140625" style="149" customWidth="1"/>
    <col min="1800" max="1800" width="20.140625" style="149" customWidth="1"/>
    <col min="1801" max="1801" width="119.85546875" style="149" customWidth="1"/>
    <col min="1802" max="1802" width="11.5703125" style="149" customWidth="1"/>
    <col min="1803" max="1803" width="128.140625" style="149" customWidth="1"/>
    <col min="1804" max="2048" width="11.5703125" style="149" customWidth="1"/>
    <col min="2049" max="2049" width="1.140625" style="149" customWidth="1"/>
    <col min="2050" max="2050" width="29.42578125" style="149" customWidth="1"/>
    <col min="2051" max="2051" width="15.5703125" style="149" customWidth="1"/>
    <col min="2052" max="2052" width="11.85546875" style="149" customWidth="1"/>
    <col min="2053" max="2053" width="7" style="149" customWidth="1"/>
    <col min="2054" max="2054" width="32.5703125" style="149" customWidth="1"/>
    <col min="2055" max="2055" width="8.140625" style="149" customWidth="1"/>
    <col min="2056" max="2056" width="20.140625" style="149" customWidth="1"/>
    <col min="2057" max="2057" width="119.85546875" style="149" customWidth="1"/>
    <col min="2058" max="2058" width="11.5703125" style="149" customWidth="1"/>
    <col min="2059" max="2059" width="128.140625" style="149" customWidth="1"/>
    <col min="2060" max="2304" width="11.5703125" style="149" customWidth="1"/>
    <col min="2305" max="2305" width="1.140625" style="149" customWidth="1"/>
    <col min="2306" max="2306" width="29.42578125" style="149" customWidth="1"/>
    <col min="2307" max="2307" width="15.5703125" style="149" customWidth="1"/>
    <col min="2308" max="2308" width="11.85546875" style="149" customWidth="1"/>
    <col min="2309" max="2309" width="7" style="149" customWidth="1"/>
    <col min="2310" max="2310" width="32.5703125" style="149" customWidth="1"/>
    <col min="2311" max="2311" width="8.140625" style="149" customWidth="1"/>
    <col min="2312" max="2312" width="20.140625" style="149" customWidth="1"/>
    <col min="2313" max="2313" width="119.85546875" style="149" customWidth="1"/>
    <col min="2314" max="2314" width="11.5703125" style="149" customWidth="1"/>
    <col min="2315" max="2315" width="128.140625" style="149" customWidth="1"/>
    <col min="2316" max="2560" width="11.5703125" style="149" customWidth="1"/>
    <col min="2561" max="2561" width="1.140625" style="149" customWidth="1"/>
    <col min="2562" max="2562" width="29.42578125" style="149" customWidth="1"/>
    <col min="2563" max="2563" width="15.5703125" style="149" customWidth="1"/>
    <col min="2564" max="2564" width="11.85546875" style="149" customWidth="1"/>
    <col min="2565" max="2565" width="7" style="149" customWidth="1"/>
    <col min="2566" max="2566" width="32.5703125" style="149" customWidth="1"/>
    <col min="2567" max="2567" width="8.140625" style="149" customWidth="1"/>
    <col min="2568" max="2568" width="20.140625" style="149" customWidth="1"/>
    <col min="2569" max="2569" width="119.85546875" style="149" customWidth="1"/>
    <col min="2570" max="2570" width="11.5703125" style="149" customWidth="1"/>
    <col min="2571" max="2571" width="128.140625" style="149" customWidth="1"/>
    <col min="2572" max="2816" width="11.5703125" style="149" customWidth="1"/>
    <col min="2817" max="2817" width="1.140625" style="149" customWidth="1"/>
    <col min="2818" max="2818" width="29.42578125" style="149" customWidth="1"/>
    <col min="2819" max="2819" width="15.5703125" style="149" customWidth="1"/>
    <col min="2820" max="2820" width="11.85546875" style="149" customWidth="1"/>
    <col min="2821" max="2821" width="7" style="149" customWidth="1"/>
    <col min="2822" max="2822" width="32.5703125" style="149" customWidth="1"/>
    <col min="2823" max="2823" width="8.140625" style="149" customWidth="1"/>
    <col min="2824" max="2824" width="20.140625" style="149" customWidth="1"/>
    <col min="2825" max="2825" width="119.85546875" style="149" customWidth="1"/>
    <col min="2826" max="2826" width="11.5703125" style="149" customWidth="1"/>
    <col min="2827" max="2827" width="128.140625" style="149" customWidth="1"/>
    <col min="2828" max="3072" width="11.5703125" style="149" customWidth="1"/>
    <col min="3073" max="3073" width="1.140625" style="149" customWidth="1"/>
    <col min="3074" max="3074" width="29.42578125" style="149" customWidth="1"/>
    <col min="3075" max="3075" width="15.5703125" style="149" customWidth="1"/>
    <col min="3076" max="3076" width="11.85546875" style="149" customWidth="1"/>
    <col min="3077" max="3077" width="7" style="149" customWidth="1"/>
    <col min="3078" max="3078" width="32.5703125" style="149" customWidth="1"/>
    <col min="3079" max="3079" width="8.140625" style="149" customWidth="1"/>
    <col min="3080" max="3080" width="20.140625" style="149" customWidth="1"/>
    <col min="3081" max="3081" width="119.85546875" style="149" customWidth="1"/>
    <col min="3082" max="3082" width="11.5703125" style="149" customWidth="1"/>
    <col min="3083" max="3083" width="128.140625" style="149" customWidth="1"/>
    <col min="3084" max="3328" width="11.5703125" style="149" customWidth="1"/>
    <col min="3329" max="3329" width="1.140625" style="149" customWidth="1"/>
    <col min="3330" max="3330" width="29.42578125" style="149" customWidth="1"/>
    <col min="3331" max="3331" width="15.5703125" style="149" customWidth="1"/>
    <col min="3332" max="3332" width="11.85546875" style="149" customWidth="1"/>
    <col min="3333" max="3333" width="7" style="149" customWidth="1"/>
    <col min="3334" max="3334" width="32.5703125" style="149" customWidth="1"/>
    <col min="3335" max="3335" width="8.140625" style="149" customWidth="1"/>
    <col min="3336" max="3336" width="20.140625" style="149" customWidth="1"/>
    <col min="3337" max="3337" width="119.85546875" style="149" customWidth="1"/>
    <col min="3338" max="3338" width="11.5703125" style="149" customWidth="1"/>
    <col min="3339" max="3339" width="128.140625" style="149" customWidth="1"/>
    <col min="3340" max="3584" width="11.5703125" style="149" customWidth="1"/>
    <col min="3585" max="3585" width="1.140625" style="149" customWidth="1"/>
    <col min="3586" max="3586" width="29.42578125" style="149" customWidth="1"/>
    <col min="3587" max="3587" width="15.5703125" style="149" customWidth="1"/>
    <col min="3588" max="3588" width="11.85546875" style="149" customWidth="1"/>
    <col min="3589" max="3589" width="7" style="149" customWidth="1"/>
    <col min="3590" max="3590" width="32.5703125" style="149" customWidth="1"/>
    <col min="3591" max="3591" width="8.140625" style="149" customWidth="1"/>
    <col min="3592" max="3592" width="20.140625" style="149" customWidth="1"/>
    <col min="3593" max="3593" width="119.85546875" style="149" customWidth="1"/>
    <col min="3594" max="3594" width="11.5703125" style="149" customWidth="1"/>
    <col min="3595" max="3595" width="128.140625" style="149" customWidth="1"/>
    <col min="3596" max="3840" width="11.5703125" style="149" customWidth="1"/>
    <col min="3841" max="3841" width="1.140625" style="149" customWidth="1"/>
    <col min="3842" max="3842" width="29.42578125" style="149" customWidth="1"/>
    <col min="3843" max="3843" width="15.5703125" style="149" customWidth="1"/>
    <col min="3844" max="3844" width="11.85546875" style="149" customWidth="1"/>
    <col min="3845" max="3845" width="7" style="149" customWidth="1"/>
    <col min="3846" max="3846" width="32.5703125" style="149" customWidth="1"/>
    <col min="3847" max="3847" width="8.140625" style="149" customWidth="1"/>
    <col min="3848" max="3848" width="20.140625" style="149" customWidth="1"/>
    <col min="3849" max="3849" width="119.85546875" style="149" customWidth="1"/>
    <col min="3850" max="3850" width="11.5703125" style="149" customWidth="1"/>
    <col min="3851" max="3851" width="128.140625" style="149" customWidth="1"/>
    <col min="3852" max="4096" width="11.5703125" style="149" customWidth="1"/>
    <col min="4097" max="4097" width="1.140625" style="149" customWidth="1"/>
    <col min="4098" max="4098" width="29.42578125" style="149" customWidth="1"/>
    <col min="4099" max="4099" width="15.5703125" style="149" customWidth="1"/>
    <col min="4100" max="4100" width="11.85546875" style="149" customWidth="1"/>
    <col min="4101" max="4101" width="7" style="149" customWidth="1"/>
    <col min="4102" max="4102" width="32.5703125" style="149" customWidth="1"/>
    <col min="4103" max="4103" width="8.140625" style="149" customWidth="1"/>
    <col min="4104" max="4104" width="20.140625" style="149" customWidth="1"/>
    <col min="4105" max="4105" width="119.85546875" style="149" customWidth="1"/>
    <col min="4106" max="4106" width="11.5703125" style="149" customWidth="1"/>
    <col min="4107" max="4107" width="128.140625" style="149" customWidth="1"/>
    <col min="4108" max="4352" width="11.5703125" style="149" customWidth="1"/>
    <col min="4353" max="4353" width="1.140625" style="149" customWidth="1"/>
    <col min="4354" max="4354" width="29.42578125" style="149" customWidth="1"/>
    <col min="4355" max="4355" width="15.5703125" style="149" customWidth="1"/>
    <col min="4356" max="4356" width="11.85546875" style="149" customWidth="1"/>
    <col min="4357" max="4357" width="7" style="149" customWidth="1"/>
    <col min="4358" max="4358" width="32.5703125" style="149" customWidth="1"/>
    <col min="4359" max="4359" width="8.140625" style="149" customWidth="1"/>
    <col min="4360" max="4360" width="20.140625" style="149" customWidth="1"/>
    <col min="4361" max="4361" width="119.85546875" style="149" customWidth="1"/>
    <col min="4362" max="4362" width="11.5703125" style="149" customWidth="1"/>
    <col min="4363" max="4363" width="128.140625" style="149" customWidth="1"/>
    <col min="4364" max="4608" width="11.5703125" style="149" customWidth="1"/>
    <col min="4609" max="4609" width="1.140625" style="149" customWidth="1"/>
    <col min="4610" max="4610" width="29.42578125" style="149" customWidth="1"/>
    <col min="4611" max="4611" width="15.5703125" style="149" customWidth="1"/>
    <col min="4612" max="4612" width="11.85546875" style="149" customWidth="1"/>
    <col min="4613" max="4613" width="7" style="149" customWidth="1"/>
    <col min="4614" max="4614" width="32.5703125" style="149" customWidth="1"/>
    <col min="4615" max="4615" width="8.140625" style="149" customWidth="1"/>
    <col min="4616" max="4616" width="20.140625" style="149" customWidth="1"/>
    <col min="4617" max="4617" width="119.85546875" style="149" customWidth="1"/>
    <col min="4618" max="4618" width="11.5703125" style="149" customWidth="1"/>
    <col min="4619" max="4619" width="128.140625" style="149" customWidth="1"/>
    <col min="4620" max="4864" width="11.5703125" style="149" customWidth="1"/>
    <col min="4865" max="4865" width="1.140625" style="149" customWidth="1"/>
    <col min="4866" max="4866" width="29.42578125" style="149" customWidth="1"/>
    <col min="4867" max="4867" width="15.5703125" style="149" customWidth="1"/>
    <col min="4868" max="4868" width="11.85546875" style="149" customWidth="1"/>
    <col min="4869" max="4869" width="7" style="149" customWidth="1"/>
    <col min="4870" max="4870" width="32.5703125" style="149" customWidth="1"/>
    <col min="4871" max="4871" width="8.140625" style="149" customWidth="1"/>
    <col min="4872" max="4872" width="20.140625" style="149" customWidth="1"/>
    <col min="4873" max="4873" width="119.85546875" style="149" customWidth="1"/>
    <col min="4874" max="4874" width="11.5703125" style="149" customWidth="1"/>
    <col min="4875" max="4875" width="128.140625" style="149" customWidth="1"/>
    <col min="4876" max="5120" width="11.5703125" style="149" customWidth="1"/>
    <col min="5121" max="5121" width="1.140625" style="149" customWidth="1"/>
    <col min="5122" max="5122" width="29.42578125" style="149" customWidth="1"/>
    <col min="5123" max="5123" width="15.5703125" style="149" customWidth="1"/>
    <col min="5124" max="5124" width="11.85546875" style="149" customWidth="1"/>
    <col min="5125" max="5125" width="7" style="149" customWidth="1"/>
    <col min="5126" max="5126" width="32.5703125" style="149" customWidth="1"/>
    <col min="5127" max="5127" width="8.140625" style="149" customWidth="1"/>
    <col min="5128" max="5128" width="20.140625" style="149" customWidth="1"/>
    <col min="5129" max="5129" width="119.85546875" style="149" customWidth="1"/>
    <col min="5130" max="5130" width="11.5703125" style="149" customWidth="1"/>
    <col min="5131" max="5131" width="128.140625" style="149" customWidth="1"/>
    <col min="5132" max="5376" width="11.5703125" style="149" customWidth="1"/>
    <col min="5377" max="5377" width="1.140625" style="149" customWidth="1"/>
    <col min="5378" max="5378" width="29.42578125" style="149" customWidth="1"/>
    <col min="5379" max="5379" width="15.5703125" style="149" customWidth="1"/>
    <col min="5380" max="5380" width="11.85546875" style="149" customWidth="1"/>
    <col min="5381" max="5381" width="7" style="149" customWidth="1"/>
    <col min="5382" max="5382" width="32.5703125" style="149" customWidth="1"/>
    <col min="5383" max="5383" width="8.140625" style="149" customWidth="1"/>
    <col min="5384" max="5384" width="20.140625" style="149" customWidth="1"/>
    <col min="5385" max="5385" width="119.85546875" style="149" customWidth="1"/>
    <col min="5386" max="5386" width="11.5703125" style="149" customWidth="1"/>
    <col min="5387" max="5387" width="128.140625" style="149" customWidth="1"/>
    <col min="5388" max="5632" width="11.5703125" style="149" customWidth="1"/>
    <col min="5633" max="5633" width="1.140625" style="149" customWidth="1"/>
    <col min="5634" max="5634" width="29.42578125" style="149" customWidth="1"/>
    <col min="5635" max="5635" width="15.5703125" style="149" customWidth="1"/>
    <col min="5636" max="5636" width="11.85546875" style="149" customWidth="1"/>
    <col min="5637" max="5637" width="7" style="149" customWidth="1"/>
    <col min="5638" max="5638" width="32.5703125" style="149" customWidth="1"/>
    <col min="5639" max="5639" width="8.140625" style="149" customWidth="1"/>
    <col min="5640" max="5640" width="20.140625" style="149" customWidth="1"/>
    <col min="5641" max="5641" width="119.85546875" style="149" customWidth="1"/>
    <col min="5642" max="5642" width="11.5703125" style="149" customWidth="1"/>
    <col min="5643" max="5643" width="128.140625" style="149" customWidth="1"/>
    <col min="5644" max="5888" width="11.5703125" style="149" customWidth="1"/>
    <col min="5889" max="5889" width="1.140625" style="149" customWidth="1"/>
    <col min="5890" max="5890" width="29.42578125" style="149" customWidth="1"/>
    <col min="5891" max="5891" width="15.5703125" style="149" customWidth="1"/>
    <col min="5892" max="5892" width="11.85546875" style="149" customWidth="1"/>
    <col min="5893" max="5893" width="7" style="149" customWidth="1"/>
    <col min="5894" max="5894" width="32.5703125" style="149" customWidth="1"/>
    <col min="5895" max="5895" width="8.140625" style="149" customWidth="1"/>
    <col min="5896" max="5896" width="20.140625" style="149" customWidth="1"/>
    <col min="5897" max="5897" width="119.85546875" style="149" customWidth="1"/>
    <col min="5898" max="5898" width="11.5703125" style="149" customWidth="1"/>
    <col min="5899" max="5899" width="128.140625" style="149" customWidth="1"/>
    <col min="5900" max="6144" width="11.5703125" style="149" customWidth="1"/>
    <col min="6145" max="6145" width="1.140625" style="149" customWidth="1"/>
    <col min="6146" max="6146" width="29.42578125" style="149" customWidth="1"/>
    <col min="6147" max="6147" width="15.5703125" style="149" customWidth="1"/>
    <col min="6148" max="6148" width="11.85546875" style="149" customWidth="1"/>
    <col min="6149" max="6149" width="7" style="149" customWidth="1"/>
    <col min="6150" max="6150" width="32.5703125" style="149" customWidth="1"/>
    <col min="6151" max="6151" width="8.140625" style="149" customWidth="1"/>
    <col min="6152" max="6152" width="20.140625" style="149" customWidth="1"/>
    <col min="6153" max="6153" width="119.85546875" style="149" customWidth="1"/>
    <col min="6154" max="6154" width="11.5703125" style="149" customWidth="1"/>
    <col min="6155" max="6155" width="128.140625" style="149" customWidth="1"/>
    <col min="6156" max="6400" width="11.5703125" style="149" customWidth="1"/>
    <col min="6401" max="6401" width="1.140625" style="149" customWidth="1"/>
    <col min="6402" max="6402" width="29.42578125" style="149" customWidth="1"/>
    <col min="6403" max="6403" width="15.5703125" style="149" customWidth="1"/>
    <col min="6404" max="6404" width="11.85546875" style="149" customWidth="1"/>
    <col min="6405" max="6405" width="7" style="149" customWidth="1"/>
    <col min="6406" max="6406" width="32.5703125" style="149" customWidth="1"/>
    <col min="6407" max="6407" width="8.140625" style="149" customWidth="1"/>
    <col min="6408" max="6408" width="20.140625" style="149" customWidth="1"/>
    <col min="6409" max="6409" width="119.85546875" style="149" customWidth="1"/>
    <col min="6410" max="6410" width="11.5703125" style="149" customWidth="1"/>
    <col min="6411" max="6411" width="128.140625" style="149" customWidth="1"/>
    <col min="6412" max="6656" width="11.5703125" style="149" customWidth="1"/>
    <col min="6657" max="6657" width="1.140625" style="149" customWidth="1"/>
    <col min="6658" max="6658" width="29.42578125" style="149" customWidth="1"/>
    <col min="6659" max="6659" width="15.5703125" style="149" customWidth="1"/>
    <col min="6660" max="6660" width="11.85546875" style="149" customWidth="1"/>
    <col min="6661" max="6661" width="7" style="149" customWidth="1"/>
    <col min="6662" max="6662" width="32.5703125" style="149" customWidth="1"/>
    <col min="6663" max="6663" width="8.140625" style="149" customWidth="1"/>
    <col min="6664" max="6664" width="20.140625" style="149" customWidth="1"/>
    <col min="6665" max="6665" width="119.85546875" style="149" customWidth="1"/>
    <col min="6666" max="6666" width="11.5703125" style="149" customWidth="1"/>
    <col min="6667" max="6667" width="128.140625" style="149" customWidth="1"/>
    <col min="6668" max="6912" width="11.5703125" style="149" customWidth="1"/>
    <col min="6913" max="6913" width="1.140625" style="149" customWidth="1"/>
    <col min="6914" max="6914" width="29.42578125" style="149" customWidth="1"/>
    <col min="6915" max="6915" width="15.5703125" style="149" customWidth="1"/>
    <col min="6916" max="6916" width="11.85546875" style="149" customWidth="1"/>
    <col min="6917" max="6917" width="7" style="149" customWidth="1"/>
    <col min="6918" max="6918" width="32.5703125" style="149" customWidth="1"/>
    <col min="6919" max="6919" width="8.140625" style="149" customWidth="1"/>
    <col min="6920" max="6920" width="20.140625" style="149" customWidth="1"/>
    <col min="6921" max="6921" width="119.85546875" style="149" customWidth="1"/>
    <col min="6922" max="6922" width="11.5703125" style="149" customWidth="1"/>
    <col min="6923" max="6923" width="128.140625" style="149" customWidth="1"/>
    <col min="6924" max="7168" width="11.5703125" style="149" customWidth="1"/>
    <col min="7169" max="7169" width="1.140625" style="149" customWidth="1"/>
    <col min="7170" max="7170" width="29.42578125" style="149" customWidth="1"/>
    <col min="7171" max="7171" width="15.5703125" style="149" customWidth="1"/>
    <col min="7172" max="7172" width="11.85546875" style="149" customWidth="1"/>
    <col min="7173" max="7173" width="7" style="149" customWidth="1"/>
    <col min="7174" max="7174" width="32.5703125" style="149" customWidth="1"/>
    <col min="7175" max="7175" width="8.140625" style="149" customWidth="1"/>
    <col min="7176" max="7176" width="20.140625" style="149" customWidth="1"/>
    <col min="7177" max="7177" width="119.85546875" style="149" customWidth="1"/>
    <col min="7178" max="7178" width="11.5703125" style="149" customWidth="1"/>
    <col min="7179" max="7179" width="128.140625" style="149" customWidth="1"/>
    <col min="7180" max="7424" width="11.5703125" style="149" customWidth="1"/>
    <col min="7425" max="7425" width="1.140625" style="149" customWidth="1"/>
    <col min="7426" max="7426" width="29.42578125" style="149" customWidth="1"/>
    <col min="7427" max="7427" width="15.5703125" style="149" customWidth="1"/>
    <col min="7428" max="7428" width="11.85546875" style="149" customWidth="1"/>
    <col min="7429" max="7429" width="7" style="149" customWidth="1"/>
    <col min="7430" max="7430" width="32.5703125" style="149" customWidth="1"/>
    <col min="7431" max="7431" width="8.140625" style="149" customWidth="1"/>
    <col min="7432" max="7432" width="20.140625" style="149" customWidth="1"/>
    <col min="7433" max="7433" width="119.85546875" style="149" customWidth="1"/>
    <col min="7434" max="7434" width="11.5703125" style="149" customWidth="1"/>
    <col min="7435" max="7435" width="128.140625" style="149" customWidth="1"/>
    <col min="7436" max="7680" width="11.5703125" style="149" customWidth="1"/>
    <col min="7681" max="7681" width="1.140625" style="149" customWidth="1"/>
    <col min="7682" max="7682" width="29.42578125" style="149" customWidth="1"/>
    <col min="7683" max="7683" width="15.5703125" style="149" customWidth="1"/>
    <col min="7684" max="7684" width="11.85546875" style="149" customWidth="1"/>
    <col min="7685" max="7685" width="7" style="149" customWidth="1"/>
    <col min="7686" max="7686" width="32.5703125" style="149" customWidth="1"/>
    <col min="7687" max="7687" width="8.140625" style="149" customWidth="1"/>
    <col min="7688" max="7688" width="20.140625" style="149" customWidth="1"/>
    <col min="7689" max="7689" width="119.85546875" style="149" customWidth="1"/>
    <col min="7690" max="7690" width="11.5703125" style="149" customWidth="1"/>
    <col min="7691" max="7691" width="128.140625" style="149" customWidth="1"/>
    <col min="7692" max="7936" width="11.5703125" style="149" customWidth="1"/>
    <col min="7937" max="7937" width="1.140625" style="149" customWidth="1"/>
    <col min="7938" max="7938" width="29.42578125" style="149" customWidth="1"/>
    <col min="7939" max="7939" width="15.5703125" style="149" customWidth="1"/>
    <col min="7940" max="7940" width="11.85546875" style="149" customWidth="1"/>
    <col min="7941" max="7941" width="7" style="149" customWidth="1"/>
    <col min="7942" max="7942" width="32.5703125" style="149" customWidth="1"/>
    <col min="7943" max="7943" width="8.140625" style="149" customWidth="1"/>
    <col min="7944" max="7944" width="20.140625" style="149" customWidth="1"/>
    <col min="7945" max="7945" width="119.85546875" style="149" customWidth="1"/>
    <col min="7946" max="7946" width="11.5703125" style="149" customWidth="1"/>
    <col min="7947" max="7947" width="128.140625" style="149" customWidth="1"/>
    <col min="7948" max="8192" width="11.5703125" style="149" customWidth="1"/>
    <col min="8193" max="8193" width="1.140625" style="149" customWidth="1"/>
    <col min="8194" max="8194" width="29.42578125" style="149" customWidth="1"/>
    <col min="8195" max="8195" width="15.5703125" style="149" customWidth="1"/>
    <col min="8196" max="8196" width="11.85546875" style="149" customWidth="1"/>
    <col min="8197" max="8197" width="7" style="149" customWidth="1"/>
    <col min="8198" max="8198" width="32.5703125" style="149" customWidth="1"/>
    <col min="8199" max="8199" width="8.140625" style="149" customWidth="1"/>
    <col min="8200" max="8200" width="20.140625" style="149" customWidth="1"/>
    <col min="8201" max="8201" width="119.85546875" style="149" customWidth="1"/>
    <col min="8202" max="8202" width="11.5703125" style="149" customWidth="1"/>
    <col min="8203" max="8203" width="128.140625" style="149" customWidth="1"/>
    <col min="8204" max="8448" width="11.5703125" style="149" customWidth="1"/>
    <col min="8449" max="8449" width="1.140625" style="149" customWidth="1"/>
    <col min="8450" max="8450" width="29.42578125" style="149" customWidth="1"/>
    <col min="8451" max="8451" width="15.5703125" style="149" customWidth="1"/>
    <col min="8452" max="8452" width="11.85546875" style="149" customWidth="1"/>
    <col min="8453" max="8453" width="7" style="149" customWidth="1"/>
    <col min="8454" max="8454" width="32.5703125" style="149" customWidth="1"/>
    <col min="8455" max="8455" width="8.140625" style="149" customWidth="1"/>
    <col min="8456" max="8456" width="20.140625" style="149" customWidth="1"/>
    <col min="8457" max="8457" width="119.85546875" style="149" customWidth="1"/>
    <col min="8458" max="8458" width="11.5703125" style="149" customWidth="1"/>
    <col min="8459" max="8459" width="128.140625" style="149" customWidth="1"/>
    <col min="8460" max="8704" width="11.5703125" style="149" customWidth="1"/>
    <col min="8705" max="8705" width="1.140625" style="149" customWidth="1"/>
    <col min="8706" max="8706" width="29.42578125" style="149" customWidth="1"/>
    <col min="8707" max="8707" width="15.5703125" style="149" customWidth="1"/>
    <col min="8708" max="8708" width="11.85546875" style="149" customWidth="1"/>
    <col min="8709" max="8709" width="7" style="149" customWidth="1"/>
    <col min="8710" max="8710" width="32.5703125" style="149" customWidth="1"/>
    <col min="8711" max="8711" width="8.140625" style="149" customWidth="1"/>
    <col min="8712" max="8712" width="20.140625" style="149" customWidth="1"/>
    <col min="8713" max="8713" width="119.85546875" style="149" customWidth="1"/>
    <col min="8714" max="8714" width="11.5703125" style="149" customWidth="1"/>
    <col min="8715" max="8715" width="128.140625" style="149" customWidth="1"/>
    <col min="8716" max="8960" width="11.5703125" style="149" customWidth="1"/>
    <col min="8961" max="8961" width="1.140625" style="149" customWidth="1"/>
    <col min="8962" max="8962" width="29.42578125" style="149" customWidth="1"/>
    <col min="8963" max="8963" width="15.5703125" style="149" customWidth="1"/>
    <col min="8964" max="8964" width="11.85546875" style="149" customWidth="1"/>
    <col min="8965" max="8965" width="7" style="149" customWidth="1"/>
    <col min="8966" max="8966" width="32.5703125" style="149" customWidth="1"/>
    <col min="8967" max="8967" width="8.140625" style="149" customWidth="1"/>
    <col min="8968" max="8968" width="20.140625" style="149" customWidth="1"/>
    <col min="8969" max="8969" width="119.85546875" style="149" customWidth="1"/>
    <col min="8970" max="8970" width="11.5703125" style="149" customWidth="1"/>
    <col min="8971" max="8971" width="128.140625" style="149" customWidth="1"/>
    <col min="8972" max="9216" width="11.5703125" style="149" customWidth="1"/>
    <col min="9217" max="9217" width="1.140625" style="149" customWidth="1"/>
    <col min="9218" max="9218" width="29.42578125" style="149" customWidth="1"/>
    <col min="9219" max="9219" width="15.5703125" style="149" customWidth="1"/>
    <col min="9220" max="9220" width="11.85546875" style="149" customWidth="1"/>
    <col min="9221" max="9221" width="7" style="149" customWidth="1"/>
    <col min="9222" max="9222" width="32.5703125" style="149" customWidth="1"/>
    <col min="9223" max="9223" width="8.140625" style="149" customWidth="1"/>
    <col min="9224" max="9224" width="20.140625" style="149" customWidth="1"/>
    <col min="9225" max="9225" width="119.85546875" style="149" customWidth="1"/>
    <col min="9226" max="9226" width="11.5703125" style="149" customWidth="1"/>
    <col min="9227" max="9227" width="128.140625" style="149" customWidth="1"/>
    <col min="9228" max="9472" width="11.5703125" style="149" customWidth="1"/>
    <col min="9473" max="9473" width="1.140625" style="149" customWidth="1"/>
    <col min="9474" max="9474" width="29.42578125" style="149" customWidth="1"/>
    <col min="9475" max="9475" width="15.5703125" style="149" customWidth="1"/>
    <col min="9476" max="9476" width="11.85546875" style="149" customWidth="1"/>
    <col min="9477" max="9477" width="7" style="149" customWidth="1"/>
    <col min="9478" max="9478" width="32.5703125" style="149" customWidth="1"/>
    <col min="9479" max="9479" width="8.140625" style="149" customWidth="1"/>
    <col min="9480" max="9480" width="20.140625" style="149" customWidth="1"/>
    <col min="9481" max="9481" width="119.85546875" style="149" customWidth="1"/>
    <col min="9482" max="9482" width="11.5703125" style="149" customWidth="1"/>
    <col min="9483" max="9483" width="128.140625" style="149" customWidth="1"/>
    <col min="9484" max="9728" width="11.5703125" style="149" customWidth="1"/>
    <col min="9729" max="9729" width="1.140625" style="149" customWidth="1"/>
    <col min="9730" max="9730" width="29.42578125" style="149" customWidth="1"/>
    <col min="9731" max="9731" width="15.5703125" style="149" customWidth="1"/>
    <col min="9732" max="9732" width="11.85546875" style="149" customWidth="1"/>
    <col min="9733" max="9733" width="7" style="149" customWidth="1"/>
    <col min="9734" max="9734" width="32.5703125" style="149" customWidth="1"/>
    <col min="9735" max="9735" width="8.140625" style="149" customWidth="1"/>
    <col min="9736" max="9736" width="20.140625" style="149" customWidth="1"/>
    <col min="9737" max="9737" width="119.85546875" style="149" customWidth="1"/>
    <col min="9738" max="9738" width="11.5703125" style="149" customWidth="1"/>
    <col min="9739" max="9739" width="128.140625" style="149" customWidth="1"/>
    <col min="9740" max="9984" width="11.5703125" style="149" customWidth="1"/>
    <col min="9985" max="9985" width="1.140625" style="149" customWidth="1"/>
    <col min="9986" max="9986" width="29.42578125" style="149" customWidth="1"/>
    <col min="9987" max="9987" width="15.5703125" style="149" customWidth="1"/>
    <col min="9988" max="9988" width="11.85546875" style="149" customWidth="1"/>
    <col min="9989" max="9989" width="7" style="149" customWidth="1"/>
    <col min="9990" max="9990" width="32.5703125" style="149" customWidth="1"/>
    <col min="9991" max="9991" width="8.140625" style="149" customWidth="1"/>
    <col min="9992" max="9992" width="20.140625" style="149" customWidth="1"/>
    <col min="9993" max="9993" width="119.85546875" style="149" customWidth="1"/>
    <col min="9994" max="9994" width="11.5703125" style="149" customWidth="1"/>
    <col min="9995" max="9995" width="128.140625" style="149" customWidth="1"/>
    <col min="9996" max="10240" width="11.5703125" style="149" customWidth="1"/>
    <col min="10241" max="10241" width="1.140625" style="149" customWidth="1"/>
    <col min="10242" max="10242" width="29.42578125" style="149" customWidth="1"/>
    <col min="10243" max="10243" width="15.5703125" style="149" customWidth="1"/>
    <col min="10244" max="10244" width="11.85546875" style="149" customWidth="1"/>
    <col min="10245" max="10245" width="7" style="149" customWidth="1"/>
    <col min="10246" max="10246" width="32.5703125" style="149" customWidth="1"/>
    <col min="10247" max="10247" width="8.140625" style="149" customWidth="1"/>
    <col min="10248" max="10248" width="20.140625" style="149" customWidth="1"/>
    <col min="10249" max="10249" width="119.85546875" style="149" customWidth="1"/>
    <col min="10250" max="10250" width="11.5703125" style="149" customWidth="1"/>
    <col min="10251" max="10251" width="128.140625" style="149" customWidth="1"/>
    <col min="10252" max="10496" width="11.5703125" style="149" customWidth="1"/>
    <col min="10497" max="10497" width="1.140625" style="149" customWidth="1"/>
    <col min="10498" max="10498" width="29.42578125" style="149" customWidth="1"/>
    <col min="10499" max="10499" width="15.5703125" style="149" customWidth="1"/>
    <col min="10500" max="10500" width="11.85546875" style="149" customWidth="1"/>
    <col min="10501" max="10501" width="7" style="149" customWidth="1"/>
    <col min="10502" max="10502" width="32.5703125" style="149" customWidth="1"/>
    <col min="10503" max="10503" width="8.140625" style="149" customWidth="1"/>
    <col min="10504" max="10504" width="20.140625" style="149" customWidth="1"/>
    <col min="10505" max="10505" width="119.85546875" style="149" customWidth="1"/>
    <col min="10506" max="10506" width="11.5703125" style="149" customWidth="1"/>
    <col min="10507" max="10507" width="128.140625" style="149" customWidth="1"/>
    <col min="10508" max="10752" width="11.5703125" style="149" customWidth="1"/>
    <col min="10753" max="10753" width="1.140625" style="149" customWidth="1"/>
    <col min="10754" max="10754" width="29.42578125" style="149" customWidth="1"/>
    <col min="10755" max="10755" width="15.5703125" style="149" customWidth="1"/>
    <col min="10756" max="10756" width="11.85546875" style="149" customWidth="1"/>
    <col min="10757" max="10757" width="7" style="149" customWidth="1"/>
    <col min="10758" max="10758" width="32.5703125" style="149" customWidth="1"/>
    <col min="10759" max="10759" width="8.140625" style="149" customWidth="1"/>
    <col min="10760" max="10760" width="20.140625" style="149" customWidth="1"/>
    <col min="10761" max="10761" width="119.85546875" style="149" customWidth="1"/>
    <col min="10762" max="10762" width="11.5703125" style="149" customWidth="1"/>
    <col min="10763" max="10763" width="128.140625" style="149" customWidth="1"/>
    <col min="10764" max="11008" width="11.5703125" style="149" customWidth="1"/>
    <col min="11009" max="11009" width="1.140625" style="149" customWidth="1"/>
    <col min="11010" max="11010" width="29.42578125" style="149" customWidth="1"/>
    <col min="11011" max="11011" width="15.5703125" style="149" customWidth="1"/>
    <col min="11012" max="11012" width="11.85546875" style="149" customWidth="1"/>
    <col min="11013" max="11013" width="7" style="149" customWidth="1"/>
    <col min="11014" max="11014" width="32.5703125" style="149" customWidth="1"/>
    <col min="11015" max="11015" width="8.140625" style="149" customWidth="1"/>
    <col min="11016" max="11016" width="20.140625" style="149" customWidth="1"/>
    <col min="11017" max="11017" width="119.85546875" style="149" customWidth="1"/>
    <col min="11018" max="11018" width="11.5703125" style="149" customWidth="1"/>
    <col min="11019" max="11019" width="128.140625" style="149" customWidth="1"/>
    <col min="11020" max="11264" width="11.5703125" style="149" customWidth="1"/>
    <col min="11265" max="11265" width="1.140625" style="149" customWidth="1"/>
    <col min="11266" max="11266" width="29.42578125" style="149" customWidth="1"/>
    <col min="11267" max="11267" width="15.5703125" style="149" customWidth="1"/>
    <col min="11268" max="11268" width="11.85546875" style="149" customWidth="1"/>
    <col min="11269" max="11269" width="7" style="149" customWidth="1"/>
    <col min="11270" max="11270" width="32.5703125" style="149" customWidth="1"/>
    <col min="11271" max="11271" width="8.140625" style="149" customWidth="1"/>
    <col min="11272" max="11272" width="20.140625" style="149" customWidth="1"/>
    <col min="11273" max="11273" width="119.85546875" style="149" customWidth="1"/>
    <col min="11274" max="11274" width="11.5703125" style="149" customWidth="1"/>
    <col min="11275" max="11275" width="128.140625" style="149" customWidth="1"/>
    <col min="11276" max="11520" width="11.5703125" style="149" customWidth="1"/>
    <col min="11521" max="11521" width="1.140625" style="149" customWidth="1"/>
    <col min="11522" max="11522" width="29.42578125" style="149" customWidth="1"/>
    <col min="11523" max="11523" width="15.5703125" style="149" customWidth="1"/>
    <col min="11524" max="11524" width="11.85546875" style="149" customWidth="1"/>
    <col min="11525" max="11525" width="7" style="149" customWidth="1"/>
    <col min="11526" max="11526" width="32.5703125" style="149" customWidth="1"/>
    <col min="11527" max="11527" width="8.140625" style="149" customWidth="1"/>
    <col min="11528" max="11528" width="20.140625" style="149" customWidth="1"/>
    <col min="11529" max="11529" width="119.85546875" style="149" customWidth="1"/>
    <col min="11530" max="11530" width="11.5703125" style="149" customWidth="1"/>
    <col min="11531" max="11531" width="128.140625" style="149" customWidth="1"/>
    <col min="11532" max="11776" width="11.5703125" style="149" customWidth="1"/>
    <col min="11777" max="11777" width="1.140625" style="149" customWidth="1"/>
    <col min="11778" max="11778" width="29.42578125" style="149" customWidth="1"/>
    <col min="11779" max="11779" width="15.5703125" style="149" customWidth="1"/>
    <col min="11780" max="11780" width="11.85546875" style="149" customWidth="1"/>
    <col min="11781" max="11781" width="7" style="149" customWidth="1"/>
    <col min="11782" max="11782" width="32.5703125" style="149" customWidth="1"/>
    <col min="11783" max="11783" width="8.140625" style="149" customWidth="1"/>
    <col min="11784" max="11784" width="20.140625" style="149" customWidth="1"/>
    <col min="11785" max="11785" width="119.85546875" style="149" customWidth="1"/>
    <col min="11786" max="11786" width="11.5703125" style="149" customWidth="1"/>
    <col min="11787" max="11787" width="128.140625" style="149" customWidth="1"/>
    <col min="11788" max="12032" width="11.5703125" style="149" customWidth="1"/>
    <col min="12033" max="12033" width="1.140625" style="149" customWidth="1"/>
    <col min="12034" max="12034" width="29.42578125" style="149" customWidth="1"/>
    <col min="12035" max="12035" width="15.5703125" style="149" customWidth="1"/>
    <col min="12036" max="12036" width="11.85546875" style="149" customWidth="1"/>
    <col min="12037" max="12037" width="7" style="149" customWidth="1"/>
    <col min="12038" max="12038" width="32.5703125" style="149" customWidth="1"/>
    <col min="12039" max="12039" width="8.140625" style="149" customWidth="1"/>
    <col min="12040" max="12040" width="20.140625" style="149" customWidth="1"/>
    <col min="12041" max="12041" width="119.85546875" style="149" customWidth="1"/>
    <col min="12042" max="12042" width="11.5703125" style="149" customWidth="1"/>
    <col min="12043" max="12043" width="128.140625" style="149" customWidth="1"/>
    <col min="12044" max="12288" width="11.5703125" style="149" customWidth="1"/>
    <col min="12289" max="12289" width="1.140625" style="149" customWidth="1"/>
    <col min="12290" max="12290" width="29.42578125" style="149" customWidth="1"/>
    <col min="12291" max="12291" width="15.5703125" style="149" customWidth="1"/>
    <col min="12292" max="12292" width="11.85546875" style="149" customWidth="1"/>
    <col min="12293" max="12293" width="7" style="149" customWidth="1"/>
    <col min="12294" max="12294" width="32.5703125" style="149" customWidth="1"/>
    <col min="12295" max="12295" width="8.140625" style="149" customWidth="1"/>
    <col min="12296" max="12296" width="20.140625" style="149" customWidth="1"/>
    <col min="12297" max="12297" width="119.85546875" style="149" customWidth="1"/>
    <col min="12298" max="12298" width="11.5703125" style="149" customWidth="1"/>
    <col min="12299" max="12299" width="128.140625" style="149" customWidth="1"/>
    <col min="12300" max="12544" width="11.5703125" style="149" customWidth="1"/>
    <col min="12545" max="12545" width="1.140625" style="149" customWidth="1"/>
    <col min="12546" max="12546" width="29.42578125" style="149" customWidth="1"/>
    <col min="12547" max="12547" width="15.5703125" style="149" customWidth="1"/>
    <col min="12548" max="12548" width="11.85546875" style="149" customWidth="1"/>
    <col min="12549" max="12549" width="7" style="149" customWidth="1"/>
    <col min="12550" max="12550" width="32.5703125" style="149" customWidth="1"/>
    <col min="12551" max="12551" width="8.140625" style="149" customWidth="1"/>
    <col min="12552" max="12552" width="20.140625" style="149" customWidth="1"/>
    <col min="12553" max="12553" width="119.85546875" style="149" customWidth="1"/>
    <col min="12554" max="12554" width="11.5703125" style="149" customWidth="1"/>
    <col min="12555" max="12555" width="128.140625" style="149" customWidth="1"/>
    <col min="12556" max="12800" width="11.5703125" style="149" customWidth="1"/>
    <col min="12801" max="12801" width="1.140625" style="149" customWidth="1"/>
    <col min="12802" max="12802" width="29.42578125" style="149" customWidth="1"/>
    <col min="12803" max="12803" width="15.5703125" style="149" customWidth="1"/>
    <col min="12804" max="12804" width="11.85546875" style="149" customWidth="1"/>
    <col min="12805" max="12805" width="7" style="149" customWidth="1"/>
    <col min="12806" max="12806" width="32.5703125" style="149" customWidth="1"/>
    <col min="12807" max="12807" width="8.140625" style="149" customWidth="1"/>
    <col min="12808" max="12808" width="20.140625" style="149" customWidth="1"/>
    <col min="12809" max="12809" width="119.85546875" style="149" customWidth="1"/>
    <col min="12810" max="12810" width="11.5703125" style="149" customWidth="1"/>
    <col min="12811" max="12811" width="128.140625" style="149" customWidth="1"/>
    <col min="12812" max="13056" width="11.5703125" style="149" customWidth="1"/>
    <col min="13057" max="13057" width="1.140625" style="149" customWidth="1"/>
    <col min="13058" max="13058" width="29.42578125" style="149" customWidth="1"/>
    <col min="13059" max="13059" width="15.5703125" style="149" customWidth="1"/>
    <col min="13060" max="13060" width="11.85546875" style="149" customWidth="1"/>
    <col min="13061" max="13061" width="7" style="149" customWidth="1"/>
    <col min="13062" max="13062" width="32.5703125" style="149" customWidth="1"/>
    <col min="13063" max="13063" width="8.140625" style="149" customWidth="1"/>
    <col min="13064" max="13064" width="20.140625" style="149" customWidth="1"/>
    <col min="13065" max="13065" width="119.85546875" style="149" customWidth="1"/>
    <col min="13066" max="13066" width="11.5703125" style="149" customWidth="1"/>
    <col min="13067" max="13067" width="128.140625" style="149" customWidth="1"/>
    <col min="13068" max="13312" width="11.5703125" style="149" customWidth="1"/>
    <col min="13313" max="13313" width="1.140625" style="149" customWidth="1"/>
    <col min="13314" max="13314" width="29.42578125" style="149" customWidth="1"/>
    <col min="13315" max="13315" width="15.5703125" style="149" customWidth="1"/>
    <col min="13316" max="13316" width="11.85546875" style="149" customWidth="1"/>
    <col min="13317" max="13317" width="7" style="149" customWidth="1"/>
    <col min="13318" max="13318" width="32.5703125" style="149" customWidth="1"/>
    <col min="13319" max="13319" width="8.140625" style="149" customWidth="1"/>
    <col min="13320" max="13320" width="20.140625" style="149" customWidth="1"/>
    <col min="13321" max="13321" width="119.85546875" style="149" customWidth="1"/>
    <col min="13322" max="13322" width="11.5703125" style="149" customWidth="1"/>
    <col min="13323" max="13323" width="128.140625" style="149" customWidth="1"/>
    <col min="13324" max="13568" width="11.5703125" style="149" customWidth="1"/>
    <col min="13569" max="13569" width="1.140625" style="149" customWidth="1"/>
    <col min="13570" max="13570" width="29.42578125" style="149" customWidth="1"/>
    <col min="13571" max="13571" width="15.5703125" style="149" customWidth="1"/>
    <col min="13572" max="13572" width="11.85546875" style="149" customWidth="1"/>
    <col min="13573" max="13573" width="7" style="149" customWidth="1"/>
    <col min="13574" max="13574" width="32.5703125" style="149" customWidth="1"/>
    <col min="13575" max="13575" width="8.140625" style="149" customWidth="1"/>
    <col min="13576" max="13576" width="20.140625" style="149" customWidth="1"/>
    <col min="13577" max="13577" width="119.85546875" style="149" customWidth="1"/>
    <col min="13578" max="13578" width="11.5703125" style="149" customWidth="1"/>
    <col min="13579" max="13579" width="128.140625" style="149" customWidth="1"/>
    <col min="13580" max="13824" width="11.5703125" style="149" customWidth="1"/>
    <col min="13825" max="13825" width="1.140625" style="149" customWidth="1"/>
    <col min="13826" max="13826" width="29.42578125" style="149" customWidth="1"/>
    <col min="13827" max="13827" width="15.5703125" style="149" customWidth="1"/>
    <col min="13828" max="13828" width="11.85546875" style="149" customWidth="1"/>
    <col min="13829" max="13829" width="7" style="149" customWidth="1"/>
    <col min="13830" max="13830" width="32.5703125" style="149" customWidth="1"/>
    <col min="13831" max="13831" width="8.140625" style="149" customWidth="1"/>
    <col min="13832" max="13832" width="20.140625" style="149" customWidth="1"/>
    <col min="13833" max="13833" width="119.85546875" style="149" customWidth="1"/>
    <col min="13834" max="13834" width="11.5703125" style="149" customWidth="1"/>
    <col min="13835" max="13835" width="128.140625" style="149" customWidth="1"/>
    <col min="13836" max="14080" width="11.5703125" style="149" customWidth="1"/>
    <col min="14081" max="14081" width="1.140625" style="149" customWidth="1"/>
    <col min="14082" max="14082" width="29.42578125" style="149" customWidth="1"/>
    <col min="14083" max="14083" width="15.5703125" style="149" customWidth="1"/>
    <col min="14084" max="14084" width="11.85546875" style="149" customWidth="1"/>
    <col min="14085" max="14085" width="7" style="149" customWidth="1"/>
    <col min="14086" max="14086" width="32.5703125" style="149" customWidth="1"/>
    <col min="14087" max="14087" width="8.140625" style="149" customWidth="1"/>
    <col min="14088" max="14088" width="20.140625" style="149" customWidth="1"/>
    <col min="14089" max="14089" width="119.85546875" style="149" customWidth="1"/>
    <col min="14090" max="14090" width="11.5703125" style="149" customWidth="1"/>
    <col min="14091" max="14091" width="128.140625" style="149" customWidth="1"/>
    <col min="14092" max="14336" width="11.5703125" style="149" customWidth="1"/>
    <col min="14337" max="14337" width="1.140625" style="149" customWidth="1"/>
    <col min="14338" max="14338" width="29.42578125" style="149" customWidth="1"/>
    <col min="14339" max="14339" width="15.5703125" style="149" customWidth="1"/>
    <col min="14340" max="14340" width="11.85546875" style="149" customWidth="1"/>
    <col min="14341" max="14341" width="7" style="149" customWidth="1"/>
    <col min="14342" max="14342" width="32.5703125" style="149" customWidth="1"/>
    <col min="14343" max="14343" width="8.140625" style="149" customWidth="1"/>
    <col min="14344" max="14344" width="20.140625" style="149" customWidth="1"/>
    <col min="14345" max="14345" width="119.85546875" style="149" customWidth="1"/>
    <col min="14346" max="14346" width="11.5703125" style="149" customWidth="1"/>
    <col min="14347" max="14347" width="128.140625" style="149" customWidth="1"/>
    <col min="14348" max="14592" width="11.5703125" style="149" customWidth="1"/>
    <col min="14593" max="14593" width="1.140625" style="149" customWidth="1"/>
    <col min="14594" max="14594" width="29.42578125" style="149" customWidth="1"/>
    <col min="14595" max="14595" width="15.5703125" style="149" customWidth="1"/>
    <col min="14596" max="14596" width="11.85546875" style="149" customWidth="1"/>
    <col min="14597" max="14597" width="7" style="149" customWidth="1"/>
    <col min="14598" max="14598" width="32.5703125" style="149" customWidth="1"/>
    <col min="14599" max="14599" width="8.140625" style="149" customWidth="1"/>
    <col min="14600" max="14600" width="20.140625" style="149" customWidth="1"/>
    <col min="14601" max="14601" width="119.85546875" style="149" customWidth="1"/>
    <col min="14602" max="14602" width="11.5703125" style="149" customWidth="1"/>
    <col min="14603" max="14603" width="128.140625" style="149" customWidth="1"/>
    <col min="14604" max="14848" width="11.5703125" style="149" customWidth="1"/>
    <col min="14849" max="14849" width="1.140625" style="149" customWidth="1"/>
    <col min="14850" max="14850" width="29.42578125" style="149" customWidth="1"/>
    <col min="14851" max="14851" width="15.5703125" style="149" customWidth="1"/>
    <col min="14852" max="14852" width="11.85546875" style="149" customWidth="1"/>
    <col min="14853" max="14853" width="7" style="149" customWidth="1"/>
    <col min="14854" max="14854" width="32.5703125" style="149" customWidth="1"/>
    <col min="14855" max="14855" width="8.140625" style="149" customWidth="1"/>
    <col min="14856" max="14856" width="20.140625" style="149" customWidth="1"/>
    <col min="14857" max="14857" width="119.85546875" style="149" customWidth="1"/>
    <col min="14858" max="14858" width="11.5703125" style="149" customWidth="1"/>
    <col min="14859" max="14859" width="128.140625" style="149" customWidth="1"/>
    <col min="14860" max="15104" width="11.5703125" style="149" customWidth="1"/>
    <col min="15105" max="15105" width="1.140625" style="149" customWidth="1"/>
    <col min="15106" max="15106" width="29.42578125" style="149" customWidth="1"/>
    <col min="15107" max="15107" width="15.5703125" style="149" customWidth="1"/>
    <col min="15108" max="15108" width="11.85546875" style="149" customWidth="1"/>
    <col min="15109" max="15109" width="7" style="149" customWidth="1"/>
    <col min="15110" max="15110" width="32.5703125" style="149" customWidth="1"/>
    <col min="15111" max="15111" width="8.140625" style="149" customWidth="1"/>
    <col min="15112" max="15112" width="20.140625" style="149" customWidth="1"/>
    <col min="15113" max="15113" width="119.85546875" style="149" customWidth="1"/>
    <col min="15114" max="15114" width="11.5703125" style="149" customWidth="1"/>
    <col min="15115" max="15115" width="128.140625" style="149" customWidth="1"/>
    <col min="15116" max="15360" width="11.5703125" style="149" customWidth="1"/>
    <col min="15361" max="15361" width="1.140625" style="149" customWidth="1"/>
    <col min="15362" max="15362" width="29.42578125" style="149" customWidth="1"/>
    <col min="15363" max="15363" width="15.5703125" style="149" customWidth="1"/>
    <col min="15364" max="15364" width="11.85546875" style="149" customWidth="1"/>
    <col min="15365" max="15365" width="7" style="149" customWidth="1"/>
    <col min="15366" max="15366" width="32.5703125" style="149" customWidth="1"/>
    <col min="15367" max="15367" width="8.140625" style="149" customWidth="1"/>
    <col min="15368" max="15368" width="20.140625" style="149" customWidth="1"/>
    <col min="15369" max="15369" width="119.85546875" style="149" customWidth="1"/>
    <col min="15370" max="15370" width="11.5703125" style="149" customWidth="1"/>
    <col min="15371" max="15371" width="128.140625" style="149" customWidth="1"/>
    <col min="15372" max="15616" width="11.5703125" style="149" customWidth="1"/>
    <col min="15617" max="15617" width="1.140625" style="149" customWidth="1"/>
    <col min="15618" max="15618" width="29.42578125" style="149" customWidth="1"/>
    <col min="15619" max="15619" width="15.5703125" style="149" customWidth="1"/>
    <col min="15620" max="15620" width="11.85546875" style="149" customWidth="1"/>
    <col min="15621" max="15621" width="7" style="149" customWidth="1"/>
    <col min="15622" max="15622" width="32.5703125" style="149" customWidth="1"/>
    <col min="15623" max="15623" width="8.140625" style="149" customWidth="1"/>
    <col min="15624" max="15624" width="20.140625" style="149" customWidth="1"/>
    <col min="15625" max="15625" width="119.85546875" style="149" customWidth="1"/>
    <col min="15626" max="15626" width="11.5703125" style="149" customWidth="1"/>
    <col min="15627" max="15627" width="128.140625" style="149" customWidth="1"/>
    <col min="15628" max="15872" width="11.5703125" style="149" customWidth="1"/>
    <col min="15873" max="15873" width="1.140625" style="149" customWidth="1"/>
    <col min="15874" max="15874" width="29.42578125" style="149" customWidth="1"/>
    <col min="15875" max="15875" width="15.5703125" style="149" customWidth="1"/>
    <col min="15876" max="15876" width="11.85546875" style="149" customWidth="1"/>
    <col min="15877" max="15877" width="7" style="149" customWidth="1"/>
    <col min="15878" max="15878" width="32.5703125" style="149" customWidth="1"/>
    <col min="15879" max="15879" width="8.140625" style="149" customWidth="1"/>
    <col min="15880" max="15880" width="20.140625" style="149" customWidth="1"/>
    <col min="15881" max="15881" width="119.85546875" style="149" customWidth="1"/>
    <col min="15882" max="15882" width="11.5703125" style="149" customWidth="1"/>
    <col min="15883" max="15883" width="128.140625" style="149" customWidth="1"/>
    <col min="15884" max="16128" width="11.5703125" style="149" customWidth="1"/>
    <col min="16129" max="16129" width="1.140625" style="149" customWidth="1"/>
    <col min="16130" max="16130" width="29.42578125" style="149" customWidth="1"/>
    <col min="16131" max="16131" width="15.5703125" style="149" customWidth="1"/>
    <col min="16132" max="16132" width="11.85546875" style="149" customWidth="1"/>
    <col min="16133" max="16133" width="7" style="149" customWidth="1"/>
    <col min="16134" max="16134" width="32.5703125" style="149" customWidth="1"/>
    <col min="16135" max="16135" width="8.140625" style="149" customWidth="1"/>
    <col min="16136" max="16136" width="20.140625" style="149" customWidth="1"/>
    <col min="16137" max="16137" width="119.85546875" style="149" customWidth="1"/>
    <col min="16138" max="16138" width="11.5703125" style="149" customWidth="1"/>
    <col min="16139" max="16139" width="128.140625" style="149" customWidth="1"/>
    <col min="16140" max="16384" width="11.5703125" style="149" customWidth="1"/>
  </cols>
  <sheetData>
    <row r="1" spans="2:7" x14ac:dyDescent="0.25">
      <c r="B1" s="326" t="s">
        <v>692</v>
      </c>
    </row>
    <row r="3" spans="2:7" x14ac:dyDescent="0.25">
      <c r="B3" s="166" t="s">
        <v>344</v>
      </c>
      <c r="C3" s="165"/>
      <c r="D3" s="165"/>
      <c r="E3" s="165"/>
      <c r="F3" s="165"/>
      <c r="G3" s="194"/>
    </row>
    <row r="4" spans="2:7" s="150" customFormat="1" x14ac:dyDescent="0.25"/>
    <row r="5" spans="2:7" s="150" customFormat="1" x14ac:dyDescent="0.25">
      <c r="B5" s="187" t="s">
        <v>320</v>
      </c>
      <c r="C5" s="444" t="s">
        <v>345</v>
      </c>
      <c r="D5" s="444"/>
      <c r="E5" s="444"/>
      <c r="F5" s="444"/>
      <c r="G5" s="195"/>
    </row>
    <row r="6" spans="2:7" s="150" customFormat="1" x14ac:dyDescent="0.25">
      <c r="B6" s="188" t="s">
        <v>318</v>
      </c>
      <c r="C6" s="445" t="s">
        <v>373</v>
      </c>
      <c r="D6" s="445"/>
      <c r="E6" s="445"/>
      <c r="F6" s="445"/>
      <c r="G6" s="190"/>
    </row>
    <row r="7" spans="2:7" s="150" customFormat="1" x14ac:dyDescent="0.25">
      <c r="B7" s="187" t="s">
        <v>316</v>
      </c>
      <c r="C7" s="444" t="s">
        <v>346</v>
      </c>
      <c r="D7" s="444"/>
      <c r="E7" s="444"/>
      <c r="F7" s="444"/>
      <c r="G7" s="195"/>
    </row>
    <row r="8" spans="2:7" s="150" customFormat="1" x14ac:dyDescent="0.25">
      <c r="B8" s="187" t="s">
        <v>314</v>
      </c>
      <c r="C8" s="444" t="s">
        <v>347</v>
      </c>
      <c r="D8" s="444"/>
      <c r="E8" s="444"/>
      <c r="F8" s="444"/>
      <c r="G8" s="195"/>
    </row>
    <row r="9" spans="2:7" s="150" customFormat="1" x14ac:dyDescent="0.25">
      <c r="B9" s="187" t="s">
        <v>348</v>
      </c>
      <c r="C9" s="444" t="s">
        <v>349</v>
      </c>
      <c r="D9" s="444"/>
      <c r="E9" s="444"/>
      <c r="F9" s="444"/>
      <c r="G9" s="195"/>
    </row>
    <row r="10" spans="2:7" s="150" customFormat="1" x14ac:dyDescent="0.25">
      <c r="B10" s="187" t="s">
        <v>310</v>
      </c>
      <c r="C10" s="444">
        <v>3</v>
      </c>
      <c r="D10" s="444"/>
      <c r="E10" s="444"/>
      <c r="F10" s="444"/>
      <c r="G10" s="195"/>
    </row>
    <row r="11" spans="2:7" s="150" customFormat="1" x14ac:dyDescent="0.25"/>
    <row r="12" spans="2:7" s="150" customFormat="1" x14ac:dyDescent="0.25">
      <c r="B12" s="452" t="s">
        <v>350</v>
      </c>
      <c r="C12" s="452"/>
      <c r="D12" s="452"/>
      <c r="E12" s="452"/>
      <c r="F12" s="452"/>
      <c r="G12" s="196"/>
    </row>
    <row r="13" spans="2:7" s="150" customFormat="1" x14ac:dyDescent="0.25">
      <c r="B13" s="475" t="s">
        <v>304</v>
      </c>
      <c r="C13" s="477"/>
      <c r="D13" s="452" t="s">
        <v>308</v>
      </c>
      <c r="E13" s="452"/>
      <c r="F13" s="452"/>
      <c r="G13" s="196"/>
    </row>
    <row r="14" spans="2:7" s="150" customFormat="1" x14ac:dyDescent="0.25">
      <c r="B14" s="483"/>
      <c r="C14" s="484"/>
      <c r="D14" s="444" t="s">
        <v>437</v>
      </c>
      <c r="E14" s="444"/>
      <c r="F14" s="444"/>
      <c r="G14" s="195"/>
    </row>
    <row r="15" spans="2:7" s="150" customFormat="1" x14ac:dyDescent="0.25"/>
    <row r="16" spans="2:7" s="150" customFormat="1" x14ac:dyDescent="0.25">
      <c r="B16" s="162" t="s">
        <v>300</v>
      </c>
      <c r="C16" s="162" t="s">
        <v>299</v>
      </c>
      <c r="D16" s="162" t="s">
        <v>298</v>
      </c>
      <c r="E16" s="162" t="s">
        <v>297</v>
      </c>
      <c r="F16" s="162" t="s">
        <v>296</v>
      </c>
      <c r="G16" s="196"/>
    </row>
    <row r="17" spans="2:7" s="150" customFormat="1" x14ac:dyDescent="0.25">
      <c r="B17" s="35" t="s">
        <v>375</v>
      </c>
      <c r="C17" s="24">
        <v>21</v>
      </c>
      <c r="D17" s="24">
        <v>2</v>
      </c>
      <c r="E17" s="24">
        <v>2</v>
      </c>
      <c r="F17" s="24" t="s">
        <v>440</v>
      </c>
      <c r="G17" s="190"/>
    </row>
    <row r="18" spans="2:7" s="150" customFormat="1" x14ac:dyDescent="0.25">
      <c r="B18" s="189"/>
      <c r="C18" s="190"/>
      <c r="D18" s="190"/>
      <c r="E18" s="190"/>
      <c r="F18" s="190"/>
      <c r="G18" s="190"/>
    </row>
    <row r="19" spans="2:7" s="150" customFormat="1" x14ac:dyDescent="0.25">
      <c r="B19" s="446" t="s">
        <v>293</v>
      </c>
      <c r="C19" s="447"/>
      <c r="D19" s="447"/>
      <c r="E19" s="447"/>
      <c r="F19" s="448"/>
      <c r="G19" s="197"/>
    </row>
    <row r="20" spans="2:7" s="150" customFormat="1" x14ac:dyDescent="0.25">
      <c r="B20" s="449" t="s">
        <v>377</v>
      </c>
      <c r="C20" s="506"/>
      <c r="D20" s="506"/>
      <c r="E20" s="506"/>
      <c r="F20" s="507"/>
      <c r="G20" s="198"/>
    </row>
    <row r="21" spans="2:7" s="150" customFormat="1" x14ac:dyDescent="0.25">
      <c r="B21" s="446" t="s">
        <v>292</v>
      </c>
      <c r="C21" s="447"/>
      <c r="D21" s="447"/>
      <c r="E21" s="447"/>
      <c r="F21" s="448"/>
      <c r="G21" s="197"/>
    </row>
    <row r="22" spans="2:7" s="150" customFormat="1" x14ac:dyDescent="0.25">
      <c r="B22" s="449" t="s">
        <v>378</v>
      </c>
      <c r="C22" s="450"/>
      <c r="D22" s="450"/>
      <c r="E22" s="450"/>
      <c r="F22" s="451"/>
      <c r="G22" s="199"/>
    </row>
    <row r="23" spans="2:7" s="150" customFormat="1" x14ac:dyDescent="0.25"/>
    <row r="24" spans="2:7" s="150" customFormat="1" x14ac:dyDescent="0.25">
      <c r="B24" s="446" t="s">
        <v>353</v>
      </c>
      <c r="C24" s="447"/>
      <c r="D24" s="447"/>
      <c r="E24" s="447"/>
      <c r="F24" s="448"/>
      <c r="G24" s="197"/>
    </row>
    <row r="25" spans="2:7" s="150" customFormat="1" x14ac:dyDescent="0.25">
      <c r="B25" s="464" t="s">
        <v>379</v>
      </c>
      <c r="C25" s="506"/>
      <c r="D25" s="506"/>
      <c r="E25" s="506"/>
      <c r="F25" s="507"/>
      <c r="G25" s="198"/>
    </row>
    <row r="26" spans="2:7" s="150" customFormat="1" x14ac:dyDescent="0.25"/>
    <row r="27" spans="2:7" s="150" customFormat="1" x14ac:dyDescent="0.25">
      <c r="B27" s="446" t="s">
        <v>355</v>
      </c>
      <c r="C27" s="447"/>
      <c r="D27" s="447"/>
      <c r="E27" s="447"/>
      <c r="F27" s="448"/>
      <c r="G27" s="196"/>
    </row>
    <row r="28" spans="2:7" s="150" customFormat="1" x14ac:dyDescent="0.25">
      <c r="B28" s="494" t="s">
        <v>380</v>
      </c>
      <c r="C28" s="495"/>
      <c r="D28" s="495"/>
      <c r="E28" s="495"/>
      <c r="F28" s="496"/>
      <c r="G28" s="200"/>
    </row>
    <row r="29" spans="2:7" s="150" customFormat="1" x14ac:dyDescent="0.25">
      <c r="B29" s="494" t="s">
        <v>381</v>
      </c>
      <c r="C29" s="495"/>
      <c r="D29" s="495"/>
      <c r="E29" s="495"/>
      <c r="F29" s="496"/>
      <c r="G29" s="200"/>
    </row>
    <row r="30" spans="2:7" s="150" customFormat="1" x14ac:dyDescent="0.25">
      <c r="B30" s="460" t="s">
        <v>382</v>
      </c>
      <c r="C30" s="460"/>
      <c r="D30" s="460"/>
      <c r="E30" s="460"/>
      <c r="F30" s="460"/>
      <c r="G30" s="200"/>
    </row>
    <row r="31" spans="2:7" s="150" customFormat="1" x14ac:dyDescent="0.25"/>
    <row r="32" spans="2:7" s="150" customFormat="1" x14ac:dyDescent="0.25">
      <c r="B32" s="446" t="s">
        <v>282</v>
      </c>
      <c r="C32" s="447"/>
      <c r="D32" s="447"/>
      <c r="E32" s="447"/>
      <c r="F32" s="448"/>
      <c r="G32" s="197"/>
    </row>
    <row r="33" spans="1:7" s="150" customFormat="1" ht="283.35000000000002" customHeight="1" x14ac:dyDescent="0.25">
      <c r="B33" s="514" t="s">
        <v>383</v>
      </c>
      <c r="C33" s="515"/>
      <c r="D33" s="515"/>
      <c r="E33" s="515"/>
      <c r="F33" s="516"/>
      <c r="G33" s="199"/>
    </row>
    <row r="34" spans="1:7" s="150" customFormat="1" x14ac:dyDescent="0.25">
      <c r="B34" s="160"/>
      <c r="C34" s="191"/>
      <c r="D34" s="191"/>
      <c r="E34" s="191"/>
      <c r="F34" s="191"/>
      <c r="G34" s="191"/>
    </row>
    <row r="35" spans="1:7" s="150" customFormat="1" x14ac:dyDescent="0.25">
      <c r="B35" s="446" t="s">
        <v>280</v>
      </c>
      <c r="C35" s="447"/>
      <c r="D35" s="447"/>
      <c r="E35" s="447"/>
      <c r="F35" s="448"/>
      <c r="G35" s="197"/>
    </row>
    <row r="36" spans="1:7" s="150" customFormat="1" x14ac:dyDescent="0.25">
      <c r="B36" s="192" t="s">
        <v>384</v>
      </c>
      <c r="C36" s="468"/>
      <c r="D36" s="468"/>
      <c r="E36" s="468"/>
      <c r="F36" s="468"/>
      <c r="G36" s="199"/>
    </row>
    <row r="37" spans="1:7" s="150" customFormat="1" x14ac:dyDescent="0.25">
      <c r="B37" s="192" t="s">
        <v>385</v>
      </c>
      <c r="C37" s="468"/>
      <c r="D37" s="468"/>
      <c r="E37" s="468"/>
      <c r="F37" s="468"/>
      <c r="G37" s="199"/>
    </row>
    <row r="38" spans="1:7" s="150" customFormat="1" x14ac:dyDescent="0.25">
      <c r="B38" s="192" t="s">
        <v>361</v>
      </c>
      <c r="C38" s="464"/>
      <c r="D38" s="450"/>
      <c r="E38" s="450"/>
      <c r="F38" s="451"/>
      <c r="G38" s="199"/>
    </row>
    <row r="39" spans="1:7" s="150" customFormat="1" x14ac:dyDescent="0.25"/>
    <row r="40" spans="1:7" s="150" customFormat="1" x14ac:dyDescent="0.25">
      <c r="B40" s="446" t="s">
        <v>276</v>
      </c>
      <c r="C40" s="447"/>
      <c r="D40" s="447"/>
      <c r="E40" s="447"/>
      <c r="F40" s="448"/>
      <c r="G40" s="197"/>
    </row>
    <row r="41" spans="1:7" s="150" customFormat="1" x14ac:dyDescent="0.25">
      <c r="B41" s="464"/>
      <c r="C41" s="450"/>
      <c r="D41" s="450"/>
      <c r="E41" s="450"/>
      <c r="F41" s="451"/>
      <c r="G41" s="191"/>
    </row>
    <row r="42" spans="1:7" s="150" customFormat="1" x14ac:dyDescent="0.25"/>
    <row r="43" spans="1:7" s="150" customFormat="1" x14ac:dyDescent="0.25">
      <c r="B43" s="446" t="s">
        <v>274</v>
      </c>
      <c r="C43" s="447"/>
      <c r="D43" s="447"/>
      <c r="E43" s="447"/>
      <c r="F43" s="448"/>
      <c r="G43" s="197"/>
    </row>
    <row r="44" spans="1:7" s="150" customFormat="1" x14ac:dyDescent="0.25">
      <c r="B44" s="155" t="s">
        <v>273</v>
      </c>
      <c r="C44" s="155" t="s">
        <v>272</v>
      </c>
      <c r="D44" s="446" t="s">
        <v>271</v>
      </c>
      <c r="E44" s="447"/>
      <c r="F44" s="448"/>
      <c r="G44" s="197"/>
    </row>
    <row r="45" spans="1:7" s="150" customFormat="1" x14ac:dyDescent="0.25">
      <c r="A45" s="201"/>
      <c r="B45" s="192"/>
      <c r="C45" s="192"/>
      <c r="D45" s="461"/>
      <c r="E45" s="492"/>
      <c r="F45" s="493"/>
      <c r="G45" s="202"/>
    </row>
    <row r="46" spans="1:7" s="150" customFormat="1" x14ac:dyDescent="0.25">
      <c r="B46" s="156"/>
      <c r="C46" s="156"/>
      <c r="D46" s="491"/>
      <c r="E46" s="492"/>
      <c r="F46" s="493"/>
      <c r="G46" s="202"/>
    </row>
    <row r="47" spans="1:7" s="150" customFormat="1" x14ac:dyDescent="0.25">
      <c r="B47" s="161"/>
      <c r="C47" s="161"/>
      <c r="D47" s="491"/>
      <c r="E47" s="492"/>
      <c r="F47" s="493"/>
      <c r="G47" s="202"/>
    </row>
    <row r="48" spans="1:7" s="150" customFormat="1" x14ac:dyDescent="0.25"/>
    <row r="49" spans="2:7" s="150" customFormat="1" x14ac:dyDescent="0.25">
      <c r="B49" s="446" t="s">
        <v>266</v>
      </c>
      <c r="C49" s="447"/>
      <c r="D49" s="447"/>
      <c r="E49" s="447"/>
      <c r="F49" s="448"/>
      <c r="G49" s="197"/>
    </row>
    <row r="50" spans="2:7" s="150" customFormat="1" x14ac:dyDescent="0.25">
      <c r="B50" s="488"/>
      <c r="C50" s="489"/>
      <c r="D50" s="489"/>
      <c r="E50" s="489"/>
      <c r="F50" s="490"/>
      <c r="G50" s="191"/>
    </row>
    <row r="51" spans="2:7" s="150" customFormat="1" x14ac:dyDescent="0.25"/>
    <row r="52" spans="2:7" s="150" customFormat="1" x14ac:dyDescent="0.25">
      <c r="B52" s="446" t="s">
        <v>372</v>
      </c>
      <c r="C52" s="447"/>
      <c r="D52" s="447"/>
      <c r="E52" s="447"/>
      <c r="F52" s="448"/>
      <c r="G52" s="197"/>
    </row>
    <row r="53" spans="2:7" x14ac:dyDescent="0.25">
      <c r="B53" s="488"/>
      <c r="C53" s="489"/>
      <c r="D53" s="489"/>
      <c r="E53" s="489"/>
      <c r="F53" s="490"/>
      <c r="G53" s="191"/>
    </row>
  </sheetData>
  <mergeCells count="38">
    <mergeCell ref="C9:F9"/>
    <mergeCell ref="C5:F5"/>
    <mergeCell ref="C6:F6"/>
    <mergeCell ref="C7:F7"/>
    <mergeCell ref="C8:F8"/>
    <mergeCell ref="C10:F10"/>
    <mergeCell ref="B12:F12"/>
    <mergeCell ref="B13:C13"/>
    <mergeCell ref="D13:F13"/>
    <mergeCell ref="B14:C14"/>
    <mergeCell ref="D14:F14"/>
    <mergeCell ref="B19:F19"/>
    <mergeCell ref="B20:F20"/>
    <mergeCell ref="B21:F21"/>
    <mergeCell ref="B22:F22"/>
    <mergeCell ref="B24:F24"/>
    <mergeCell ref="B25:F25"/>
    <mergeCell ref="B27:F27"/>
    <mergeCell ref="B28:F28"/>
    <mergeCell ref="B29:F29"/>
    <mergeCell ref="B30:F30"/>
    <mergeCell ref="B40:F40"/>
    <mergeCell ref="B32:F32"/>
    <mergeCell ref="B33:F33"/>
    <mergeCell ref="B35:F35"/>
    <mergeCell ref="C36:F36"/>
    <mergeCell ref="C37:F37"/>
    <mergeCell ref="C38:F38"/>
    <mergeCell ref="B49:F49"/>
    <mergeCell ref="B50:F50"/>
    <mergeCell ref="B52:F52"/>
    <mergeCell ref="B53:F53"/>
    <mergeCell ref="B41:F41"/>
    <mergeCell ref="B43:F43"/>
    <mergeCell ref="D44:F44"/>
    <mergeCell ref="D45:F45"/>
    <mergeCell ref="D46:F46"/>
    <mergeCell ref="D47:F47"/>
  </mergeCells>
  <dataValidations count="2">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3 IY65533 SU65533 ACQ65533 AMM65533 AWI65533 BGE65533 BQA65533 BZW65533 CJS65533 CTO65533 DDK65533 DNG65533 DXC65533 EGY65533 EQU65533 FAQ65533 FKM65533 FUI65533 GEE65533 GOA65533 GXW65533 HHS65533 HRO65533 IBK65533 ILG65533 IVC65533 JEY65533 JOU65533 JYQ65533 KIM65533 KSI65533 LCE65533 LMA65533 LVW65533 MFS65533 MPO65533 MZK65533 NJG65533 NTC65533 OCY65533 OMU65533 OWQ65533 PGM65533 PQI65533 QAE65533 QKA65533 QTW65533 RDS65533 RNO65533 RXK65533 SHG65533 SRC65533 TAY65533 TKU65533 TUQ65533 UEM65533 UOI65533 UYE65533 VIA65533 VRW65533 WBS65533 WLO65533 WVK65533 C131069 IY131069 SU131069 ACQ131069 AMM131069 AWI131069 BGE131069 BQA131069 BZW131069 CJS131069 CTO131069 DDK131069 DNG131069 DXC131069 EGY131069 EQU131069 FAQ131069 FKM131069 FUI131069 GEE131069 GOA131069 GXW131069 HHS131069 HRO131069 IBK131069 ILG131069 IVC131069 JEY131069 JOU131069 JYQ131069 KIM131069 KSI131069 LCE131069 LMA131069 LVW131069 MFS131069 MPO131069 MZK131069 NJG131069 NTC131069 OCY131069 OMU131069 OWQ131069 PGM131069 PQI131069 QAE131069 QKA131069 QTW131069 RDS131069 RNO131069 RXK131069 SHG131069 SRC131069 TAY131069 TKU131069 TUQ131069 UEM131069 UOI131069 UYE131069 VIA131069 VRW131069 WBS131069 WLO131069 WVK131069 C196605 IY196605 SU196605 ACQ196605 AMM196605 AWI196605 BGE196605 BQA196605 BZW196605 CJS196605 CTO196605 DDK196605 DNG196605 DXC196605 EGY196605 EQU196605 FAQ196605 FKM196605 FUI196605 GEE196605 GOA196605 GXW196605 HHS196605 HRO196605 IBK196605 ILG196605 IVC196605 JEY196605 JOU196605 JYQ196605 KIM196605 KSI196605 LCE196605 LMA196605 LVW196605 MFS196605 MPO196605 MZK196605 NJG196605 NTC196605 OCY196605 OMU196605 OWQ196605 PGM196605 PQI196605 QAE196605 QKA196605 QTW196605 RDS196605 RNO196605 RXK196605 SHG196605 SRC196605 TAY196605 TKU196605 TUQ196605 UEM196605 UOI196605 UYE196605 VIA196605 VRW196605 WBS196605 WLO196605 WVK196605 C262141 IY262141 SU262141 ACQ262141 AMM262141 AWI262141 BGE262141 BQA262141 BZW262141 CJS262141 CTO262141 DDK262141 DNG262141 DXC262141 EGY262141 EQU262141 FAQ262141 FKM262141 FUI262141 GEE262141 GOA262141 GXW262141 HHS262141 HRO262141 IBK262141 ILG262141 IVC262141 JEY262141 JOU262141 JYQ262141 KIM262141 KSI262141 LCE262141 LMA262141 LVW262141 MFS262141 MPO262141 MZK262141 NJG262141 NTC262141 OCY262141 OMU262141 OWQ262141 PGM262141 PQI262141 QAE262141 QKA262141 QTW262141 RDS262141 RNO262141 RXK262141 SHG262141 SRC262141 TAY262141 TKU262141 TUQ262141 UEM262141 UOI262141 UYE262141 VIA262141 VRW262141 WBS262141 WLO262141 WVK262141 C327677 IY327677 SU327677 ACQ327677 AMM327677 AWI327677 BGE327677 BQA327677 BZW327677 CJS327677 CTO327677 DDK327677 DNG327677 DXC327677 EGY327677 EQU327677 FAQ327677 FKM327677 FUI327677 GEE327677 GOA327677 GXW327677 HHS327677 HRO327677 IBK327677 ILG327677 IVC327677 JEY327677 JOU327677 JYQ327677 KIM327677 KSI327677 LCE327677 LMA327677 LVW327677 MFS327677 MPO327677 MZK327677 NJG327677 NTC327677 OCY327677 OMU327677 OWQ327677 PGM327677 PQI327677 QAE327677 QKA327677 QTW327677 RDS327677 RNO327677 RXK327677 SHG327677 SRC327677 TAY327677 TKU327677 TUQ327677 UEM327677 UOI327677 UYE327677 VIA327677 VRW327677 WBS327677 WLO327677 WVK327677 C393213 IY393213 SU393213 ACQ393213 AMM393213 AWI393213 BGE393213 BQA393213 BZW393213 CJS393213 CTO393213 DDK393213 DNG393213 DXC393213 EGY393213 EQU393213 FAQ393213 FKM393213 FUI393213 GEE393213 GOA393213 GXW393213 HHS393213 HRO393213 IBK393213 ILG393213 IVC393213 JEY393213 JOU393213 JYQ393213 KIM393213 KSI393213 LCE393213 LMA393213 LVW393213 MFS393213 MPO393213 MZK393213 NJG393213 NTC393213 OCY393213 OMU393213 OWQ393213 PGM393213 PQI393213 QAE393213 QKA393213 QTW393213 RDS393213 RNO393213 RXK393213 SHG393213 SRC393213 TAY393213 TKU393213 TUQ393213 UEM393213 UOI393213 UYE393213 VIA393213 VRW393213 WBS393213 WLO393213 WVK393213 C458749 IY458749 SU458749 ACQ458749 AMM458749 AWI458749 BGE458749 BQA458749 BZW458749 CJS458749 CTO458749 DDK458749 DNG458749 DXC458749 EGY458749 EQU458749 FAQ458749 FKM458749 FUI458749 GEE458749 GOA458749 GXW458749 HHS458749 HRO458749 IBK458749 ILG458749 IVC458749 JEY458749 JOU458749 JYQ458749 KIM458749 KSI458749 LCE458749 LMA458749 LVW458749 MFS458749 MPO458749 MZK458749 NJG458749 NTC458749 OCY458749 OMU458749 OWQ458749 PGM458749 PQI458749 QAE458749 QKA458749 QTW458749 RDS458749 RNO458749 RXK458749 SHG458749 SRC458749 TAY458749 TKU458749 TUQ458749 UEM458749 UOI458749 UYE458749 VIA458749 VRW458749 WBS458749 WLO458749 WVK458749 C524285 IY524285 SU524285 ACQ524285 AMM524285 AWI524285 BGE524285 BQA524285 BZW524285 CJS524285 CTO524285 DDK524285 DNG524285 DXC524285 EGY524285 EQU524285 FAQ524285 FKM524285 FUI524285 GEE524285 GOA524285 GXW524285 HHS524285 HRO524285 IBK524285 ILG524285 IVC524285 JEY524285 JOU524285 JYQ524285 KIM524285 KSI524285 LCE524285 LMA524285 LVW524285 MFS524285 MPO524285 MZK524285 NJG524285 NTC524285 OCY524285 OMU524285 OWQ524285 PGM524285 PQI524285 QAE524285 QKA524285 QTW524285 RDS524285 RNO524285 RXK524285 SHG524285 SRC524285 TAY524285 TKU524285 TUQ524285 UEM524285 UOI524285 UYE524285 VIA524285 VRW524285 WBS524285 WLO524285 WVK524285 C589821 IY589821 SU589821 ACQ589821 AMM589821 AWI589821 BGE589821 BQA589821 BZW589821 CJS589821 CTO589821 DDK589821 DNG589821 DXC589821 EGY589821 EQU589821 FAQ589821 FKM589821 FUI589821 GEE589821 GOA589821 GXW589821 HHS589821 HRO589821 IBK589821 ILG589821 IVC589821 JEY589821 JOU589821 JYQ589821 KIM589821 KSI589821 LCE589821 LMA589821 LVW589821 MFS589821 MPO589821 MZK589821 NJG589821 NTC589821 OCY589821 OMU589821 OWQ589821 PGM589821 PQI589821 QAE589821 QKA589821 QTW589821 RDS589821 RNO589821 RXK589821 SHG589821 SRC589821 TAY589821 TKU589821 TUQ589821 UEM589821 UOI589821 UYE589821 VIA589821 VRW589821 WBS589821 WLO589821 WVK589821 C655357 IY655357 SU655357 ACQ655357 AMM655357 AWI655357 BGE655357 BQA655357 BZW655357 CJS655357 CTO655357 DDK655357 DNG655357 DXC655357 EGY655357 EQU655357 FAQ655357 FKM655357 FUI655357 GEE655357 GOA655357 GXW655357 HHS655357 HRO655357 IBK655357 ILG655357 IVC655357 JEY655357 JOU655357 JYQ655357 KIM655357 KSI655357 LCE655357 LMA655357 LVW655357 MFS655357 MPO655357 MZK655357 NJG655357 NTC655357 OCY655357 OMU655357 OWQ655357 PGM655357 PQI655357 QAE655357 QKA655357 QTW655357 RDS655357 RNO655357 RXK655357 SHG655357 SRC655357 TAY655357 TKU655357 TUQ655357 UEM655357 UOI655357 UYE655357 VIA655357 VRW655357 WBS655357 WLO655357 WVK655357 C720893 IY720893 SU720893 ACQ720893 AMM720893 AWI720893 BGE720893 BQA720893 BZW720893 CJS720893 CTO720893 DDK720893 DNG720893 DXC720893 EGY720893 EQU720893 FAQ720893 FKM720893 FUI720893 GEE720893 GOA720893 GXW720893 HHS720893 HRO720893 IBK720893 ILG720893 IVC720893 JEY720893 JOU720893 JYQ720893 KIM720893 KSI720893 LCE720893 LMA720893 LVW720893 MFS720893 MPO720893 MZK720893 NJG720893 NTC720893 OCY720893 OMU720893 OWQ720893 PGM720893 PQI720893 QAE720893 QKA720893 QTW720893 RDS720893 RNO720893 RXK720893 SHG720893 SRC720893 TAY720893 TKU720893 TUQ720893 UEM720893 UOI720893 UYE720893 VIA720893 VRW720893 WBS720893 WLO720893 WVK720893 C786429 IY786429 SU786429 ACQ786429 AMM786429 AWI786429 BGE786429 BQA786429 BZW786429 CJS786429 CTO786429 DDK786429 DNG786429 DXC786429 EGY786429 EQU786429 FAQ786429 FKM786429 FUI786429 GEE786429 GOA786429 GXW786429 HHS786429 HRO786429 IBK786429 ILG786429 IVC786429 JEY786429 JOU786429 JYQ786429 KIM786429 KSI786429 LCE786429 LMA786429 LVW786429 MFS786429 MPO786429 MZK786429 NJG786429 NTC786429 OCY786429 OMU786429 OWQ786429 PGM786429 PQI786429 QAE786429 QKA786429 QTW786429 RDS786429 RNO786429 RXK786429 SHG786429 SRC786429 TAY786429 TKU786429 TUQ786429 UEM786429 UOI786429 UYE786429 VIA786429 VRW786429 WBS786429 WLO786429 WVK786429 C851965 IY851965 SU851965 ACQ851965 AMM851965 AWI851965 BGE851965 BQA851965 BZW851965 CJS851965 CTO851965 DDK851965 DNG851965 DXC851965 EGY851965 EQU851965 FAQ851965 FKM851965 FUI851965 GEE851965 GOA851965 GXW851965 HHS851965 HRO851965 IBK851965 ILG851965 IVC851965 JEY851965 JOU851965 JYQ851965 KIM851965 KSI851965 LCE851965 LMA851965 LVW851965 MFS851965 MPO851965 MZK851965 NJG851965 NTC851965 OCY851965 OMU851965 OWQ851965 PGM851965 PQI851965 QAE851965 QKA851965 QTW851965 RDS851965 RNO851965 RXK851965 SHG851965 SRC851965 TAY851965 TKU851965 TUQ851965 UEM851965 UOI851965 UYE851965 VIA851965 VRW851965 WBS851965 WLO851965 WVK851965 C917501 IY917501 SU917501 ACQ917501 AMM917501 AWI917501 BGE917501 BQA917501 BZW917501 CJS917501 CTO917501 DDK917501 DNG917501 DXC917501 EGY917501 EQU917501 FAQ917501 FKM917501 FUI917501 GEE917501 GOA917501 GXW917501 HHS917501 HRO917501 IBK917501 ILG917501 IVC917501 JEY917501 JOU917501 JYQ917501 KIM917501 KSI917501 LCE917501 LMA917501 LVW917501 MFS917501 MPO917501 MZK917501 NJG917501 NTC917501 OCY917501 OMU917501 OWQ917501 PGM917501 PQI917501 QAE917501 QKA917501 QTW917501 RDS917501 RNO917501 RXK917501 SHG917501 SRC917501 TAY917501 TKU917501 TUQ917501 UEM917501 UOI917501 UYE917501 VIA917501 VRW917501 WBS917501 WLO917501 WVK917501 C983037 IY983037 SU983037 ACQ983037 AMM983037 AWI983037 BGE983037 BQA983037 BZW983037 CJS983037 CTO983037 DDK983037 DNG983037 DXC983037 EGY983037 EQU983037 FAQ983037 FKM983037 FUI983037 GEE983037 GOA983037 GXW983037 HHS983037 HRO983037 IBK983037 ILG983037 IVC983037 JEY983037 JOU983037 JYQ983037 KIM983037 KSI983037 LCE983037 LMA983037 LVW983037 MFS983037 MPO983037 MZK983037 NJG983037 NTC983037 OCY983037 OMU983037 OWQ983037 PGM983037 PQI983037 QAE983037 QKA983037 QTW983037 RDS983037 RNO983037 RXK983037 SHG983037 SRC983037 TAY983037 TKU983037 TUQ983037 UEM983037 UOI983037 UYE983037 VIA983037 VRW983037 WBS983037 WLO983037 WVK983037">
      <formula1>"Mise à jour à partir du plan d'études, Nouvelle création"</formula1>
    </dataValidation>
    <dataValidation type="list" allowBlank="1" showInputMessage="1" showErrorMessage="1" sqref="C45:C47 IY45:IY47 SU45:SU47 ACQ45:ACQ47 AMM45:AMM47 AWI45:AWI47 BGE45:BGE47 BQA45:BQA47 BZW45:BZW47 CJS45:CJS47 CTO45:CTO47 DDK45:DDK47 DNG45:DNG47 DXC45:DXC47 EGY45:EGY47 EQU45:EQU47 FAQ45:FAQ47 FKM45:FKM47 FUI45:FUI47 GEE45:GEE47 GOA45:GOA47 GXW45:GXW47 HHS45:HHS47 HRO45:HRO47 IBK45:IBK47 ILG45:ILG47 IVC45:IVC47 JEY45:JEY47 JOU45:JOU47 JYQ45:JYQ47 KIM45:KIM47 KSI45:KSI47 LCE45:LCE47 LMA45:LMA47 LVW45:LVW47 MFS45:MFS47 MPO45:MPO47 MZK45:MZK47 NJG45:NJG47 NTC45:NTC47 OCY45:OCY47 OMU45:OMU47 OWQ45:OWQ47 PGM45:PGM47 PQI45:PQI47 QAE45:QAE47 QKA45:QKA47 QTW45:QTW47 RDS45:RDS47 RNO45:RNO47 RXK45:RXK47 SHG45:SHG47 SRC45:SRC47 TAY45:TAY47 TKU45:TKU47 TUQ45:TUQ47 UEM45:UEM47 UOI45:UOI47 UYE45:UYE47 VIA45:VIA47 VRW45:VRW47 WBS45:WBS47 WLO45:WLO47 WVK45:WVK47 C65581:C65583 IY65581:IY65583 SU65581:SU65583 ACQ65581:ACQ65583 AMM65581:AMM65583 AWI65581:AWI65583 BGE65581:BGE65583 BQA65581:BQA65583 BZW65581:BZW65583 CJS65581:CJS65583 CTO65581:CTO65583 DDK65581:DDK65583 DNG65581:DNG65583 DXC65581:DXC65583 EGY65581:EGY65583 EQU65581:EQU65583 FAQ65581:FAQ65583 FKM65581:FKM65583 FUI65581:FUI65583 GEE65581:GEE65583 GOA65581:GOA65583 GXW65581:GXW65583 HHS65581:HHS65583 HRO65581:HRO65583 IBK65581:IBK65583 ILG65581:ILG65583 IVC65581:IVC65583 JEY65581:JEY65583 JOU65581:JOU65583 JYQ65581:JYQ65583 KIM65581:KIM65583 KSI65581:KSI65583 LCE65581:LCE65583 LMA65581:LMA65583 LVW65581:LVW65583 MFS65581:MFS65583 MPO65581:MPO65583 MZK65581:MZK65583 NJG65581:NJG65583 NTC65581:NTC65583 OCY65581:OCY65583 OMU65581:OMU65583 OWQ65581:OWQ65583 PGM65581:PGM65583 PQI65581:PQI65583 QAE65581:QAE65583 QKA65581:QKA65583 QTW65581:QTW65583 RDS65581:RDS65583 RNO65581:RNO65583 RXK65581:RXK65583 SHG65581:SHG65583 SRC65581:SRC65583 TAY65581:TAY65583 TKU65581:TKU65583 TUQ65581:TUQ65583 UEM65581:UEM65583 UOI65581:UOI65583 UYE65581:UYE65583 VIA65581:VIA65583 VRW65581:VRW65583 WBS65581:WBS65583 WLO65581:WLO65583 WVK65581:WVK65583 C131117:C131119 IY131117:IY131119 SU131117:SU131119 ACQ131117:ACQ131119 AMM131117:AMM131119 AWI131117:AWI131119 BGE131117:BGE131119 BQA131117:BQA131119 BZW131117:BZW131119 CJS131117:CJS131119 CTO131117:CTO131119 DDK131117:DDK131119 DNG131117:DNG131119 DXC131117:DXC131119 EGY131117:EGY131119 EQU131117:EQU131119 FAQ131117:FAQ131119 FKM131117:FKM131119 FUI131117:FUI131119 GEE131117:GEE131119 GOA131117:GOA131119 GXW131117:GXW131119 HHS131117:HHS131119 HRO131117:HRO131119 IBK131117:IBK131119 ILG131117:ILG131119 IVC131117:IVC131119 JEY131117:JEY131119 JOU131117:JOU131119 JYQ131117:JYQ131119 KIM131117:KIM131119 KSI131117:KSI131119 LCE131117:LCE131119 LMA131117:LMA131119 LVW131117:LVW131119 MFS131117:MFS131119 MPO131117:MPO131119 MZK131117:MZK131119 NJG131117:NJG131119 NTC131117:NTC131119 OCY131117:OCY131119 OMU131117:OMU131119 OWQ131117:OWQ131119 PGM131117:PGM131119 PQI131117:PQI131119 QAE131117:QAE131119 QKA131117:QKA131119 QTW131117:QTW131119 RDS131117:RDS131119 RNO131117:RNO131119 RXK131117:RXK131119 SHG131117:SHG131119 SRC131117:SRC131119 TAY131117:TAY131119 TKU131117:TKU131119 TUQ131117:TUQ131119 UEM131117:UEM131119 UOI131117:UOI131119 UYE131117:UYE131119 VIA131117:VIA131119 VRW131117:VRW131119 WBS131117:WBS131119 WLO131117:WLO131119 WVK131117:WVK131119 C196653:C196655 IY196653:IY196655 SU196653:SU196655 ACQ196653:ACQ196655 AMM196653:AMM196655 AWI196653:AWI196655 BGE196653:BGE196655 BQA196653:BQA196655 BZW196653:BZW196655 CJS196653:CJS196655 CTO196653:CTO196655 DDK196653:DDK196655 DNG196653:DNG196655 DXC196653:DXC196655 EGY196653:EGY196655 EQU196653:EQU196655 FAQ196653:FAQ196655 FKM196653:FKM196655 FUI196653:FUI196655 GEE196653:GEE196655 GOA196653:GOA196655 GXW196653:GXW196655 HHS196653:HHS196655 HRO196653:HRO196655 IBK196653:IBK196655 ILG196653:ILG196655 IVC196653:IVC196655 JEY196653:JEY196655 JOU196653:JOU196655 JYQ196653:JYQ196655 KIM196653:KIM196655 KSI196653:KSI196655 LCE196653:LCE196655 LMA196653:LMA196655 LVW196653:LVW196655 MFS196653:MFS196655 MPO196653:MPO196655 MZK196653:MZK196655 NJG196653:NJG196655 NTC196653:NTC196655 OCY196653:OCY196655 OMU196653:OMU196655 OWQ196653:OWQ196655 PGM196653:PGM196655 PQI196653:PQI196655 QAE196653:QAE196655 QKA196653:QKA196655 QTW196653:QTW196655 RDS196653:RDS196655 RNO196653:RNO196655 RXK196653:RXK196655 SHG196653:SHG196655 SRC196653:SRC196655 TAY196653:TAY196655 TKU196653:TKU196655 TUQ196653:TUQ196655 UEM196653:UEM196655 UOI196653:UOI196655 UYE196653:UYE196655 VIA196653:VIA196655 VRW196653:VRW196655 WBS196653:WBS196655 WLO196653:WLO196655 WVK196653:WVK196655 C262189:C262191 IY262189:IY262191 SU262189:SU262191 ACQ262189:ACQ262191 AMM262189:AMM262191 AWI262189:AWI262191 BGE262189:BGE262191 BQA262189:BQA262191 BZW262189:BZW262191 CJS262189:CJS262191 CTO262189:CTO262191 DDK262189:DDK262191 DNG262189:DNG262191 DXC262189:DXC262191 EGY262189:EGY262191 EQU262189:EQU262191 FAQ262189:FAQ262191 FKM262189:FKM262191 FUI262189:FUI262191 GEE262189:GEE262191 GOA262189:GOA262191 GXW262189:GXW262191 HHS262189:HHS262191 HRO262189:HRO262191 IBK262189:IBK262191 ILG262189:ILG262191 IVC262189:IVC262191 JEY262189:JEY262191 JOU262189:JOU262191 JYQ262189:JYQ262191 KIM262189:KIM262191 KSI262189:KSI262191 LCE262189:LCE262191 LMA262189:LMA262191 LVW262189:LVW262191 MFS262189:MFS262191 MPO262189:MPO262191 MZK262189:MZK262191 NJG262189:NJG262191 NTC262189:NTC262191 OCY262189:OCY262191 OMU262189:OMU262191 OWQ262189:OWQ262191 PGM262189:PGM262191 PQI262189:PQI262191 QAE262189:QAE262191 QKA262189:QKA262191 QTW262189:QTW262191 RDS262189:RDS262191 RNO262189:RNO262191 RXK262189:RXK262191 SHG262189:SHG262191 SRC262189:SRC262191 TAY262189:TAY262191 TKU262189:TKU262191 TUQ262189:TUQ262191 UEM262189:UEM262191 UOI262189:UOI262191 UYE262189:UYE262191 VIA262189:VIA262191 VRW262189:VRW262191 WBS262189:WBS262191 WLO262189:WLO262191 WVK262189:WVK262191 C327725:C327727 IY327725:IY327727 SU327725:SU327727 ACQ327725:ACQ327727 AMM327725:AMM327727 AWI327725:AWI327727 BGE327725:BGE327727 BQA327725:BQA327727 BZW327725:BZW327727 CJS327725:CJS327727 CTO327725:CTO327727 DDK327725:DDK327727 DNG327725:DNG327727 DXC327725:DXC327727 EGY327725:EGY327727 EQU327725:EQU327727 FAQ327725:FAQ327727 FKM327725:FKM327727 FUI327725:FUI327727 GEE327725:GEE327727 GOA327725:GOA327727 GXW327725:GXW327727 HHS327725:HHS327727 HRO327725:HRO327727 IBK327725:IBK327727 ILG327725:ILG327727 IVC327725:IVC327727 JEY327725:JEY327727 JOU327725:JOU327727 JYQ327725:JYQ327727 KIM327725:KIM327727 KSI327725:KSI327727 LCE327725:LCE327727 LMA327725:LMA327727 LVW327725:LVW327727 MFS327725:MFS327727 MPO327725:MPO327727 MZK327725:MZK327727 NJG327725:NJG327727 NTC327725:NTC327727 OCY327725:OCY327727 OMU327725:OMU327727 OWQ327725:OWQ327727 PGM327725:PGM327727 PQI327725:PQI327727 QAE327725:QAE327727 QKA327725:QKA327727 QTW327725:QTW327727 RDS327725:RDS327727 RNO327725:RNO327727 RXK327725:RXK327727 SHG327725:SHG327727 SRC327725:SRC327727 TAY327725:TAY327727 TKU327725:TKU327727 TUQ327725:TUQ327727 UEM327725:UEM327727 UOI327725:UOI327727 UYE327725:UYE327727 VIA327725:VIA327727 VRW327725:VRW327727 WBS327725:WBS327727 WLO327725:WLO327727 WVK327725:WVK327727 C393261:C393263 IY393261:IY393263 SU393261:SU393263 ACQ393261:ACQ393263 AMM393261:AMM393263 AWI393261:AWI393263 BGE393261:BGE393263 BQA393261:BQA393263 BZW393261:BZW393263 CJS393261:CJS393263 CTO393261:CTO393263 DDK393261:DDK393263 DNG393261:DNG393263 DXC393261:DXC393263 EGY393261:EGY393263 EQU393261:EQU393263 FAQ393261:FAQ393263 FKM393261:FKM393263 FUI393261:FUI393263 GEE393261:GEE393263 GOA393261:GOA393263 GXW393261:GXW393263 HHS393261:HHS393263 HRO393261:HRO393263 IBK393261:IBK393263 ILG393261:ILG393263 IVC393261:IVC393263 JEY393261:JEY393263 JOU393261:JOU393263 JYQ393261:JYQ393263 KIM393261:KIM393263 KSI393261:KSI393263 LCE393261:LCE393263 LMA393261:LMA393263 LVW393261:LVW393263 MFS393261:MFS393263 MPO393261:MPO393263 MZK393261:MZK393263 NJG393261:NJG393263 NTC393261:NTC393263 OCY393261:OCY393263 OMU393261:OMU393263 OWQ393261:OWQ393263 PGM393261:PGM393263 PQI393261:PQI393263 QAE393261:QAE393263 QKA393261:QKA393263 QTW393261:QTW393263 RDS393261:RDS393263 RNO393261:RNO393263 RXK393261:RXK393263 SHG393261:SHG393263 SRC393261:SRC393263 TAY393261:TAY393263 TKU393261:TKU393263 TUQ393261:TUQ393263 UEM393261:UEM393263 UOI393261:UOI393263 UYE393261:UYE393263 VIA393261:VIA393263 VRW393261:VRW393263 WBS393261:WBS393263 WLO393261:WLO393263 WVK393261:WVK393263 C458797:C458799 IY458797:IY458799 SU458797:SU458799 ACQ458797:ACQ458799 AMM458797:AMM458799 AWI458797:AWI458799 BGE458797:BGE458799 BQA458797:BQA458799 BZW458797:BZW458799 CJS458797:CJS458799 CTO458797:CTO458799 DDK458797:DDK458799 DNG458797:DNG458799 DXC458797:DXC458799 EGY458797:EGY458799 EQU458797:EQU458799 FAQ458797:FAQ458799 FKM458797:FKM458799 FUI458797:FUI458799 GEE458797:GEE458799 GOA458797:GOA458799 GXW458797:GXW458799 HHS458797:HHS458799 HRO458797:HRO458799 IBK458797:IBK458799 ILG458797:ILG458799 IVC458797:IVC458799 JEY458797:JEY458799 JOU458797:JOU458799 JYQ458797:JYQ458799 KIM458797:KIM458799 KSI458797:KSI458799 LCE458797:LCE458799 LMA458797:LMA458799 LVW458797:LVW458799 MFS458797:MFS458799 MPO458797:MPO458799 MZK458797:MZK458799 NJG458797:NJG458799 NTC458797:NTC458799 OCY458797:OCY458799 OMU458797:OMU458799 OWQ458797:OWQ458799 PGM458797:PGM458799 PQI458797:PQI458799 QAE458797:QAE458799 QKA458797:QKA458799 QTW458797:QTW458799 RDS458797:RDS458799 RNO458797:RNO458799 RXK458797:RXK458799 SHG458797:SHG458799 SRC458797:SRC458799 TAY458797:TAY458799 TKU458797:TKU458799 TUQ458797:TUQ458799 UEM458797:UEM458799 UOI458797:UOI458799 UYE458797:UYE458799 VIA458797:VIA458799 VRW458797:VRW458799 WBS458797:WBS458799 WLO458797:WLO458799 WVK458797:WVK458799 C524333:C524335 IY524333:IY524335 SU524333:SU524335 ACQ524333:ACQ524335 AMM524333:AMM524335 AWI524333:AWI524335 BGE524333:BGE524335 BQA524333:BQA524335 BZW524333:BZW524335 CJS524333:CJS524335 CTO524333:CTO524335 DDK524333:DDK524335 DNG524333:DNG524335 DXC524333:DXC524335 EGY524333:EGY524335 EQU524333:EQU524335 FAQ524333:FAQ524335 FKM524333:FKM524335 FUI524333:FUI524335 GEE524333:GEE524335 GOA524333:GOA524335 GXW524333:GXW524335 HHS524333:HHS524335 HRO524333:HRO524335 IBK524333:IBK524335 ILG524333:ILG524335 IVC524333:IVC524335 JEY524333:JEY524335 JOU524333:JOU524335 JYQ524333:JYQ524335 KIM524333:KIM524335 KSI524333:KSI524335 LCE524333:LCE524335 LMA524333:LMA524335 LVW524333:LVW524335 MFS524333:MFS524335 MPO524333:MPO524335 MZK524333:MZK524335 NJG524333:NJG524335 NTC524333:NTC524335 OCY524333:OCY524335 OMU524333:OMU524335 OWQ524333:OWQ524335 PGM524333:PGM524335 PQI524333:PQI524335 QAE524333:QAE524335 QKA524333:QKA524335 QTW524333:QTW524335 RDS524333:RDS524335 RNO524333:RNO524335 RXK524333:RXK524335 SHG524333:SHG524335 SRC524333:SRC524335 TAY524333:TAY524335 TKU524333:TKU524335 TUQ524333:TUQ524335 UEM524333:UEM524335 UOI524333:UOI524335 UYE524333:UYE524335 VIA524333:VIA524335 VRW524333:VRW524335 WBS524333:WBS524335 WLO524333:WLO524335 WVK524333:WVK524335 C589869:C589871 IY589869:IY589871 SU589869:SU589871 ACQ589869:ACQ589871 AMM589869:AMM589871 AWI589869:AWI589871 BGE589869:BGE589871 BQA589869:BQA589871 BZW589869:BZW589871 CJS589869:CJS589871 CTO589869:CTO589871 DDK589869:DDK589871 DNG589869:DNG589871 DXC589869:DXC589871 EGY589869:EGY589871 EQU589869:EQU589871 FAQ589869:FAQ589871 FKM589869:FKM589871 FUI589869:FUI589871 GEE589869:GEE589871 GOA589869:GOA589871 GXW589869:GXW589871 HHS589869:HHS589871 HRO589869:HRO589871 IBK589869:IBK589871 ILG589869:ILG589871 IVC589869:IVC589871 JEY589869:JEY589871 JOU589869:JOU589871 JYQ589869:JYQ589871 KIM589869:KIM589871 KSI589869:KSI589871 LCE589869:LCE589871 LMA589869:LMA589871 LVW589869:LVW589871 MFS589869:MFS589871 MPO589869:MPO589871 MZK589869:MZK589871 NJG589869:NJG589871 NTC589869:NTC589871 OCY589869:OCY589871 OMU589869:OMU589871 OWQ589869:OWQ589871 PGM589869:PGM589871 PQI589869:PQI589871 QAE589869:QAE589871 QKA589869:QKA589871 QTW589869:QTW589871 RDS589869:RDS589871 RNO589869:RNO589871 RXK589869:RXK589871 SHG589869:SHG589871 SRC589869:SRC589871 TAY589869:TAY589871 TKU589869:TKU589871 TUQ589869:TUQ589871 UEM589869:UEM589871 UOI589869:UOI589871 UYE589869:UYE589871 VIA589869:VIA589871 VRW589869:VRW589871 WBS589869:WBS589871 WLO589869:WLO589871 WVK589869:WVK589871 C655405:C655407 IY655405:IY655407 SU655405:SU655407 ACQ655405:ACQ655407 AMM655405:AMM655407 AWI655405:AWI655407 BGE655405:BGE655407 BQA655405:BQA655407 BZW655405:BZW655407 CJS655405:CJS655407 CTO655405:CTO655407 DDK655405:DDK655407 DNG655405:DNG655407 DXC655405:DXC655407 EGY655405:EGY655407 EQU655405:EQU655407 FAQ655405:FAQ655407 FKM655405:FKM655407 FUI655405:FUI655407 GEE655405:GEE655407 GOA655405:GOA655407 GXW655405:GXW655407 HHS655405:HHS655407 HRO655405:HRO655407 IBK655405:IBK655407 ILG655405:ILG655407 IVC655405:IVC655407 JEY655405:JEY655407 JOU655405:JOU655407 JYQ655405:JYQ655407 KIM655405:KIM655407 KSI655405:KSI655407 LCE655405:LCE655407 LMA655405:LMA655407 LVW655405:LVW655407 MFS655405:MFS655407 MPO655405:MPO655407 MZK655405:MZK655407 NJG655405:NJG655407 NTC655405:NTC655407 OCY655405:OCY655407 OMU655405:OMU655407 OWQ655405:OWQ655407 PGM655405:PGM655407 PQI655405:PQI655407 QAE655405:QAE655407 QKA655405:QKA655407 QTW655405:QTW655407 RDS655405:RDS655407 RNO655405:RNO655407 RXK655405:RXK655407 SHG655405:SHG655407 SRC655405:SRC655407 TAY655405:TAY655407 TKU655405:TKU655407 TUQ655405:TUQ655407 UEM655405:UEM655407 UOI655405:UOI655407 UYE655405:UYE655407 VIA655405:VIA655407 VRW655405:VRW655407 WBS655405:WBS655407 WLO655405:WLO655407 WVK655405:WVK655407 C720941:C720943 IY720941:IY720943 SU720941:SU720943 ACQ720941:ACQ720943 AMM720941:AMM720943 AWI720941:AWI720943 BGE720941:BGE720943 BQA720941:BQA720943 BZW720941:BZW720943 CJS720941:CJS720943 CTO720941:CTO720943 DDK720941:DDK720943 DNG720941:DNG720943 DXC720941:DXC720943 EGY720941:EGY720943 EQU720941:EQU720943 FAQ720941:FAQ720943 FKM720941:FKM720943 FUI720941:FUI720943 GEE720941:GEE720943 GOA720941:GOA720943 GXW720941:GXW720943 HHS720941:HHS720943 HRO720941:HRO720943 IBK720941:IBK720943 ILG720941:ILG720943 IVC720941:IVC720943 JEY720941:JEY720943 JOU720941:JOU720943 JYQ720941:JYQ720943 KIM720941:KIM720943 KSI720941:KSI720943 LCE720941:LCE720943 LMA720941:LMA720943 LVW720941:LVW720943 MFS720941:MFS720943 MPO720941:MPO720943 MZK720941:MZK720943 NJG720941:NJG720943 NTC720941:NTC720943 OCY720941:OCY720943 OMU720941:OMU720943 OWQ720941:OWQ720943 PGM720941:PGM720943 PQI720941:PQI720943 QAE720941:QAE720943 QKA720941:QKA720943 QTW720941:QTW720943 RDS720941:RDS720943 RNO720941:RNO720943 RXK720941:RXK720943 SHG720941:SHG720943 SRC720941:SRC720943 TAY720941:TAY720943 TKU720941:TKU720943 TUQ720941:TUQ720943 UEM720941:UEM720943 UOI720941:UOI720943 UYE720941:UYE720943 VIA720941:VIA720943 VRW720941:VRW720943 WBS720941:WBS720943 WLO720941:WLO720943 WVK720941:WVK720943 C786477:C786479 IY786477:IY786479 SU786477:SU786479 ACQ786477:ACQ786479 AMM786477:AMM786479 AWI786477:AWI786479 BGE786477:BGE786479 BQA786477:BQA786479 BZW786477:BZW786479 CJS786477:CJS786479 CTO786477:CTO786479 DDK786477:DDK786479 DNG786477:DNG786479 DXC786477:DXC786479 EGY786477:EGY786479 EQU786477:EQU786479 FAQ786477:FAQ786479 FKM786477:FKM786479 FUI786477:FUI786479 GEE786477:GEE786479 GOA786477:GOA786479 GXW786477:GXW786479 HHS786477:HHS786479 HRO786477:HRO786479 IBK786477:IBK786479 ILG786477:ILG786479 IVC786477:IVC786479 JEY786477:JEY786479 JOU786477:JOU786479 JYQ786477:JYQ786479 KIM786477:KIM786479 KSI786477:KSI786479 LCE786477:LCE786479 LMA786477:LMA786479 LVW786477:LVW786479 MFS786477:MFS786479 MPO786477:MPO786479 MZK786477:MZK786479 NJG786477:NJG786479 NTC786477:NTC786479 OCY786477:OCY786479 OMU786477:OMU786479 OWQ786477:OWQ786479 PGM786477:PGM786479 PQI786477:PQI786479 QAE786477:QAE786479 QKA786477:QKA786479 QTW786477:QTW786479 RDS786477:RDS786479 RNO786477:RNO786479 RXK786477:RXK786479 SHG786477:SHG786479 SRC786477:SRC786479 TAY786477:TAY786479 TKU786477:TKU786479 TUQ786477:TUQ786479 UEM786477:UEM786479 UOI786477:UOI786479 UYE786477:UYE786479 VIA786477:VIA786479 VRW786477:VRW786479 WBS786477:WBS786479 WLO786477:WLO786479 WVK786477:WVK786479 C852013:C852015 IY852013:IY852015 SU852013:SU852015 ACQ852013:ACQ852015 AMM852013:AMM852015 AWI852013:AWI852015 BGE852013:BGE852015 BQA852013:BQA852015 BZW852013:BZW852015 CJS852013:CJS852015 CTO852013:CTO852015 DDK852013:DDK852015 DNG852013:DNG852015 DXC852013:DXC852015 EGY852013:EGY852015 EQU852013:EQU852015 FAQ852013:FAQ852015 FKM852013:FKM852015 FUI852013:FUI852015 GEE852013:GEE852015 GOA852013:GOA852015 GXW852013:GXW852015 HHS852013:HHS852015 HRO852013:HRO852015 IBK852013:IBK852015 ILG852013:ILG852015 IVC852013:IVC852015 JEY852013:JEY852015 JOU852013:JOU852015 JYQ852013:JYQ852015 KIM852013:KIM852015 KSI852013:KSI852015 LCE852013:LCE852015 LMA852013:LMA852015 LVW852013:LVW852015 MFS852013:MFS852015 MPO852013:MPO852015 MZK852013:MZK852015 NJG852013:NJG852015 NTC852013:NTC852015 OCY852013:OCY852015 OMU852013:OMU852015 OWQ852013:OWQ852015 PGM852013:PGM852015 PQI852013:PQI852015 QAE852013:QAE852015 QKA852013:QKA852015 QTW852013:QTW852015 RDS852013:RDS852015 RNO852013:RNO852015 RXK852013:RXK852015 SHG852013:SHG852015 SRC852013:SRC852015 TAY852013:TAY852015 TKU852013:TKU852015 TUQ852013:TUQ852015 UEM852013:UEM852015 UOI852013:UOI852015 UYE852013:UYE852015 VIA852013:VIA852015 VRW852013:VRW852015 WBS852013:WBS852015 WLO852013:WLO852015 WVK852013:WVK852015 C917549:C917551 IY917549:IY917551 SU917549:SU917551 ACQ917549:ACQ917551 AMM917549:AMM917551 AWI917549:AWI917551 BGE917549:BGE917551 BQA917549:BQA917551 BZW917549:BZW917551 CJS917549:CJS917551 CTO917549:CTO917551 DDK917549:DDK917551 DNG917549:DNG917551 DXC917549:DXC917551 EGY917549:EGY917551 EQU917549:EQU917551 FAQ917549:FAQ917551 FKM917549:FKM917551 FUI917549:FUI917551 GEE917549:GEE917551 GOA917549:GOA917551 GXW917549:GXW917551 HHS917549:HHS917551 HRO917549:HRO917551 IBK917549:IBK917551 ILG917549:ILG917551 IVC917549:IVC917551 JEY917549:JEY917551 JOU917549:JOU917551 JYQ917549:JYQ917551 KIM917549:KIM917551 KSI917549:KSI917551 LCE917549:LCE917551 LMA917549:LMA917551 LVW917549:LVW917551 MFS917549:MFS917551 MPO917549:MPO917551 MZK917549:MZK917551 NJG917549:NJG917551 NTC917549:NTC917551 OCY917549:OCY917551 OMU917549:OMU917551 OWQ917549:OWQ917551 PGM917549:PGM917551 PQI917549:PQI917551 QAE917549:QAE917551 QKA917549:QKA917551 QTW917549:QTW917551 RDS917549:RDS917551 RNO917549:RNO917551 RXK917549:RXK917551 SHG917549:SHG917551 SRC917549:SRC917551 TAY917549:TAY917551 TKU917549:TKU917551 TUQ917549:TUQ917551 UEM917549:UEM917551 UOI917549:UOI917551 UYE917549:UYE917551 VIA917549:VIA917551 VRW917549:VRW917551 WBS917549:WBS917551 WLO917549:WLO917551 WVK917549:WVK917551 C983085:C983087 IY983085:IY983087 SU983085:SU983087 ACQ983085:ACQ983087 AMM983085:AMM983087 AWI983085:AWI983087 BGE983085:BGE983087 BQA983085:BQA983087 BZW983085:BZW983087 CJS983085:CJS983087 CTO983085:CTO983087 DDK983085:DDK983087 DNG983085:DNG983087 DXC983085:DXC983087 EGY983085:EGY983087 EQU983085:EQU983087 FAQ983085:FAQ983087 FKM983085:FKM983087 FUI983085:FUI983087 GEE983085:GEE983087 GOA983085:GOA983087 GXW983085:GXW983087 HHS983085:HHS983087 HRO983085:HRO983087 IBK983085:IBK983087 ILG983085:ILG983087 IVC983085:IVC983087 JEY983085:JEY983087 JOU983085:JOU983087 JYQ983085:JYQ983087 KIM983085:KIM983087 KSI983085:KSI983087 LCE983085:LCE983087 LMA983085:LMA983087 LVW983085:LVW983087 MFS983085:MFS983087 MPO983085:MPO983087 MZK983085:MZK983087 NJG983085:NJG983087 NTC983085:NTC983087 OCY983085:OCY983087 OMU983085:OMU983087 OWQ983085:OWQ983087 PGM983085:PGM983087 PQI983085:PQI983087 QAE983085:QAE983087 QKA983085:QKA983087 QTW983085:QTW983087 RDS983085:RDS983087 RNO983085:RNO983087 RXK983085:RXK983087 SHG983085:SHG983087 SRC983085:SRC983087 TAY983085:TAY983087 TKU983085:TKU983087 TUQ983085:TUQ983087 UEM983085:UEM983087 UOI983085:UOI983087 UYE983085:UYE983087 VIA983085:VIA983087 VRW983085:VRW983087 WBS983085:WBS983087 WLO983085:WLO983087 WVK983085:WVK983087">
      <formula1>"Académique, Professionnel, Associatif, Autre"</formula1>
    </dataValidation>
  </dataValidations>
  <hyperlinks>
    <hyperlink ref="B1" location="'Schéma d''enseignement'!G16" display="Schéma d'enseignement"/>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C15"/>
  <sheetViews>
    <sheetView workbookViewId="0">
      <selection activeCell="F16" sqref="F16"/>
    </sheetView>
  </sheetViews>
  <sheetFormatPr baseColWidth="10" defaultColWidth="8.85546875" defaultRowHeight="15" x14ac:dyDescent="0.25"/>
  <cols>
    <col min="1" max="1" width="8.85546875" style="1"/>
    <col min="2" max="2" width="32.140625" style="1" customWidth="1"/>
    <col min="3" max="3" width="50.140625" style="1" customWidth="1"/>
    <col min="4" max="16384" width="8.85546875" style="1"/>
  </cols>
  <sheetData>
    <row r="2" spans="2:3" x14ac:dyDescent="0.25">
      <c r="B2" s="3" t="s">
        <v>1</v>
      </c>
      <c r="C2" s="109" t="s">
        <v>236</v>
      </c>
    </row>
    <row r="4" spans="2:3" x14ac:dyDescent="0.25">
      <c r="B4" s="443" t="s">
        <v>80</v>
      </c>
      <c r="C4" s="443"/>
    </row>
    <row r="5" spans="2:3" x14ac:dyDescent="0.25">
      <c r="B5" s="107" t="s">
        <v>82</v>
      </c>
      <c r="C5" s="107" t="s">
        <v>22</v>
      </c>
    </row>
    <row r="6" spans="2:3" x14ac:dyDescent="0.25">
      <c r="B6" s="401" t="s">
        <v>175</v>
      </c>
      <c r="C6" s="56" t="s">
        <v>165</v>
      </c>
    </row>
    <row r="7" spans="2:3" x14ac:dyDescent="0.25">
      <c r="B7" s="401"/>
      <c r="C7" s="56" t="s">
        <v>166</v>
      </c>
    </row>
    <row r="8" spans="2:3" x14ac:dyDescent="0.25">
      <c r="B8" s="183" t="s">
        <v>176</v>
      </c>
      <c r="C8" s="56" t="s">
        <v>167</v>
      </c>
    </row>
    <row r="9" spans="2:3" x14ac:dyDescent="0.25">
      <c r="B9" s="405" t="s">
        <v>177</v>
      </c>
      <c r="C9" s="56" t="s">
        <v>168</v>
      </c>
    </row>
    <row r="10" spans="2:3" x14ac:dyDescent="0.25">
      <c r="B10" s="405"/>
      <c r="C10" s="56" t="s">
        <v>169</v>
      </c>
    </row>
    <row r="11" spans="2:3" x14ac:dyDescent="0.25">
      <c r="B11" s="405"/>
      <c r="C11" s="56" t="s">
        <v>170</v>
      </c>
    </row>
    <row r="12" spans="2:3" x14ac:dyDescent="0.25">
      <c r="B12" s="401" t="s">
        <v>178</v>
      </c>
      <c r="C12" s="56" t="s">
        <v>171</v>
      </c>
    </row>
    <row r="13" spans="2:3" x14ac:dyDescent="0.25">
      <c r="B13" s="401"/>
      <c r="C13" s="56" t="s">
        <v>172</v>
      </c>
    </row>
    <row r="14" spans="2:3" x14ac:dyDescent="0.25">
      <c r="B14" s="534" t="s">
        <v>179</v>
      </c>
      <c r="C14" s="20" t="s">
        <v>243</v>
      </c>
    </row>
    <row r="15" spans="2:3" x14ac:dyDescent="0.25">
      <c r="B15" s="534"/>
      <c r="C15" s="56" t="s">
        <v>67</v>
      </c>
    </row>
  </sheetData>
  <mergeCells count="5">
    <mergeCell ref="B9:B11"/>
    <mergeCell ref="B12:B13"/>
    <mergeCell ref="B14:B15"/>
    <mergeCell ref="B4:C4"/>
    <mergeCell ref="B6:B7"/>
  </mergeCells>
  <conditionalFormatting sqref="B9">
    <cfRule type="colorScale" priority="1">
      <colorScale>
        <cfvo type="num" val="0"/>
        <cfvo type="num" val="0"/>
        <color rgb="FFFF0000"/>
        <color rgb="FF00B050"/>
      </colorScale>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8"/>
  <sheetViews>
    <sheetView zoomScale="94" zoomScaleNormal="94" workbookViewId="0">
      <selection activeCell="B1" sqref="B1"/>
    </sheetView>
  </sheetViews>
  <sheetFormatPr baseColWidth="10" defaultColWidth="8.85546875" defaultRowHeight="15" x14ac:dyDescent="0.25"/>
  <cols>
    <col min="1" max="1" width="3.140625" style="1" customWidth="1"/>
    <col min="2" max="2" width="26.140625" style="1" customWidth="1"/>
    <col min="3" max="3" width="22.140625" style="1" customWidth="1"/>
    <col min="4" max="4" width="16.42578125" style="1" customWidth="1"/>
    <col min="5" max="5" width="8.85546875" style="1"/>
    <col min="6" max="6" width="23.5703125" style="1" customWidth="1"/>
    <col min="7" max="16384" width="8.85546875" style="1"/>
  </cols>
  <sheetData>
    <row r="1" spans="2:6" x14ac:dyDescent="0.25">
      <c r="B1" s="326" t="s">
        <v>692</v>
      </c>
    </row>
    <row r="2" spans="2:6" ht="15.75" x14ac:dyDescent="0.25">
      <c r="B2" s="246" t="s">
        <v>344</v>
      </c>
      <c r="C2" s="247"/>
      <c r="D2" s="247"/>
      <c r="E2" s="247"/>
      <c r="F2" s="247"/>
    </row>
    <row r="4" spans="2:6" ht="15.75" x14ac:dyDescent="0.25">
      <c r="B4" s="248" t="s">
        <v>320</v>
      </c>
      <c r="C4" s="469" t="s">
        <v>319</v>
      </c>
      <c r="D4" s="470"/>
      <c r="E4" s="470"/>
      <c r="F4" s="471"/>
    </row>
    <row r="5" spans="2:6" ht="15.75" x14ac:dyDescent="0.25">
      <c r="B5" s="250" t="s">
        <v>318</v>
      </c>
      <c r="C5" s="469" t="s">
        <v>457</v>
      </c>
      <c r="D5" s="470"/>
      <c r="E5" s="470"/>
      <c r="F5" s="471"/>
    </row>
    <row r="6" spans="2:6" ht="15.75" x14ac:dyDescent="0.25">
      <c r="B6" s="248" t="s">
        <v>316</v>
      </c>
      <c r="C6" s="469" t="s">
        <v>458</v>
      </c>
      <c r="D6" s="470"/>
      <c r="E6" s="470"/>
      <c r="F6" s="471"/>
    </row>
    <row r="7" spans="2:6" ht="15.75" x14ac:dyDescent="0.25">
      <c r="B7" s="248" t="s">
        <v>314</v>
      </c>
      <c r="C7" s="444" t="s">
        <v>635</v>
      </c>
      <c r="D7" s="444"/>
      <c r="E7" s="444"/>
      <c r="F7" s="444"/>
    </row>
    <row r="8" spans="2:6" ht="15.75" x14ac:dyDescent="0.25">
      <c r="B8" s="248" t="s">
        <v>348</v>
      </c>
      <c r="C8" s="469" t="s">
        <v>175</v>
      </c>
      <c r="D8" s="470"/>
      <c r="E8" s="470"/>
      <c r="F8" s="471"/>
    </row>
    <row r="9" spans="2:6" ht="15.75" x14ac:dyDescent="0.25">
      <c r="B9" s="248" t="s">
        <v>310</v>
      </c>
      <c r="C9" s="469">
        <v>4</v>
      </c>
      <c r="D9" s="470"/>
      <c r="E9" s="470"/>
      <c r="F9" s="471"/>
    </row>
    <row r="11" spans="2:6" ht="15.75" x14ac:dyDescent="0.25">
      <c r="B11" s="475" t="s">
        <v>350</v>
      </c>
      <c r="C11" s="476"/>
      <c r="D11" s="476"/>
      <c r="E11" s="476"/>
      <c r="F11" s="477"/>
    </row>
    <row r="12" spans="2:6" ht="15.75" x14ac:dyDescent="0.25">
      <c r="B12" s="475" t="s">
        <v>304</v>
      </c>
      <c r="C12" s="477"/>
      <c r="D12" s="475" t="s">
        <v>308</v>
      </c>
      <c r="E12" s="476"/>
      <c r="F12" s="477"/>
    </row>
    <row r="13" spans="2:6" ht="15.75" x14ac:dyDescent="0.25">
      <c r="B13" s="261"/>
      <c r="C13" s="262"/>
      <c r="D13" s="469" t="s">
        <v>490</v>
      </c>
      <c r="E13" s="470"/>
      <c r="F13" s="471"/>
    </row>
    <row r="15" spans="2:6" ht="15.75" x14ac:dyDescent="0.25">
      <c r="B15" s="252" t="s">
        <v>300</v>
      </c>
      <c r="C15" s="252" t="s">
        <v>299</v>
      </c>
      <c r="D15" s="252" t="s">
        <v>298</v>
      </c>
      <c r="E15" s="252" t="s">
        <v>297</v>
      </c>
      <c r="F15" s="252" t="s">
        <v>296</v>
      </c>
    </row>
    <row r="16" spans="2:6" ht="15.75" x14ac:dyDescent="0.25">
      <c r="B16" s="253" t="s">
        <v>165</v>
      </c>
      <c r="C16" s="254">
        <v>21</v>
      </c>
      <c r="D16" s="254">
        <v>2</v>
      </c>
      <c r="E16" s="254">
        <v>2</v>
      </c>
      <c r="F16" s="254" t="s">
        <v>440</v>
      </c>
    </row>
    <row r="17" spans="2:6" ht="15.75" x14ac:dyDescent="0.25">
      <c r="B17" s="255"/>
      <c r="C17" s="251"/>
      <c r="D17" s="251"/>
      <c r="E17" s="251"/>
      <c r="F17" s="251"/>
    </row>
    <row r="18" spans="2:6" ht="15.75" x14ac:dyDescent="0.25">
      <c r="B18" s="263" t="s">
        <v>293</v>
      </c>
      <c r="C18" s="264"/>
      <c r="D18" s="264"/>
      <c r="E18" s="264"/>
      <c r="F18" s="265"/>
    </row>
    <row r="19" spans="2:6" ht="18" customHeight="1" x14ac:dyDescent="0.25">
      <c r="B19" s="449" t="s">
        <v>585</v>
      </c>
      <c r="C19" s="455"/>
      <c r="D19" s="455"/>
      <c r="E19" s="455"/>
      <c r="F19" s="456"/>
    </row>
    <row r="20" spans="2:6" ht="15.75" x14ac:dyDescent="0.25">
      <c r="B20" s="263" t="s">
        <v>292</v>
      </c>
      <c r="C20" s="264"/>
      <c r="D20" s="264"/>
      <c r="E20" s="264"/>
      <c r="F20" s="265"/>
    </row>
    <row r="21" spans="2:6" ht="98.1" customHeight="1" x14ac:dyDescent="0.25">
      <c r="B21" s="449" t="s">
        <v>593</v>
      </c>
      <c r="C21" s="455"/>
      <c r="D21" s="455"/>
      <c r="E21" s="455"/>
      <c r="F21" s="456"/>
    </row>
    <row r="23" spans="2:6" ht="15.75" x14ac:dyDescent="0.25">
      <c r="B23" s="263" t="s">
        <v>353</v>
      </c>
      <c r="C23" s="264"/>
      <c r="D23" s="264"/>
      <c r="E23" s="264"/>
      <c r="F23" s="265"/>
    </row>
    <row r="24" spans="2:6" ht="32.1" customHeight="1" x14ac:dyDescent="0.25">
      <c r="B24" s="449" t="s">
        <v>586</v>
      </c>
      <c r="C24" s="455"/>
      <c r="D24" s="455"/>
      <c r="E24" s="455"/>
      <c r="F24" s="456"/>
    </row>
    <row r="26" spans="2:6" ht="15.75" x14ac:dyDescent="0.25">
      <c r="B26" s="263" t="s">
        <v>355</v>
      </c>
      <c r="C26" s="264"/>
      <c r="D26" s="264"/>
      <c r="E26" s="264"/>
      <c r="F26" s="265"/>
    </row>
    <row r="27" spans="2:6" ht="15.75" x14ac:dyDescent="0.25">
      <c r="B27" s="266" t="s">
        <v>587</v>
      </c>
      <c r="C27" s="267"/>
      <c r="D27" s="267"/>
      <c r="E27" s="267"/>
      <c r="F27" s="268"/>
    </row>
    <row r="28" spans="2:6" ht="15.75" x14ac:dyDescent="0.25">
      <c r="B28" s="266" t="s">
        <v>588</v>
      </c>
      <c r="C28" s="267"/>
      <c r="D28" s="267"/>
      <c r="E28" s="267"/>
      <c r="F28" s="268"/>
    </row>
    <row r="29" spans="2:6" ht="15.75" x14ac:dyDescent="0.25">
      <c r="B29" s="266" t="s">
        <v>589</v>
      </c>
      <c r="C29" s="267"/>
      <c r="D29" s="267"/>
      <c r="E29" s="267"/>
      <c r="F29" s="268"/>
    </row>
    <row r="31" spans="2:6" ht="15.75" x14ac:dyDescent="0.25">
      <c r="B31" s="263" t="s">
        <v>282</v>
      </c>
      <c r="C31" s="264"/>
      <c r="D31" s="264"/>
      <c r="E31" s="264"/>
      <c r="F31" s="265"/>
    </row>
    <row r="32" spans="2:6" ht="86.45" customHeight="1" x14ac:dyDescent="0.25">
      <c r="B32" s="535" t="s">
        <v>594</v>
      </c>
      <c r="C32" s="481"/>
      <c r="D32" s="481"/>
      <c r="E32" s="481"/>
      <c r="F32" s="482"/>
    </row>
    <row r="33" spans="2:6" ht="15.75" x14ac:dyDescent="0.25">
      <c r="B33" s="258"/>
      <c r="C33" s="257"/>
      <c r="D33" s="257"/>
      <c r="E33" s="257"/>
      <c r="F33" s="257"/>
    </row>
    <row r="34" spans="2:6" ht="15.75" x14ac:dyDescent="0.25">
      <c r="B34" s="263" t="s">
        <v>280</v>
      </c>
      <c r="C34" s="264"/>
      <c r="D34" s="264"/>
      <c r="E34" s="264"/>
      <c r="F34" s="265"/>
    </row>
    <row r="35" spans="2:6" ht="15.75" x14ac:dyDescent="0.25">
      <c r="B35" s="256" t="s">
        <v>487</v>
      </c>
      <c r="C35" s="269"/>
      <c r="D35" s="269"/>
      <c r="E35" s="269"/>
      <c r="F35" s="269"/>
    </row>
    <row r="36" spans="2:6" ht="15.75" x14ac:dyDescent="0.25">
      <c r="B36" s="256" t="s">
        <v>590</v>
      </c>
      <c r="C36" s="269"/>
      <c r="D36" s="269"/>
      <c r="E36" s="269"/>
      <c r="F36" s="269"/>
    </row>
    <row r="38" spans="2:6" ht="15.75" x14ac:dyDescent="0.25">
      <c r="B38" s="263" t="s">
        <v>276</v>
      </c>
      <c r="C38" s="264"/>
      <c r="D38" s="264"/>
      <c r="E38" s="264"/>
      <c r="F38" s="265"/>
    </row>
    <row r="39" spans="2:6" ht="15.75" x14ac:dyDescent="0.25">
      <c r="B39" s="464" t="s">
        <v>591</v>
      </c>
      <c r="C39" s="450"/>
      <c r="D39" s="450"/>
      <c r="E39" s="450"/>
      <c r="F39" s="451"/>
    </row>
    <row r="41" spans="2:6" ht="32.450000000000003" customHeight="1" x14ac:dyDescent="0.25">
      <c r="B41" s="501" t="s">
        <v>274</v>
      </c>
      <c r="C41" s="502"/>
      <c r="D41" s="502"/>
      <c r="E41" s="502"/>
      <c r="F41" s="503"/>
    </row>
    <row r="42" spans="2:6" ht="15.75" x14ac:dyDescent="0.25">
      <c r="B42" s="259" t="s">
        <v>273</v>
      </c>
      <c r="C42" s="259" t="s">
        <v>272</v>
      </c>
      <c r="D42" s="263" t="s">
        <v>271</v>
      </c>
      <c r="E42" s="264"/>
      <c r="F42" s="265"/>
    </row>
    <row r="43" spans="2:6" ht="15.75" x14ac:dyDescent="0.25">
      <c r="B43" s="260"/>
      <c r="C43" s="260"/>
      <c r="D43" s="273"/>
      <c r="E43" s="274"/>
      <c r="F43" s="275"/>
    </row>
    <row r="44" spans="2:6" ht="15.75" x14ac:dyDescent="0.25">
      <c r="B44" s="260"/>
      <c r="C44" s="260"/>
      <c r="D44" s="273"/>
      <c r="E44" s="274"/>
      <c r="F44" s="275"/>
    </row>
    <row r="45" spans="2:6" ht="15.75" x14ac:dyDescent="0.25">
      <c r="B45" s="249"/>
      <c r="C45" s="249"/>
      <c r="D45" s="273"/>
      <c r="E45" s="274"/>
      <c r="F45" s="275"/>
    </row>
    <row r="47" spans="2:6" ht="15.75" x14ac:dyDescent="0.25">
      <c r="B47" s="263" t="s">
        <v>266</v>
      </c>
      <c r="C47" s="264"/>
      <c r="D47" s="264"/>
      <c r="E47" s="264"/>
      <c r="F47" s="265"/>
    </row>
    <row r="48" spans="2:6" ht="31.5" customHeight="1" x14ac:dyDescent="0.25">
      <c r="B48" s="535" t="s">
        <v>592</v>
      </c>
      <c r="C48" s="481"/>
      <c r="D48" s="481"/>
      <c r="E48" s="481"/>
      <c r="F48" s="482"/>
    </row>
  </sheetData>
  <mergeCells count="17">
    <mergeCell ref="B21:F21"/>
    <mergeCell ref="C4:F4"/>
    <mergeCell ref="C5:F5"/>
    <mergeCell ref="C6:F6"/>
    <mergeCell ref="C7:F7"/>
    <mergeCell ref="C8:F8"/>
    <mergeCell ref="C9:F9"/>
    <mergeCell ref="B11:F11"/>
    <mergeCell ref="B12:C12"/>
    <mergeCell ref="D12:F12"/>
    <mergeCell ref="D13:F13"/>
    <mergeCell ref="B19:F19"/>
    <mergeCell ref="B24:F24"/>
    <mergeCell ref="B32:F32"/>
    <mergeCell ref="B39:F39"/>
    <mergeCell ref="B41:F41"/>
    <mergeCell ref="B48:F48"/>
  </mergeCells>
  <hyperlinks>
    <hyperlink ref="B1" location="'Schéma d''enseignement'!G20" display="Schéma d'enseignement"/>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9"/>
  <sheetViews>
    <sheetView workbookViewId="0">
      <selection activeCell="B1" sqref="B1"/>
    </sheetView>
  </sheetViews>
  <sheetFormatPr baseColWidth="10" defaultColWidth="8.85546875" defaultRowHeight="15" x14ac:dyDescent="0.25"/>
  <cols>
    <col min="1" max="1" width="3.8554687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5.95" customHeight="1" x14ac:dyDescent="0.25">
      <c r="B5" s="188" t="s">
        <v>318</v>
      </c>
      <c r="C5" s="445" t="s">
        <v>457</v>
      </c>
      <c r="D5" s="445"/>
      <c r="E5" s="445"/>
      <c r="F5" s="445"/>
    </row>
    <row r="6" spans="2:6" ht="15.75" x14ac:dyDescent="0.25">
      <c r="B6" s="187" t="s">
        <v>316</v>
      </c>
      <c r="C6" s="444" t="s">
        <v>458</v>
      </c>
      <c r="D6" s="444"/>
      <c r="E6" s="444"/>
      <c r="F6" s="444"/>
    </row>
    <row r="7" spans="2:6" ht="15.75" x14ac:dyDescent="0.25">
      <c r="B7" s="187" t="s">
        <v>314</v>
      </c>
      <c r="C7" s="444" t="s">
        <v>635</v>
      </c>
      <c r="D7" s="444"/>
      <c r="E7" s="444"/>
      <c r="F7" s="444"/>
    </row>
    <row r="8" spans="2:6" ht="15.75" x14ac:dyDescent="0.25">
      <c r="B8" s="187" t="s">
        <v>348</v>
      </c>
      <c r="C8" s="444" t="s">
        <v>175</v>
      </c>
      <c r="D8" s="444"/>
      <c r="E8" s="444"/>
      <c r="F8" s="444"/>
    </row>
    <row r="9" spans="2:6" ht="15.75" x14ac:dyDescent="0.25">
      <c r="B9" s="187" t="s">
        <v>310</v>
      </c>
      <c r="C9" s="444">
        <v>4</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0.95" customHeight="1" x14ac:dyDescent="0.25">
      <c r="B16" s="35" t="s">
        <v>498</v>
      </c>
      <c r="C16" s="24">
        <v>42</v>
      </c>
      <c r="D16" s="24">
        <v>3</v>
      </c>
      <c r="E16" s="24">
        <v>3</v>
      </c>
      <c r="F16" s="24" t="s">
        <v>440</v>
      </c>
    </row>
    <row r="17" spans="2:6" ht="15.75" x14ac:dyDescent="0.25">
      <c r="B17" s="189"/>
      <c r="C17" s="190"/>
      <c r="D17" s="190"/>
      <c r="E17" s="190"/>
      <c r="F17" s="190"/>
    </row>
    <row r="18" spans="2:6" ht="15.75" x14ac:dyDescent="0.25">
      <c r="B18" s="446" t="s">
        <v>293</v>
      </c>
      <c r="C18" s="447"/>
      <c r="D18" s="447"/>
      <c r="E18" s="447"/>
      <c r="F18" s="448"/>
    </row>
    <row r="19" spans="2:6" ht="15.75" x14ac:dyDescent="0.25">
      <c r="B19" s="536" t="s">
        <v>499</v>
      </c>
      <c r="C19" s="537"/>
      <c r="D19" s="537"/>
      <c r="E19" s="537"/>
      <c r="F19" s="538"/>
    </row>
    <row r="20" spans="2:6" ht="15.75" x14ac:dyDescent="0.25">
      <c r="B20" s="446" t="s">
        <v>292</v>
      </c>
      <c r="C20" s="447"/>
      <c r="D20" s="447"/>
      <c r="E20" s="447"/>
      <c r="F20" s="448"/>
    </row>
    <row r="21" spans="2:6" ht="60.6" customHeight="1" x14ac:dyDescent="0.25">
      <c r="B21" s="449" t="s">
        <v>500</v>
      </c>
      <c r="C21" s="455"/>
      <c r="D21" s="455"/>
      <c r="E21" s="455"/>
      <c r="F21" s="456"/>
    </row>
    <row r="22" spans="2:6" ht="15.75" x14ac:dyDescent="0.25">
      <c r="B22" s="150"/>
      <c r="C22" s="150"/>
      <c r="D22" s="150"/>
      <c r="E22" s="150"/>
      <c r="F22" s="150"/>
    </row>
    <row r="23" spans="2:6" ht="15.75" x14ac:dyDescent="0.25">
      <c r="B23" s="446" t="s">
        <v>353</v>
      </c>
      <c r="C23" s="447"/>
      <c r="D23" s="447"/>
      <c r="E23" s="447"/>
      <c r="F23" s="448"/>
    </row>
    <row r="24" spans="2:6" ht="15.75" x14ac:dyDescent="0.25">
      <c r="B24" s="449" t="s">
        <v>501</v>
      </c>
      <c r="C24" s="455"/>
      <c r="D24" s="455"/>
      <c r="E24" s="455"/>
      <c r="F24" s="456"/>
    </row>
    <row r="25" spans="2:6" ht="15.75" x14ac:dyDescent="0.25">
      <c r="B25" s="150"/>
      <c r="C25" s="150"/>
      <c r="D25" s="150"/>
      <c r="E25" s="150"/>
      <c r="F25" s="150"/>
    </row>
    <row r="26" spans="2:6" ht="15.75" x14ac:dyDescent="0.25">
      <c r="B26" s="446" t="s">
        <v>355</v>
      </c>
      <c r="C26" s="447"/>
      <c r="D26" s="447"/>
      <c r="E26" s="447"/>
      <c r="F26" s="448"/>
    </row>
    <row r="27" spans="2:6" ht="15.75" x14ac:dyDescent="0.25">
      <c r="B27" s="485" t="s">
        <v>502</v>
      </c>
      <c r="C27" s="486"/>
      <c r="D27" s="486"/>
      <c r="E27" s="486"/>
      <c r="F27" s="487"/>
    </row>
    <row r="28" spans="2:6" ht="15.75" x14ac:dyDescent="0.25">
      <c r="B28" s="485" t="s">
        <v>503</v>
      </c>
      <c r="C28" s="486"/>
      <c r="D28" s="486"/>
      <c r="E28" s="486"/>
      <c r="F28" s="487"/>
    </row>
    <row r="29" spans="2:6" ht="15.75" x14ac:dyDescent="0.25">
      <c r="B29" s="150"/>
      <c r="C29" s="150"/>
      <c r="D29" s="150"/>
      <c r="E29" s="150"/>
      <c r="F29" s="150"/>
    </row>
    <row r="30" spans="2:6" ht="15.75" x14ac:dyDescent="0.25">
      <c r="B30" s="446" t="s">
        <v>282</v>
      </c>
      <c r="C30" s="447"/>
      <c r="D30" s="447"/>
      <c r="E30" s="447"/>
      <c r="F30" s="448"/>
    </row>
    <row r="31" spans="2:6" ht="132" customHeight="1" x14ac:dyDescent="0.25">
      <c r="B31" s="480" t="s">
        <v>506</v>
      </c>
      <c r="C31" s="481"/>
      <c r="D31" s="481"/>
      <c r="E31" s="481"/>
      <c r="F31" s="482"/>
    </row>
    <row r="32" spans="2:6" ht="15.75" x14ac:dyDescent="0.25">
      <c r="B32" s="160"/>
      <c r="C32" s="191"/>
      <c r="D32" s="191"/>
      <c r="E32" s="191"/>
      <c r="F32" s="191"/>
    </row>
    <row r="33" spans="2:6" ht="15.75" x14ac:dyDescent="0.25">
      <c r="B33" s="446" t="s">
        <v>280</v>
      </c>
      <c r="C33" s="447"/>
      <c r="D33" s="447"/>
      <c r="E33" s="447"/>
      <c r="F33" s="448"/>
    </row>
    <row r="34" spans="2:6" ht="15.75" x14ac:dyDescent="0.25">
      <c r="B34" s="192" t="s">
        <v>464</v>
      </c>
      <c r="C34" s="468"/>
      <c r="D34" s="468"/>
      <c r="E34" s="468"/>
      <c r="F34" s="468"/>
    </row>
    <row r="35" spans="2:6" ht="15.75" x14ac:dyDescent="0.25">
      <c r="B35" s="192" t="s">
        <v>504</v>
      </c>
      <c r="C35" s="468"/>
      <c r="D35" s="468"/>
      <c r="E35" s="468"/>
      <c r="F35" s="468"/>
    </row>
    <row r="36" spans="2:6" ht="15.75" x14ac:dyDescent="0.25">
      <c r="B36" s="192" t="s">
        <v>505</v>
      </c>
      <c r="C36" s="464"/>
      <c r="D36" s="450"/>
      <c r="E36" s="450"/>
      <c r="F36" s="451"/>
    </row>
    <row r="37" spans="2:6" ht="15.75" x14ac:dyDescent="0.25">
      <c r="B37" s="192" t="s">
        <v>467</v>
      </c>
      <c r="C37" s="468"/>
      <c r="D37" s="468"/>
      <c r="E37" s="468"/>
      <c r="F37" s="468"/>
    </row>
    <row r="38" spans="2:6" ht="15.75" x14ac:dyDescent="0.25">
      <c r="B38" s="150"/>
      <c r="C38" s="150"/>
      <c r="D38" s="150"/>
      <c r="E38" s="150"/>
      <c r="F38" s="150"/>
    </row>
    <row r="39" spans="2:6" ht="15.75" x14ac:dyDescent="0.25">
      <c r="B39" s="446" t="s">
        <v>276</v>
      </c>
      <c r="C39" s="447"/>
      <c r="D39" s="447"/>
      <c r="E39" s="447"/>
      <c r="F39" s="448"/>
    </row>
    <row r="40" spans="2:6" ht="15.75" x14ac:dyDescent="0.25">
      <c r="B40" s="464" t="s">
        <v>507</v>
      </c>
      <c r="C40" s="450"/>
      <c r="D40" s="450"/>
      <c r="E40" s="450"/>
      <c r="F40" s="451"/>
    </row>
    <row r="41" spans="2:6" ht="15.75" x14ac:dyDescent="0.25">
      <c r="B41" s="150"/>
      <c r="C41" s="150"/>
      <c r="D41" s="150"/>
      <c r="E41" s="150"/>
      <c r="F41" s="150"/>
    </row>
    <row r="42" spans="2:6" ht="15.75" x14ac:dyDescent="0.25">
      <c r="B42" s="446" t="s">
        <v>274</v>
      </c>
      <c r="C42" s="447"/>
      <c r="D42" s="447"/>
      <c r="E42" s="447"/>
      <c r="F42" s="448"/>
    </row>
    <row r="43" spans="2:6" ht="15.75" x14ac:dyDescent="0.25">
      <c r="B43" s="155" t="s">
        <v>273</v>
      </c>
      <c r="C43" s="155" t="s">
        <v>272</v>
      </c>
      <c r="D43" s="446" t="s">
        <v>271</v>
      </c>
      <c r="E43" s="447"/>
      <c r="F43" s="448"/>
    </row>
    <row r="44" spans="2:6" ht="15.75" x14ac:dyDescent="0.25">
      <c r="B44" s="156"/>
      <c r="C44" s="156"/>
      <c r="D44" s="491"/>
      <c r="E44" s="492"/>
      <c r="F44" s="493"/>
    </row>
    <row r="45" spans="2:6" ht="15.75" x14ac:dyDescent="0.25">
      <c r="B45" s="156"/>
      <c r="C45" s="156"/>
      <c r="D45" s="491"/>
      <c r="E45" s="492"/>
      <c r="F45" s="493"/>
    </row>
    <row r="46" spans="2:6" ht="15.75" x14ac:dyDescent="0.25">
      <c r="B46" s="185"/>
      <c r="C46" s="185"/>
      <c r="D46" s="491"/>
      <c r="E46" s="492"/>
      <c r="F46" s="493"/>
    </row>
    <row r="47" spans="2:6" ht="15.75" x14ac:dyDescent="0.25">
      <c r="B47" s="150"/>
      <c r="C47" s="150"/>
      <c r="D47" s="150"/>
      <c r="E47" s="150"/>
      <c r="F47" s="150"/>
    </row>
    <row r="48" spans="2:6" ht="15.75" x14ac:dyDescent="0.25">
      <c r="B48" s="446" t="s">
        <v>266</v>
      </c>
      <c r="C48" s="447"/>
      <c r="D48" s="447"/>
      <c r="E48" s="447"/>
      <c r="F48" s="448"/>
    </row>
    <row r="49" spans="2:6" ht="15.75" x14ac:dyDescent="0.25">
      <c r="B49" s="488"/>
      <c r="C49" s="489"/>
      <c r="D49" s="489"/>
      <c r="E49" s="489"/>
      <c r="F49" s="490"/>
    </row>
  </sheetData>
  <mergeCells count="36">
    <mergeCell ref="B48:F48"/>
    <mergeCell ref="B49:F49"/>
    <mergeCell ref="B40:F40"/>
    <mergeCell ref="B42:F42"/>
    <mergeCell ref="D43:F43"/>
    <mergeCell ref="D44:F44"/>
    <mergeCell ref="D45:F45"/>
    <mergeCell ref="D46:F46"/>
    <mergeCell ref="C34:F34"/>
    <mergeCell ref="C35:F35"/>
    <mergeCell ref="C36:F36"/>
    <mergeCell ref="C37:F37"/>
    <mergeCell ref="B39:F39"/>
    <mergeCell ref="B30:F30"/>
    <mergeCell ref="B31:F31"/>
    <mergeCell ref="B33:F33"/>
    <mergeCell ref="B27:F27"/>
    <mergeCell ref="B28:F28"/>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4:C46">
      <formula1>"Académique, Professionnel, Associatif, Autre"</formula1>
    </dataValidation>
  </dataValidations>
  <hyperlinks>
    <hyperlink ref="B1" location="'Schéma d''enseignement'!G21" display="Schéma d'enseignement"/>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1"/>
  <sheetViews>
    <sheetView workbookViewId="0">
      <selection activeCell="B1" sqref="B1"/>
    </sheetView>
  </sheetViews>
  <sheetFormatPr baseColWidth="10" defaultColWidth="8.85546875" defaultRowHeight="15" x14ac:dyDescent="0.25"/>
  <cols>
    <col min="1" max="1" width="3.140625" style="1" customWidth="1"/>
    <col min="2" max="2" width="29.42578125" style="1" customWidth="1"/>
    <col min="3" max="3" width="15.5703125" style="1" customWidth="1"/>
    <col min="4" max="4" width="11.85546875" style="1" customWidth="1"/>
    <col min="5" max="5" width="7" style="1" customWidth="1"/>
    <col min="6" max="6" width="34.85546875" style="1" customWidth="1"/>
    <col min="7" max="16384" width="8.85546875" style="1"/>
  </cols>
  <sheetData>
    <row r="1" spans="2:6" x14ac:dyDescent="0.25">
      <c r="B1" s="326" t="s">
        <v>692</v>
      </c>
    </row>
    <row r="2" spans="2:6" ht="15.75" x14ac:dyDescent="0.25">
      <c r="B2" s="246" t="s">
        <v>344</v>
      </c>
      <c r="C2" s="247"/>
      <c r="D2" s="247"/>
      <c r="E2" s="247"/>
      <c r="F2" s="247"/>
    </row>
    <row r="3" spans="2:6" ht="15.75" x14ac:dyDescent="0.25">
      <c r="B3" s="150"/>
      <c r="C3" s="150"/>
      <c r="D3" s="150"/>
      <c r="E3" s="150"/>
      <c r="F3" s="150"/>
    </row>
    <row r="4" spans="2:6" ht="15.75" x14ac:dyDescent="0.25">
      <c r="B4" s="248" t="s">
        <v>320</v>
      </c>
      <c r="C4" s="444" t="s">
        <v>319</v>
      </c>
      <c r="D4" s="444"/>
      <c r="E4" s="444"/>
      <c r="F4" s="444"/>
    </row>
    <row r="5" spans="2:6" ht="17.45" customHeight="1" x14ac:dyDescent="0.25">
      <c r="B5" s="250" t="s">
        <v>318</v>
      </c>
      <c r="C5" s="445" t="s">
        <v>317</v>
      </c>
      <c r="D5" s="445"/>
      <c r="E5" s="445"/>
      <c r="F5" s="445"/>
    </row>
    <row r="6" spans="2:6" ht="15.75" x14ac:dyDescent="0.25">
      <c r="B6" s="248" t="s">
        <v>316</v>
      </c>
      <c r="C6" s="444" t="s">
        <v>315</v>
      </c>
      <c r="D6" s="444"/>
      <c r="E6" s="444"/>
      <c r="F6" s="444"/>
    </row>
    <row r="7" spans="2:6" ht="15.75" x14ac:dyDescent="0.25">
      <c r="B7" s="248" t="s">
        <v>314</v>
      </c>
      <c r="C7" s="444" t="s">
        <v>635</v>
      </c>
      <c r="D7" s="444"/>
      <c r="E7" s="444"/>
      <c r="F7" s="444"/>
    </row>
    <row r="8" spans="2:6" ht="15.75" x14ac:dyDescent="0.25">
      <c r="B8" s="248" t="s">
        <v>348</v>
      </c>
      <c r="C8" s="444" t="s">
        <v>595</v>
      </c>
      <c r="D8" s="444"/>
      <c r="E8" s="444"/>
      <c r="F8" s="444"/>
    </row>
    <row r="9" spans="2:6" ht="15.75" x14ac:dyDescent="0.25">
      <c r="B9" s="248" t="s">
        <v>310</v>
      </c>
      <c r="C9" s="444">
        <v>4</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53">
        <v>43012</v>
      </c>
      <c r="C13" s="453"/>
      <c r="D13" s="444" t="s">
        <v>490</v>
      </c>
      <c r="E13" s="444"/>
      <c r="F13" s="444"/>
    </row>
    <row r="14" spans="2:6" ht="15.75" x14ac:dyDescent="0.25">
      <c r="B14" s="150"/>
      <c r="C14" s="150"/>
      <c r="D14" s="150"/>
      <c r="E14" s="150"/>
      <c r="F14" s="150"/>
    </row>
    <row r="15" spans="2:6" ht="15.75" x14ac:dyDescent="0.25">
      <c r="B15" s="252" t="s">
        <v>300</v>
      </c>
      <c r="C15" s="252" t="s">
        <v>299</v>
      </c>
      <c r="D15" s="252" t="s">
        <v>298</v>
      </c>
      <c r="E15" s="252" t="s">
        <v>297</v>
      </c>
      <c r="F15" s="252" t="s">
        <v>296</v>
      </c>
    </row>
    <row r="16" spans="2:6" ht="16.5" customHeight="1" x14ac:dyDescent="0.25">
      <c r="B16" s="253" t="s">
        <v>167</v>
      </c>
      <c r="C16" s="254" t="s">
        <v>526</v>
      </c>
      <c r="D16" s="233">
        <v>5</v>
      </c>
      <c r="E16" s="233">
        <v>5</v>
      </c>
      <c r="F16" s="233" t="s">
        <v>440</v>
      </c>
    </row>
    <row r="17" spans="2:6" ht="15.75" x14ac:dyDescent="0.25">
      <c r="B17" s="255"/>
      <c r="C17" s="251"/>
      <c r="D17" s="251"/>
      <c r="E17" s="251"/>
      <c r="F17" s="251"/>
    </row>
    <row r="18" spans="2:6" ht="15.75" x14ac:dyDescent="0.25">
      <c r="B18" s="446" t="s">
        <v>293</v>
      </c>
      <c r="C18" s="447"/>
      <c r="D18" s="447"/>
      <c r="E18" s="447"/>
      <c r="F18" s="448"/>
    </row>
    <row r="19" spans="2:6" ht="33.6" customHeight="1" x14ac:dyDescent="0.25">
      <c r="B19" s="449" t="s">
        <v>596</v>
      </c>
      <c r="C19" s="450"/>
      <c r="D19" s="450"/>
      <c r="E19" s="450"/>
      <c r="F19" s="451"/>
    </row>
    <row r="20" spans="2:6" ht="15.75" x14ac:dyDescent="0.25">
      <c r="B20" s="446" t="s">
        <v>292</v>
      </c>
      <c r="C20" s="447"/>
      <c r="D20" s="447"/>
      <c r="E20" s="447"/>
      <c r="F20" s="448"/>
    </row>
    <row r="21" spans="2:6" ht="77.099999999999994" customHeight="1" x14ac:dyDescent="0.25">
      <c r="B21" s="449" t="s">
        <v>597</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598</v>
      </c>
      <c r="C24" s="450"/>
      <c r="D24" s="450"/>
      <c r="E24" s="450"/>
      <c r="F24" s="451"/>
    </row>
    <row r="25" spans="2:6" ht="15.75" x14ac:dyDescent="0.25">
      <c r="B25" s="150"/>
      <c r="C25" s="150"/>
      <c r="D25" s="150"/>
      <c r="E25" s="150"/>
      <c r="F25" s="150"/>
    </row>
    <row r="26" spans="2:6" ht="15.75" x14ac:dyDescent="0.25">
      <c r="B26" s="446" t="s">
        <v>355</v>
      </c>
      <c r="C26" s="447"/>
      <c r="D26" s="447"/>
      <c r="E26" s="447"/>
      <c r="F26" s="448"/>
    </row>
    <row r="27" spans="2:6" ht="15.75" x14ac:dyDescent="0.25">
      <c r="B27" s="460" t="s">
        <v>556</v>
      </c>
      <c r="C27" s="460"/>
      <c r="D27" s="460"/>
      <c r="E27" s="460"/>
      <c r="F27" s="460"/>
    </row>
    <row r="28" spans="2:6" ht="15.75" x14ac:dyDescent="0.25">
      <c r="B28" s="460" t="s">
        <v>9</v>
      </c>
      <c r="C28" s="460"/>
      <c r="D28" s="460"/>
      <c r="E28" s="460"/>
      <c r="F28" s="460"/>
    </row>
    <row r="29" spans="2:6" ht="15.75" x14ac:dyDescent="0.25">
      <c r="B29" s="460" t="s">
        <v>289</v>
      </c>
      <c r="C29" s="460"/>
      <c r="D29" s="460"/>
      <c r="E29" s="460"/>
      <c r="F29" s="460"/>
    </row>
    <row r="30" spans="2:6" ht="15.75" x14ac:dyDescent="0.25">
      <c r="B30" s="150"/>
      <c r="C30" s="150"/>
      <c r="D30" s="150"/>
      <c r="E30" s="150"/>
      <c r="F30" s="150"/>
    </row>
    <row r="31" spans="2:6" ht="15.75" x14ac:dyDescent="0.25">
      <c r="B31" s="248" t="s">
        <v>282</v>
      </c>
      <c r="C31" s="235"/>
      <c r="D31" s="235"/>
      <c r="E31" s="235"/>
      <c r="F31" s="236"/>
    </row>
    <row r="32" spans="2:6" ht="174" customHeight="1" x14ac:dyDescent="0.25">
      <c r="B32" s="542" t="s">
        <v>599</v>
      </c>
      <c r="C32" s="497"/>
      <c r="D32" s="497"/>
      <c r="E32" s="497"/>
      <c r="F32" s="497"/>
    </row>
    <row r="33" spans="2:6" ht="15.75" x14ac:dyDescent="0.25">
      <c r="B33" s="276"/>
      <c r="C33" s="257"/>
      <c r="D33" s="257"/>
      <c r="E33" s="257"/>
      <c r="F33" s="257"/>
    </row>
    <row r="34" spans="2:6" ht="15.75" x14ac:dyDescent="0.25">
      <c r="B34" s="504" t="s">
        <v>435</v>
      </c>
      <c r="C34" s="504"/>
      <c r="D34" s="504"/>
      <c r="E34" s="504"/>
      <c r="F34" s="504"/>
    </row>
    <row r="35" spans="2:6" ht="15.75" x14ac:dyDescent="0.25">
      <c r="B35" s="256" t="s">
        <v>279</v>
      </c>
      <c r="C35" s="468"/>
      <c r="D35" s="468"/>
      <c r="E35" s="468"/>
      <c r="F35" s="468"/>
    </row>
    <row r="36" spans="2:6" ht="15.75" x14ac:dyDescent="0.25">
      <c r="B36" s="256" t="s">
        <v>278</v>
      </c>
      <c r="C36" s="539"/>
      <c r="D36" s="540"/>
      <c r="E36" s="540"/>
      <c r="F36" s="541"/>
    </row>
    <row r="37" spans="2:6" ht="15.75" x14ac:dyDescent="0.25">
      <c r="B37" s="256" t="s">
        <v>277</v>
      </c>
      <c r="C37" s="468" t="s">
        <v>447</v>
      </c>
      <c r="D37" s="468"/>
      <c r="E37" s="468"/>
      <c r="F37" s="468"/>
    </row>
    <row r="38" spans="2:6" ht="15.75" x14ac:dyDescent="0.25">
      <c r="B38" s="256" t="s">
        <v>448</v>
      </c>
      <c r="C38" s="468" t="s">
        <v>447</v>
      </c>
      <c r="D38" s="468"/>
      <c r="E38" s="468"/>
      <c r="F38" s="468"/>
    </row>
    <row r="39" spans="2:6" ht="15.75" x14ac:dyDescent="0.25">
      <c r="B39" s="256" t="s">
        <v>372</v>
      </c>
      <c r="C39" s="468" t="s">
        <v>600</v>
      </c>
      <c r="D39" s="468"/>
      <c r="E39" s="468"/>
      <c r="F39" s="468"/>
    </row>
    <row r="40" spans="2:6" ht="15.75" x14ac:dyDescent="0.25">
      <c r="B40" s="150"/>
      <c r="C40" s="150"/>
      <c r="D40" s="150"/>
      <c r="E40" s="150"/>
      <c r="F40" s="150"/>
    </row>
    <row r="41" spans="2:6" ht="15.75" x14ac:dyDescent="0.25">
      <c r="B41" s="446" t="s">
        <v>276</v>
      </c>
      <c r="C41" s="447"/>
      <c r="D41" s="447"/>
      <c r="E41" s="447"/>
      <c r="F41" s="448"/>
    </row>
    <row r="42" spans="2:6" ht="15.75" x14ac:dyDescent="0.25">
      <c r="B42" s="464" t="s">
        <v>601</v>
      </c>
      <c r="C42" s="450"/>
      <c r="D42" s="450"/>
      <c r="E42" s="450"/>
      <c r="F42" s="451"/>
    </row>
    <row r="43" spans="2:6" ht="15.75" x14ac:dyDescent="0.25">
      <c r="B43" s="150"/>
      <c r="C43" s="150"/>
      <c r="D43" s="150"/>
      <c r="E43" s="150"/>
      <c r="F43" s="150"/>
    </row>
    <row r="44" spans="2:6" ht="15.75" x14ac:dyDescent="0.25">
      <c r="B44" s="446" t="s">
        <v>274</v>
      </c>
      <c r="C44" s="447"/>
      <c r="D44" s="447"/>
      <c r="E44" s="447"/>
      <c r="F44" s="448"/>
    </row>
    <row r="45" spans="2:6" ht="15.75" x14ac:dyDescent="0.25">
      <c r="B45" s="259" t="s">
        <v>273</v>
      </c>
      <c r="C45" s="259" t="s">
        <v>272</v>
      </c>
      <c r="D45" s="446" t="s">
        <v>271</v>
      </c>
      <c r="E45" s="447"/>
      <c r="F45" s="448"/>
    </row>
    <row r="46" spans="2:6" ht="15.75" x14ac:dyDescent="0.25">
      <c r="B46" s="260"/>
      <c r="C46" s="260"/>
      <c r="D46" s="491"/>
      <c r="E46" s="492"/>
      <c r="F46" s="493"/>
    </row>
    <row r="47" spans="2:6" ht="15.75" x14ac:dyDescent="0.25">
      <c r="B47" s="260"/>
      <c r="C47" s="260"/>
      <c r="D47" s="491"/>
      <c r="E47" s="492"/>
      <c r="F47" s="493"/>
    </row>
    <row r="48" spans="2:6" ht="15.75" x14ac:dyDescent="0.25">
      <c r="B48" s="249"/>
      <c r="C48" s="249"/>
      <c r="D48" s="491"/>
      <c r="E48" s="492"/>
      <c r="F48" s="493"/>
    </row>
    <row r="49" spans="2:6" ht="15.75" x14ac:dyDescent="0.25">
      <c r="B49" s="150"/>
      <c r="C49" s="150"/>
      <c r="D49" s="150"/>
      <c r="E49" s="150"/>
      <c r="F49" s="150"/>
    </row>
    <row r="50" spans="2:6" ht="15.75" x14ac:dyDescent="0.25">
      <c r="B50" s="446" t="s">
        <v>266</v>
      </c>
      <c r="C50" s="447"/>
      <c r="D50" s="447"/>
      <c r="E50" s="447"/>
      <c r="F50" s="448"/>
    </row>
    <row r="51" spans="2:6" ht="77.099999999999994" customHeight="1" x14ac:dyDescent="0.25">
      <c r="B51" s="449" t="s">
        <v>602</v>
      </c>
      <c r="C51" s="489"/>
      <c r="D51" s="489"/>
      <c r="E51" s="489"/>
      <c r="F51" s="490"/>
    </row>
  </sheetData>
  <mergeCells count="37">
    <mergeCell ref="C9:F9"/>
    <mergeCell ref="C4:F4"/>
    <mergeCell ref="C5:F5"/>
    <mergeCell ref="C6:F6"/>
    <mergeCell ref="C7:F7"/>
    <mergeCell ref="C8:F8"/>
    <mergeCell ref="B26:F26"/>
    <mergeCell ref="B11:F11"/>
    <mergeCell ref="B12:C12"/>
    <mergeCell ref="D12:F12"/>
    <mergeCell ref="B13:C13"/>
    <mergeCell ref="D13:F13"/>
    <mergeCell ref="B18:F18"/>
    <mergeCell ref="B19:F19"/>
    <mergeCell ref="B20:F20"/>
    <mergeCell ref="B21:F21"/>
    <mergeCell ref="B23:F23"/>
    <mergeCell ref="B24:F24"/>
    <mergeCell ref="B32:F32"/>
    <mergeCell ref="B34:F34"/>
    <mergeCell ref="B27:F27"/>
    <mergeCell ref="B28:F28"/>
    <mergeCell ref="B29:F29"/>
    <mergeCell ref="C35:F35"/>
    <mergeCell ref="C37:F37"/>
    <mergeCell ref="C38:F38"/>
    <mergeCell ref="C39:F39"/>
    <mergeCell ref="B41:F41"/>
    <mergeCell ref="B51:F51"/>
    <mergeCell ref="C36:F36"/>
    <mergeCell ref="B44:F44"/>
    <mergeCell ref="D45:F45"/>
    <mergeCell ref="D46:F46"/>
    <mergeCell ref="D47:F47"/>
    <mergeCell ref="D48:F48"/>
    <mergeCell ref="B50:F50"/>
    <mergeCell ref="B42:F42"/>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6:C48">
      <formula1>"Académique, Professionnel, Associatif, Autre"</formula1>
    </dataValidation>
  </dataValidations>
  <hyperlinks>
    <hyperlink ref="B1" location="'Schéma d''enseignement'!G22" display="Schéma d'enseignement"/>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8"/>
  <sheetViews>
    <sheetView workbookViewId="0">
      <selection activeCell="B1" sqref="B1"/>
    </sheetView>
  </sheetViews>
  <sheetFormatPr baseColWidth="10" defaultColWidth="8.85546875" defaultRowHeight="15" x14ac:dyDescent="0.25"/>
  <cols>
    <col min="1" max="1" width="3.1406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9.5" customHeight="1" x14ac:dyDescent="0.25">
      <c r="B5" s="188" t="s">
        <v>318</v>
      </c>
      <c r="C5" s="445" t="s">
        <v>317</v>
      </c>
      <c r="D5" s="445"/>
      <c r="E5" s="445"/>
      <c r="F5" s="445"/>
    </row>
    <row r="6" spans="2:6" ht="15.75" x14ac:dyDescent="0.25">
      <c r="B6" s="187" t="s">
        <v>316</v>
      </c>
      <c r="C6" s="469" t="s">
        <v>315</v>
      </c>
      <c r="D6" s="470"/>
      <c r="E6" s="470"/>
      <c r="F6" s="471"/>
    </row>
    <row r="7" spans="2:6" ht="15.75" x14ac:dyDescent="0.25">
      <c r="B7" s="187" t="s">
        <v>314</v>
      </c>
      <c r="C7" s="444" t="s">
        <v>635</v>
      </c>
      <c r="D7" s="444"/>
      <c r="E7" s="444"/>
      <c r="F7" s="444"/>
    </row>
    <row r="8" spans="2:6" ht="15.75" x14ac:dyDescent="0.25">
      <c r="B8" s="187" t="s">
        <v>348</v>
      </c>
      <c r="C8" s="444" t="s">
        <v>516</v>
      </c>
      <c r="D8" s="444"/>
      <c r="E8" s="444"/>
      <c r="F8" s="444"/>
    </row>
    <row r="9" spans="2:6" ht="15.75" x14ac:dyDescent="0.25">
      <c r="B9" s="187" t="s">
        <v>310</v>
      </c>
      <c r="C9" s="444">
        <v>4</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42856</v>
      </c>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15.75" x14ac:dyDescent="0.25">
      <c r="B16" s="35" t="s">
        <v>517</v>
      </c>
      <c r="C16" s="24" t="s">
        <v>439</v>
      </c>
      <c r="D16" s="24">
        <v>2</v>
      </c>
      <c r="E16" s="24">
        <v>2</v>
      </c>
      <c r="F16" s="24" t="s">
        <v>440</v>
      </c>
    </row>
    <row r="17" spans="2:6" ht="15.75" x14ac:dyDescent="0.25">
      <c r="B17" s="189"/>
      <c r="C17" s="190"/>
      <c r="D17" s="190"/>
      <c r="E17" s="190"/>
      <c r="F17" s="190"/>
    </row>
    <row r="18" spans="2:6" ht="15.75" x14ac:dyDescent="0.25">
      <c r="B18" s="446" t="s">
        <v>293</v>
      </c>
      <c r="C18" s="447"/>
      <c r="D18" s="447"/>
      <c r="E18" s="447"/>
      <c r="F18" s="448"/>
    </row>
    <row r="19" spans="2:6" ht="54.95" customHeight="1" x14ac:dyDescent="0.25">
      <c r="B19" s="546" t="s">
        <v>508</v>
      </c>
      <c r="C19" s="506"/>
      <c r="D19" s="506"/>
      <c r="E19" s="506"/>
      <c r="F19" s="507"/>
    </row>
    <row r="20" spans="2:6" ht="15.75" x14ac:dyDescent="0.25">
      <c r="B20" s="446" t="s">
        <v>292</v>
      </c>
      <c r="C20" s="447"/>
      <c r="D20" s="447"/>
      <c r="E20" s="447"/>
      <c r="F20" s="448"/>
    </row>
    <row r="21" spans="2:6" ht="105.95" customHeight="1" x14ac:dyDescent="0.25">
      <c r="B21" s="454" t="s">
        <v>509</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510</v>
      </c>
      <c r="C24" s="506"/>
      <c r="D24" s="506"/>
      <c r="E24" s="506"/>
      <c r="F24" s="507"/>
    </row>
    <row r="25" spans="2:6" ht="15.75" x14ac:dyDescent="0.25">
      <c r="B25" s="150"/>
      <c r="C25" s="150"/>
      <c r="D25" s="150"/>
      <c r="E25" s="150"/>
      <c r="F25" s="150"/>
    </row>
    <row r="26" spans="2:6" ht="15.75" x14ac:dyDescent="0.25">
      <c r="B26" s="446" t="s">
        <v>355</v>
      </c>
      <c r="C26" s="447"/>
      <c r="D26" s="447"/>
      <c r="E26" s="447"/>
      <c r="F26" s="448"/>
    </row>
    <row r="27" spans="2:6" ht="15.75" x14ac:dyDescent="0.25">
      <c r="B27" s="543"/>
      <c r="C27" s="544"/>
      <c r="D27" s="544"/>
      <c r="E27" s="544"/>
      <c r="F27" s="545"/>
    </row>
    <row r="28" spans="2:6" ht="15.75" x14ac:dyDescent="0.25">
      <c r="B28" s="543"/>
      <c r="C28" s="544"/>
      <c r="D28" s="544"/>
      <c r="E28" s="544"/>
      <c r="F28" s="545"/>
    </row>
    <row r="29" spans="2:6" ht="15.75" x14ac:dyDescent="0.25">
      <c r="B29" s="150"/>
      <c r="C29" s="150"/>
      <c r="D29" s="150"/>
      <c r="E29" s="150"/>
      <c r="F29" s="150"/>
    </row>
    <row r="30" spans="2:6" ht="15.75" x14ac:dyDescent="0.25">
      <c r="B30" s="446" t="s">
        <v>282</v>
      </c>
      <c r="C30" s="447"/>
      <c r="D30" s="447"/>
      <c r="E30" s="447"/>
      <c r="F30" s="448"/>
    </row>
    <row r="31" spans="2:6" ht="141.94999999999999" customHeight="1" x14ac:dyDescent="0.25">
      <c r="B31" s="454" t="s">
        <v>511</v>
      </c>
      <c r="C31" s="450"/>
      <c r="D31" s="450"/>
      <c r="E31" s="450"/>
      <c r="F31" s="451"/>
    </row>
    <row r="32" spans="2:6" ht="15.75" x14ac:dyDescent="0.25">
      <c r="B32" s="160"/>
      <c r="C32" s="191"/>
      <c r="D32" s="191"/>
      <c r="E32" s="191"/>
      <c r="F32" s="191"/>
    </row>
    <row r="33" spans="2:6" ht="15.75" x14ac:dyDescent="0.25">
      <c r="B33" s="446" t="s">
        <v>435</v>
      </c>
      <c r="C33" s="447"/>
      <c r="D33" s="447"/>
      <c r="E33" s="447"/>
      <c r="F33" s="448"/>
    </row>
    <row r="34" spans="2:6" ht="15.75" x14ac:dyDescent="0.25">
      <c r="B34" s="464" t="s">
        <v>512</v>
      </c>
      <c r="C34" s="450"/>
      <c r="D34" s="450"/>
      <c r="E34" s="450"/>
      <c r="F34" s="451"/>
    </row>
    <row r="35" spans="2:6" ht="15.75" x14ac:dyDescent="0.25">
      <c r="B35" s="464" t="s">
        <v>513</v>
      </c>
      <c r="C35" s="450"/>
      <c r="D35" s="450"/>
      <c r="E35" s="450"/>
      <c r="F35" s="451"/>
    </row>
    <row r="36" spans="2:6" ht="15.75" x14ac:dyDescent="0.25">
      <c r="B36" s="464" t="s">
        <v>514</v>
      </c>
      <c r="C36" s="450"/>
      <c r="D36" s="450"/>
      <c r="E36" s="450"/>
      <c r="F36" s="451"/>
    </row>
    <row r="37" spans="2:6" ht="15.75" x14ac:dyDescent="0.25">
      <c r="B37" s="150"/>
      <c r="C37" s="150"/>
      <c r="D37" s="150"/>
      <c r="E37" s="150"/>
      <c r="F37" s="150"/>
    </row>
    <row r="38" spans="2:6" ht="15.75" x14ac:dyDescent="0.25">
      <c r="B38" s="446" t="s">
        <v>276</v>
      </c>
      <c r="C38" s="447"/>
      <c r="D38" s="447"/>
      <c r="E38" s="447"/>
      <c r="F38" s="448"/>
    </row>
    <row r="39" spans="2:6" ht="35.450000000000003" customHeight="1" x14ac:dyDescent="0.25">
      <c r="B39" s="449" t="s">
        <v>515</v>
      </c>
      <c r="C39" s="455"/>
      <c r="D39" s="455"/>
      <c r="E39" s="455"/>
      <c r="F39" s="456"/>
    </row>
    <row r="40" spans="2:6" ht="15.75" x14ac:dyDescent="0.25">
      <c r="B40" s="150"/>
      <c r="C40" s="150"/>
      <c r="D40" s="150"/>
      <c r="E40" s="150"/>
      <c r="F40" s="150"/>
    </row>
    <row r="41" spans="2:6" ht="31.5" customHeight="1" x14ac:dyDescent="0.25">
      <c r="B41" s="501" t="s">
        <v>274</v>
      </c>
      <c r="C41" s="502"/>
      <c r="D41" s="502"/>
      <c r="E41" s="502"/>
      <c r="F41" s="503"/>
    </row>
    <row r="42" spans="2:6" ht="15.75" x14ac:dyDescent="0.25">
      <c r="B42" s="155" t="s">
        <v>273</v>
      </c>
      <c r="C42" s="155" t="s">
        <v>272</v>
      </c>
      <c r="D42" s="446" t="s">
        <v>271</v>
      </c>
      <c r="E42" s="447"/>
      <c r="F42" s="448"/>
    </row>
    <row r="43" spans="2:6" ht="15.75" x14ac:dyDescent="0.25">
      <c r="B43" s="156"/>
      <c r="C43" s="156"/>
      <c r="D43" s="491"/>
      <c r="E43" s="492"/>
      <c r="F43" s="493"/>
    </row>
    <row r="44" spans="2:6" ht="15.75" x14ac:dyDescent="0.25">
      <c r="B44" s="156"/>
      <c r="C44" s="156"/>
      <c r="D44" s="491"/>
      <c r="E44" s="492"/>
      <c r="F44" s="493"/>
    </row>
    <row r="45" spans="2:6" ht="15.75" x14ac:dyDescent="0.25">
      <c r="B45" s="185"/>
      <c r="C45" s="185"/>
      <c r="D45" s="491"/>
      <c r="E45" s="492"/>
      <c r="F45" s="493"/>
    </row>
    <row r="46" spans="2:6" ht="15.75" x14ac:dyDescent="0.25">
      <c r="B46" s="150"/>
      <c r="C46" s="150"/>
      <c r="D46" s="150"/>
      <c r="E46" s="150"/>
      <c r="F46" s="150"/>
    </row>
    <row r="47" spans="2:6" ht="15.75" x14ac:dyDescent="0.25">
      <c r="B47" s="446" t="s">
        <v>266</v>
      </c>
      <c r="C47" s="447"/>
      <c r="D47" s="447"/>
      <c r="E47" s="447"/>
      <c r="F47" s="448"/>
    </row>
    <row r="48" spans="2:6" ht="15.75" x14ac:dyDescent="0.25">
      <c r="B48" s="488"/>
      <c r="C48" s="489"/>
      <c r="D48" s="489"/>
      <c r="E48" s="489"/>
      <c r="F48" s="490"/>
    </row>
  </sheetData>
  <mergeCells count="35">
    <mergeCell ref="B47:F47"/>
    <mergeCell ref="B48:F48"/>
    <mergeCell ref="B36:F36"/>
    <mergeCell ref="B39:F39"/>
    <mergeCell ref="B41:F41"/>
    <mergeCell ref="D42:F42"/>
    <mergeCell ref="D43:F43"/>
    <mergeCell ref="D44:F44"/>
    <mergeCell ref="D45:F45"/>
    <mergeCell ref="B38:F38"/>
    <mergeCell ref="B34:F34"/>
    <mergeCell ref="B35:F35"/>
    <mergeCell ref="B30:F30"/>
    <mergeCell ref="B31:F31"/>
    <mergeCell ref="B33:F33"/>
    <mergeCell ref="B27:F27"/>
    <mergeCell ref="B28:F28"/>
    <mergeCell ref="B19:F19"/>
    <mergeCell ref="B20:F20"/>
    <mergeCell ref="B21:F21"/>
    <mergeCell ref="B23:F23"/>
    <mergeCell ref="B24:F24"/>
    <mergeCell ref="B26:F26"/>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3:C45">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23" display="Schéma d'enseignement"/>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7"/>
  <sheetViews>
    <sheetView workbookViewId="0">
      <selection activeCell="B1" sqref="B1"/>
    </sheetView>
  </sheetViews>
  <sheetFormatPr baseColWidth="10" defaultColWidth="8.85546875" defaultRowHeight="15" x14ac:dyDescent="0.25"/>
  <cols>
    <col min="1" max="1" width="4.140625" style="1" customWidth="1"/>
    <col min="2" max="2" width="27.42578125" style="1" customWidth="1"/>
    <col min="3" max="3" width="16.140625" style="1" customWidth="1"/>
    <col min="4" max="4" width="13.28515625" style="1" customWidth="1"/>
    <col min="5" max="5" width="13.140625" style="1" customWidth="1"/>
    <col min="6" max="6" width="25.140625" style="1" customWidth="1"/>
    <col min="7" max="16384" width="8.85546875" style="1"/>
  </cols>
  <sheetData>
    <row r="1" spans="2:6" x14ac:dyDescent="0.25">
      <c r="B1" s="326" t="s">
        <v>692</v>
      </c>
    </row>
    <row r="2" spans="2:6" ht="15.75" x14ac:dyDescent="0.25">
      <c r="B2" s="294" t="s">
        <v>344</v>
      </c>
      <c r="C2" s="293"/>
      <c r="D2" s="293"/>
      <c r="E2" s="293"/>
      <c r="F2" s="293"/>
    </row>
    <row r="3" spans="2:6" ht="15.75" x14ac:dyDescent="0.25">
      <c r="B3" s="280"/>
      <c r="C3" s="280"/>
      <c r="D3" s="280"/>
      <c r="E3" s="280"/>
      <c r="F3" s="280"/>
    </row>
    <row r="4" spans="2:6" ht="15.75" x14ac:dyDescent="0.25">
      <c r="B4" s="291" t="s">
        <v>320</v>
      </c>
      <c r="C4" s="444" t="s">
        <v>319</v>
      </c>
      <c r="D4" s="444"/>
      <c r="E4" s="444"/>
      <c r="F4" s="444"/>
    </row>
    <row r="5" spans="2:6" ht="15" customHeight="1" x14ac:dyDescent="0.25">
      <c r="B5" s="292" t="s">
        <v>318</v>
      </c>
      <c r="C5" s="445" t="s">
        <v>457</v>
      </c>
      <c r="D5" s="445"/>
      <c r="E5" s="445"/>
      <c r="F5" s="445"/>
    </row>
    <row r="6" spans="2:6" ht="15.75" x14ac:dyDescent="0.25">
      <c r="B6" s="291" t="s">
        <v>316</v>
      </c>
      <c r="C6" s="444" t="s">
        <v>552</v>
      </c>
      <c r="D6" s="444"/>
      <c r="E6" s="444"/>
      <c r="F6" s="444"/>
    </row>
    <row r="7" spans="2:6" ht="15.75" x14ac:dyDescent="0.25">
      <c r="B7" s="291" t="s">
        <v>314</v>
      </c>
      <c r="C7" s="444" t="s">
        <v>635</v>
      </c>
      <c r="D7" s="444"/>
      <c r="E7" s="444"/>
      <c r="F7" s="444"/>
    </row>
    <row r="8" spans="2:6" ht="15.75" x14ac:dyDescent="0.25">
      <c r="B8" s="291" t="s">
        <v>348</v>
      </c>
      <c r="C8" s="444" t="s">
        <v>516</v>
      </c>
      <c r="D8" s="444"/>
      <c r="E8" s="444"/>
      <c r="F8" s="444"/>
    </row>
    <row r="9" spans="2:6" ht="15.75" x14ac:dyDescent="0.25">
      <c r="B9" s="291" t="s">
        <v>310</v>
      </c>
      <c r="C9" s="444" t="s">
        <v>636</v>
      </c>
      <c r="D9" s="444"/>
      <c r="E9" s="444"/>
      <c r="F9" s="444"/>
    </row>
    <row r="10" spans="2:6" ht="15.75" x14ac:dyDescent="0.25">
      <c r="B10" s="280"/>
      <c r="C10" s="280"/>
      <c r="D10" s="280"/>
      <c r="E10" s="280"/>
      <c r="F10" s="28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43217</v>
      </c>
      <c r="C13" s="484"/>
      <c r="D13" s="444" t="s">
        <v>490</v>
      </c>
      <c r="E13" s="444"/>
      <c r="F13" s="444"/>
    </row>
    <row r="14" spans="2:6" ht="15.75" x14ac:dyDescent="0.25">
      <c r="B14" s="280"/>
      <c r="C14" s="280"/>
      <c r="D14" s="280"/>
      <c r="E14" s="280"/>
      <c r="F14" s="280"/>
    </row>
    <row r="15" spans="2:6" ht="15.75" x14ac:dyDescent="0.25">
      <c r="B15" s="290" t="s">
        <v>300</v>
      </c>
      <c r="C15" s="290" t="s">
        <v>299</v>
      </c>
      <c r="D15" s="290" t="s">
        <v>298</v>
      </c>
      <c r="E15" s="290" t="s">
        <v>297</v>
      </c>
      <c r="F15" s="290" t="s">
        <v>296</v>
      </c>
    </row>
    <row r="16" spans="2:6" ht="30.95" customHeight="1" x14ac:dyDescent="0.25">
      <c r="B16" s="289" t="s">
        <v>637</v>
      </c>
      <c r="C16" s="288">
        <v>21</v>
      </c>
      <c r="D16" s="288">
        <v>2</v>
      </c>
      <c r="E16" s="288">
        <v>2</v>
      </c>
      <c r="F16" s="288" t="s">
        <v>440</v>
      </c>
    </row>
    <row r="17" spans="2:6" ht="15.75" x14ac:dyDescent="0.25">
      <c r="B17" s="287"/>
      <c r="C17" s="286"/>
      <c r="D17" s="286"/>
      <c r="E17" s="286"/>
      <c r="F17" s="286"/>
    </row>
    <row r="18" spans="2:6" ht="15.75" x14ac:dyDescent="0.25">
      <c r="B18" s="446" t="s">
        <v>293</v>
      </c>
      <c r="C18" s="447"/>
      <c r="D18" s="447"/>
      <c r="E18" s="447"/>
      <c r="F18" s="448"/>
    </row>
    <row r="19" spans="2:6" ht="53.1" customHeight="1" x14ac:dyDescent="0.25">
      <c r="B19" s="449" t="s">
        <v>638</v>
      </c>
      <c r="C19" s="450"/>
      <c r="D19" s="450"/>
      <c r="E19" s="450"/>
      <c r="F19" s="451"/>
    </row>
    <row r="20" spans="2:6" ht="15.75" x14ac:dyDescent="0.25">
      <c r="B20" s="446" t="s">
        <v>292</v>
      </c>
      <c r="C20" s="447"/>
      <c r="D20" s="447"/>
      <c r="E20" s="447"/>
      <c r="F20" s="448"/>
    </row>
    <row r="21" spans="2:6" ht="98.1" customHeight="1" x14ac:dyDescent="0.25">
      <c r="B21" s="449" t="s">
        <v>645</v>
      </c>
      <c r="C21" s="450"/>
      <c r="D21" s="450"/>
      <c r="E21" s="450"/>
      <c r="F21" s="451"/>
    </row>
    <row r="22" spans="2:6" ht="15.75" x14ac:dyDescent="0.25">
      <c r="B22" s="280"/>
      <c r="C22" s="280"/>
      <c r="D22" s="280"/>
      <c r="E22" s="280"/>
      <c r="F22" s="280"/>
    </row>
    <row r="23" spans="2:6" ht="15.75" x14ac:dyDescent="0.25">
      <c r="B23" s="446" t="s">
        <v>353</v>
      </c>
      <c r="C23" s="447"/>
      <c r="D23" s="447"/>
      <c r="E23" s="447"/>
      <c r="F23" s="448"/>
    </row>
    <row r="24" spans="2:6" ht="15.75" x14ac:dyDescent="0.25">
      <c r="B24" s="464" t="s">
        <v>639</v>
      </c>
      <c r="C24" s="506"/>
      <c r="D24" s="506"/>
      <c r="E24" s="506"/>
      <c r="F24" s="507"/>
    </row>
    <row r="25" spans="2:6" ht="15.75" x14ac:dyDescent="0.25">
      <c r="B25" s="280"/>
      <c r="C25" s="280"/>
      <c r="D25" s="280"/>
      <c r="E25" s="280"/>
      <c r="F25" s="280"/>
    </row>
    <row r="26" spans="2:6" ht="15.75" x14ac:dyDescent="0.25">
      <c r="B26" s="446" t="s">
        <v>355</v>
      </c>
      <c r="C26" s="447"/>
      <c r="D26" s="447"/>
      <c r="E26" s="447"/>
      <c r="F26" s="448"/>
    </row>
    <row r="27" spans="2:6" ht="15.75" x14ac:dyDescent="0.25">
      <c r="B27" s="494" t="s">
        <v>640</v>
      </c>
      <c r="C27" s="495"/>
      <c r="D27" s="495"/>
      <c r="E27" s="495"/>
      <c r="F27" s="496"/>
    </row>
    <row r="28" spans="2:6" ht="15.75" x14ac:dyDescent="0.25">
      <c r="B28" s="280"/>
      <c r="C28" s="280"/>
      <c r="D28" s="280"/>
      <c r="E28" s="280"/>
      <c r="F28" s="280"/>
    </row>
    <row r="29" spans="2:6" ht="15.75" x14ac:dyDescent="0.25">
      <c r="B29" s="446" t="s">
        <v>282</v>
      </c>
      <c r="C29" s="447"/>
      <c r="D29" s="447"/>
      <c r="E29" s="447"/>
      <c r="F29" s="448"/>
    </row>
    <row r="30" spans="2:6" ht="144.6" customHeight="1" x14ac:dyDescent="0.25">
      <c r="B30" s="449" t="s">
        <v>646</v>
      </c>
      <c r="C30" s="450"/>
      <c r="D30" s="450"/>
      <c r="E30" s="450"/>
      <c r="F30" s="451"/>
    </row>
    <row r="31" spans="2:6" ht="15.75" x14ac:dyDescent="0.25">
      <c r="B31" s="285"/>
      <c r="C31" s="279"/>
      <c r="D31" s="279"/>
      <c r="E31" s="279"/>
      <c r="F31" s="279"/>
    </row>
    <row r="32" spans="2:6" ht="15.75" x14ac:dyDescent="0.25">
      <c r="B32" s="446" t="s">
        <v>435</v>
      </c>
      <c r="C32" s="447"/>
      <c r="D32" s="447"/>
      <c r="E32" s="447"/>
      <c r="F32" s="448"/>
    </row>
    <row r="33" spans="2:6" ht="15.75" x14ac:dyDescent="0.25">
      <c r="B33" s="284" t="s">
        <v>279</v>
      </c>
      <c r="C33" s="468" t="s">
        <v>641</v>
      </c>
      <c r="D33" s="468"/>
      <c r="E33" s="468"/>
      <c r="F33" s="468"/>
    </row>
    <row r="34" spans="2:6" ht="15.75" x14ac:dyDescent="0.25">
      <c r="B34" s="284" t="s">
        <v>278</v>
      </c>
      <c r="C34" s="468" t="s">
        <v>642</v>
      </c>
      <c r="D34" s="468"/>
      <c r="E34" s="468"/>
      <c r="F34" s="468"/>
    </row>
    <row r="35" spans="2:6" ht="15.75" x14ac:dyDescent="0.25">
      <c r="B35" s="280"/>
      <c r="C35" s="280"/>
      <c r="D35" s="280"/>
      <c r="E35" s="280"/>
      <c r="F35" s="280"/>
    </row>
    <row r="36" spans="2:6" ht="15.75" x14ac:dyDescent="0.25">
      <c r="B36" s="446" t="s">
        <v>276</v>
      </c>
      <c r="C36" s="447"/>
      <c r="D36" s="447"/>
      <c r="E36" s="447"/>
      <c r="F36" s="448"/>
    </row>
    <row r="37" spans="2:6" ht="15.75" x14ac:dyDescent="0.25">
      <c r="B37" s="449" t="s">
        <v>643</v>
      </c>
      <c r="C37" s="455"/>
      <c r="D37" s="455"/>
      <c r="E37" s="455"/>
      <c r="F37" s="456"/>
    </row>
    <row r="38" spans="2:6" ht="15.75" x14ac:dyDescent="0.25">
      <c r="B38" s="280"/>
      <c r="C38" s="280"/>
      <c r="D38" s="280"/>
      <c r="E38" s="280"/>
      <c r="F38" s="280"/>
    </row>
    <row r="39" spans="2:6" ht="15.75" x14ac:dyDescent="0.25">
      <c r="B39" s="446" t="s">
        <v>274</v>
      </c>
      <c r="C39" s="447"/>
      <c r="D39" s="447"/>
      <c r="E39" s="447"/>
      <c r="F39" s="448"/>
    </row>
    <row r="40" spans="2:6" ht="15.75" x14ac:dyDescent="0.25">
      <c r="B40" s="283" t="s">
        <v>273</v>
      </c>
      <c r="C40" s="283" t="s">
        <v>272</v>
      </c>
      <c r="D40" s="446" t="s">
        <v>271</v>
      </c>
      <c r="E40" s="447"/>
      <c r="F40" s="448"/>
    </row>
    <row r="41" spans="2:6" ht="15.75" x14ac:dyDescent="0.25">
      <c r="B41" s="282"/>
      <c r="C41" s="282"/>
      <c r="D41" s="491"/>
      <c r="E41" s="492"/>
      <c r="F41" s="493"/>
    </row>
    <row r="42" spans="2:6" ht="15.75" x14ac:dyDescent="0.25">
      <c r="B42" s="282"/>
      <c r="C42" s="282"/>
      <c r="D42" s="491"/>
      <c r="E42" s="492"/>
      <c r="F42" s="493"/>
    </row>
    <row r="43" spans="2:6" ht="15.75" x14ac:dyDescent="0.25">
      <c r="B43" s="281"/>
      <c r="C43" s="281"/>
      <c r="D43" s="491"/>
      <c r="E43" s="492"/>
      <c r="F43" s="493"/>
    </row>
    <row r="44" spans="2:6" ht="15.75" x14ac:dyDescent="0.25">
      <c r="B44" s="280"/>
      <c r="C44" s="280"/>
      <c r="D44" s="280"/>
      <c r="E44" s="280"/>
      <c r="F44" s="280"/>
    </row>
    <row r="45" spans="2:6" ht="15.75" x14ac:dyDescent="0.25">
      <c r="B45" s="446" t="s">
        <v>266</v>
      </c>
      <c r="C45" s="447"/>
      <c r="D45" s="447"/>
      <c r="E45" s="447"/>
      <c r="F45" s="448"/>
    </row>
    <row r="46" spans="2:6" ht="64.5" customHeight="1" x14ac:dyDescent="0.25">
      <c r="B46" s="449" t="s">
        <v>644</v>
      </c>
      <c r="C46" s="450"/>
      <c r="D46" s="450"/>
      <c r="E46" s="450"/>
      <c r="F46" s="451"/>
    </row>
    <row r="47" spans="2:6" ht="15.75" x14ac:dyDescent="0.25">
      <c r="B47" s="280"/>
      <c r="C47" s="280"/>
      <c r="D47" s="280"/>
      <c r="E47" s="280"/>
      <c r="F47" s="280"/>
    </row>
  </sheetData>
  <mergeCells count="33">
    <mergeCell ref="C8:F8"/>
    <mergeCell ref="C4:F4"/>
    <mergeCell ref="C5:F5"/>
    <mergeCell ref="C6:F6"/>
    <mergeCell ref="C7:F7"/>
    <mergeCell ref="B24:F24"/>
    <mergeCell ref="C9:F9"/>
    <mergeCell ref="B11:F11"/>
    <mergeCell ref="B12:C12"/>
    <mergeCell ref="D12:F12"/>
    <mergeCell ref="B13:C13"/>
    <mergeCell ref="D13:F13"/>
    <mergeCell ref="B18:F18"/>
    <mergeCell ref="B19:F19"/>
    <mergeCell ref="B20:F20"/>
    <mergeCell ref="B21:F21"/>
    <mergeCell ref="B23:F23"/>
    <mergeCell ref="D43:F43"/>
    <mergeCell ref="B45:F45"/>
    <mergeCell ref="B46:F46"/>
    <mergeCell ref="B30:F30"/>
    <mergeCell ref="B26:F26"/>
    <mergeCell ref="B27:F27"/>
    <mergeCell ref="B29:F29"/>
    <mergeCell ref="D42:F42"/>
    <mergeCell ref="B32:F32"/>
    <mergeCell ref="C33:F33"/>
    <mergeCell ref="C34:F34"/>
    <mergeCell ref="B36:F36"/>
    <mergeCell ref="B37:F37"/>
    <mergeCell ref="B39:F39"/>
    <mergeCell ref="D40:F40"/>
    <mergeCell ref="D41:F41"/>
  </mergeCells>
  <dataValidations count="1">
    <dataValidation type="list" allowBlank="1" showInputMessage="1" showErrorMessage="1" sqref="C4">
      <formula1>"Mise à jour à partir du plan d'études, Nouvelle création"</formula1>
    </dataValidation>
  </dataValidations>
  <hyperlinks>
    <hyperlink ref="B1" location="'Schéma d''enseignement'!G24" display="Schéma d'enseignement"/>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6"/>
  <sheetViews>
    <sheetView workbookViewId="0">
      <selection activeCell="B1" sqref="B1"/>
    </sheetView>
  </sheetViews>
  <sheetFormatPr baseColWidth="10" defaultColWidth="8.85546875" defaultRowHeight="15" x14ac:dyDescent="0.25"/>
  <cols>
    <col min="1" max="1" width="4.42578125" style="1" customWidth="1"/>
    <col min="2" max="2" width="29.42578125" style="1" customWidth="1"/>
    <col min="3" max="3" width="15.5703125" style="1" customWidth="1"/>
    <col min="4" max="4" width="11.85546875" style="1" customWidth="1"/>
    <col min="5" max="5" width="7" style="1" customWidth="1"/>
    <col min="6" max="6" width="36" style="1" customWidth="1"/>
    <col min="7" max="16384" width="8.85546875" style="1"/>
  </cols>
  <sheetData>
    <row r="1" spans="2:6" x14ac:dyDescent="0.25">
      <c r="B1" s="326" t="s">
        <v>692</v>
      </c>
    </row>
    <row r="2" spans="2:6" ht="15.75" x14ac:dyDescent="0.25">
      <c r="B2" s="294" t="s">
        <v>344</v>
      </c>
      <c r="C2" s="293"/>
      <c r="D2" s="293"/>
      <c r="E2" s="293"/>
      <c r="F2" s="293"/>
    </row>
    <row r="3" spans="2:6" ht="15.75" x14ac:dyDescent="0.25">
      <c r="B3" s="280"/>
      <c r="C3" s="280"/>
      <c r="D3" s="280"/>
      <c r="E3" s="280"/>
      <c r="F3" s="280"/>
    </row>
    <row r="4" spans="2:6" ht="15.75" x14ac:dyDescent="0.25">
      <c r="B4" s="291" t="s">
        <v>320</v>
      </c>
      <c r="C4" s="444" t="s">
        <v>319</v>
      </c>
      <c r="D4" s="444"/>
      <c r="E4" s="444"/>
      <c r="F4" s="444"/>
    </row>
    <row r="5" spans="2:6" ht="20.45" customHeight="1" x14ac:dyDescent="0.25">
      <c r="B5" s="292" t="s">
        <v>318</v>
      </c>
      <c r="C5" s="445" t="s">
        <v>457</v>
      </c>
      <c r="D5" s="445"/>
      <c r="E5" s="445"/>
      <c r="F5" s="445"/>
    </row>
    <row r="6" spans="2:6" ht="15.75" x14ac:dyDescent="0.25">
      <c r="B6" s="291" t="s">
        <v>316</v>
      </c>
      <c r="C6" s="444" t="s">
        <v>552</v>
      </c>
      <c r="D6" s="444"/>
      <c r="E6" s="444"/>
      <c r="F6" s="444"/>
    </row>
    <row r="7" spans="2:6" ht="15.75" x14ac:dyDescent="0.25">
      <c r="B7" s="291" t="s">
        <v>314</v>
      </c>
      <c r="C7" s="444" t="s">
        <v>635</v>
      </c>
      <c r="D7" s="444"/>
      <c r="E7" s="444"/>
      <c r="F7" s="444"/>
    </row>
    <row r="8" spans="2:6" ht="15.75" x14ac:dyDescent="0.25">
      <c r="B8" s="291" t="s">
        <v>348</v>
      </c>
      <c r="C8" s="444" t="s">
        <v>647</v>
      </c>
      <c r="D8" s="444"/>
      <c r="E8" s="444"/>
      <c r="F8" s="444"/>
    </row>
    <row r="9" spans="2:6" ht="15.75" x14ac:dyDescent="0.25">
      <c r="B9" s="291" t="s">
        <v>310</v>
      </c>
      <c r="C9" s="444" t="s">
        <v>636</v>
      </c>
      <c r="D9" s="444"/>
      <c r="E9" s="444"/>
      <c r="F9" s="444"/>
    </row>
    <row r="10" spans="2:6" ht="15.75" x14ac:dyDescent="0.25">
      <c r="B10" s="280"/>
      <c r="C10" s="280"/>
      <c r="D10" s="280"/>
      <c r="E10" s="280"/>
      <c r="F10" s="28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43217</v>
      </c>
      <c r="C13" s="484"/>
      <c r="D13" s="444" t="s">
        <v>490</v>
      </c>
      <c r="E13" s="444"/>
      <c r="F13" s="444"/>
    </row>
    <row r="14" spans="2:6" ht="15.75" x14ac:dyDescent="0.25">
      <c r="B14" s="280"/>
      <c r="C14" s="280"/>
      <c r="D14" s="280"/>
      <c r="E14" s="280"/>
      <c r="F14" s="280"/>
    </row>
    <row r="15" spans="2:6" ht="15.75" x14ac:dyDescent="0.25">
      <c r="B15" s="290" t="s">
        <v>300</v>
      </c>
      <c r="C15" s="290" t="s">
        <v>299</v>
      </c>
      <c r="D15" s="290" t="s">
        <v>298</v>
      </c>
      <c r="E15" s="290" t="s">
        <v>297</v>
      </c>
      <c r="F15" s="290" t="s">
        <v>296</v>
      </c>
    </row>
    <row r="16" spans="2:6" ht="31.5" x14ac:dyDescent="0.25">
      <c r="B16" s="289" t="s">
        <v>652</v>
      </c>
      <c r="C16" s="288">
        <v>21</v>
      </c>
      <c r="D16" s="288">
        <v>2</v>
      </c>
      <c r="E16" s="288">
        <v>2</v>
      </c>
      <c r="F16" s="288" t="s">
        <v>440</v>
      </c>
    </row>
    <row r="17" spans="2:6" ht="15.75" x14ac:dyDescent="0.25">
      <c r="B17" s="287"/>
      <c r="C17" s="286"/>
      <c r="D17" s="286"/>
      <c r="E17" s="286"/>
      <c r="F17" s="286"/>
    </row>
    <row r="18" spans="2:6" ht="15.75" x14ac:dyDescent="0.25">
      <c r="B18" s="446" t="s">
        <v>293</v>
      </c>
      <c r="C18" s="447"/>
      <c r="D18" s="447"/>
      <c r="E18" s="447"/>
      <c r="F18" s="448"/>
    </row>
    <row r="19" spans="2:6" ht="60.6" customHeight="1" x14ac:dyDescent="0.25">
      <c r="B19" s="449" t="s">
        <v>648</v>
      </c>
      <c r="C19" s="450"/>
      <c r="D19" s="450"/>
      <c r="E19" s="450"/>
      <c r="F19" s="451"/>
    </row>
    <row r="20" spans="2:6" ht="15.75" x14ac:dyDescent="0.25">
      <c r="B20" s="446" t="s">
        <v>292</v>
      </c>
      <c r="C20" s="447"/>
      <c r="D20" s="447"/>
      <c r="E20" s="447"/>
      <c r="F20" s="448"/>
    </row>
    <row r="21" spans="2:6" ht="85.5" customHeight="1" x14ac:dyDescent="0.25">
      <c r="B21" s="449" t="s">
        <v>653</v>
      </c>
      <c r="C21" s="450"/>
      <c r="D21" s="450"/>
      <c r="E21" s="450"/>
      <c r="F21" s="451"/>
    </row>
    <row r="22" spans="2:6" ht="15.75" x14ac:dyDescent="0.25">
      <c r="B22" s="280"/>
      <c r="C22" s="280"/>
      <c r="D22" s="280"/>
      <c r="E22" s="280"/>
      <c r="F22" s="280"/>
    </row>
    <row r="23" spans="2:6" ht="15.75" x14ac:dyDescent="0.25">
      <c r="B23" s="446" t="s">
        <v>353</v>
      </c>
      <c r="C23" s="447"/>
      <c r="D23" s="447"/>
      <c r="E23" s="447"/>
      <c r="F23" s="448"/>
    </row>
    <row r="24" spans="2:6" ht="15.75" x14ac:dyDescent="0.25">
      <c r="B24" s="464" t="s">
        <v>639</v>
      </c>
      <c r="C24" s="506"/>
      <c r="D24" s="506"/>
      <c r="E24" s="506"/>
      <c r="F24" s="507"/>
    </row>
    <row r="25" spans="2:6" ht="15.75" x14ac:dyDescent="0.25">
      <c r="B25" s="280"/>
      <c r="C25" s="280"/>
      <c r="D25" s="280"/>
      <c r="E25" s="280"/>
      <c r="F25" s="280"/>
    </row>
    <row r="26" spans="2:6" ht="15.75" x14ac:dyDescent="0.25">
      <c r="B26" s="446" t="s">
        <v>355</v>
      </c>
      <c r="C26" s="447"/>
      <c r="D26" s="447"/>
      <c r="E26" s="447"/>
      <c r="F26" s="448"/>
    </row>
    <row r="27" spans="2:6" ht="15.75" x14ac:dyDescent="0.25">
      <c r="B27" s="460" t="s">
        <v>640</v>
      </c>
      <c r="C27" s="460"/>
      <c r="D27" s="460"/>
      <c r="E27" s="460"/>
      <c r="F27" s="460"/>
    </row>
    <row r="28" spans="2:6" ht="15.75" x14ac:dyDescent="0.25">
      <c r="B28" s="280"/>
      <c r="C28" s="280"/>
      <c r="D28" s="280"/>
      <c r="E28" s="280"/>
      <c r="F28" s="280"/>
    </row>
    <row r="29" spans="2:6" ht="15.75" x14ac:dyDescent="0.25">
      <c r="B29" s="446" t="s">
        <v>282</v>
      </c>
      <c r="C29" s="447"/>
      <c r="D29" s="447"/>
      <c r="E29" s="447"/>
      <c r="F29" s="448"/>
    </row>
    <row r="30" spans="2:6" ht="144" customHeight="1" x14ac:dyDescent="0.25">
      <c r="B30" s="449" t="s">
        <v>654</v>
      </c>
      <c r="C30" s="450"/>
      <c r="D30" s="450"/>
      <c r="E30" s="450"/>
      <c r="F30" s="451"/>
    </row>
    <row r="31" spans="2:6" ht="15.75" x14ac:dyDescent="0.25">
      <c r="B31" s="285"/>
      <c r="C31" s="279"/>
      <c r="D31" s="279"/>
      <c r="E31" s="279"/>
      <c r="F31" s="279"/>
    </row>
    <row r="32" spans="2:6" ht="15.75" x14ac:dyDescent="0.25">
      <c r="B32" s="446" t="s">
        <v>435</v>
      </c>
      <c r="C32" s="447"/>
      <c r="D32" s="447"/>
      <c r="E32" s="447"/>
      <c r="F32" s="448"/>
    </row>
    <row r="33" spans="2:6" ht="15.75" x14ac:dyDescent="0.25">
      <c r="B33" s="284" t="s">
        <v>277</v>
      </c>
      <c r="C33" s="468" t="s">
        <v>649</v>
      </c>
      <c r="D33" s="468"/>
      <c r="E33" s="468"/>
      <c r="F33" s="468"/>
    </row>
    <row r="34" spans="2:6" ht="15.75" x14ac:dyDescent="0.25">
      <c r="B34" s="284" t="s">
        <v>650</v>
      </c>
      <c r="C34" s="468" t="s">
        <v>651</v>
      </c>
      <c r="D34" s="468"/>
      <c r="E34" s="468"/>
      <c r="F34" s="468"/>
    </row>
    <row r="35" spans="2:6" ht="15.75" x14ac:dyDescent="0.25">
      <c r="B35" s="280"/>
      <c r="C35" s="280"/>
      <c r="D35" s="280"/>
      <c r="E35" s="280"/>
      <c r="F35" s="280"/>
    </row>
    <row r="36" spans="2:6" ht="15.75" x14ac:dyDescent="0.25">
      <c r="B36" s="446" t="s">
        <v>276</v>
      </c>
      <c r="C36" s="447"/>
      <c r="D36" s="447"/>
      <c r="E36" s="447"/>
      <c r="F36" s="448"/>
    </row>
    <row r="37" spans="2:6" ht="31.5" customHeight="1" x14ac:dyDescent="0.25">
      <c r="B37" s="449" t="s">
        <v>643</v>
      </c>
      <c r="C37" s="455"/>
      <c r="D37" s="455"/>
      <c r="E37" s="455"/>
      <c r="F37" s="456"/>
    </row>
    <row r="38" spans="2:6" ht="15.75" x14ac:dyDescent="0.25">
      <c r="B38" s="280"/>
      <c r="C38" s="280"/>
      <c r="D38" s="280"/>
      <c r="E38" s="280"/>
      <c r="F38" s="280"/>
    </row>
    <row r="39" spans="2:6" ht="15.75" x14ac:dyDescent="0.25">
      <c r="B39" s="501" t="s">
        <v>274</v>
      </c>
      <c r="C39" s="502"/>
      <c r="D39" s="502"/>
      <c r="E39" s="502"/>
      <c r="F39" s="503"/>
    </row>
    <row r="40" spans="2:6" ht="15.75" x14ac:dyDescent="0.25">
      <c r="B40" s="283" t="s">
        <v>273</v>
      </c>
      <c r="C40" s="283" t="s">
        <v>272</v>
      </c>
      <c r="D40" s="446" t="s">
        <v>271</v>
      </c>
      <c r="E40" s="447"/>
      <c r="F40" s="448"/>
    </row>
    <row r="41" spans="2:6" ht="15.75" x14ac:dyDescent="0.25">
      <c r="B41" s="282"/>
      <c r="C41" s="282"/>
      <c r="D41" s="491"/>
      <c r="E41" s="492"/>
      <c r="F41" s="493"/>
    </row>
    <row r="42" spans="2:6" ht="15.75" x14ac:dyDescent="0.25">
      <c r="B42" s="282"/>
      <c r="C42" s="282"/>
      <c r="D42" s="491"/>
      <c r="E42" s="492"/>
      <c r="F42" s="493"/>
    </row>
    <row r="43" spans="2:6" ht="15.75" x14ac:dyDescent="0.25">
      <c r="B43" s="281"/>
      <c r="C43" s="281"/>
      <c r="D43" s="491"/>
      <c r="E43" s="492"/>
      <c r="F43" s="493"/>
    </row>
    <row r="44" spans="2:6" ht="15.75" x14ac:dyDescent="0.25">
      <c r="B44" s="280"/>
      <c r="C44" s="280"/>
      <c r="D44" s="280"/>
      <c r="E44" s="280"/>
      <c r="F44" s="280"/>
    </row>
    <row r="45" spans="2:6" ht="15.75" x14ac:dyDescent="0.25">
      <c r="B45" s="446" t="s">
        <v>266</v>
      </c>
      <c r="C45" s="447"/>
      <c r="D45" s="447"/>
      <c r="E45" s="447"/>
      <c r="F45" s="448"/>
    </row>
    <row r="46" spans="2:6" ht="68.099999999999994" customHeight="1" x14ac:dyDescent="0.25">
      <c r="B46" s="449" t="s">
        <v>644</v>
      </c>
      <c r="C46" s="450"/>
      <c r="D46" s="450"/>
      <c r="E46" s="450"/>
      <c r="F46" s="451"/>
    </row>
  </sheetData>
  <mergeCells count="33">
    <mergeCell ref="B45:F45"/>
    <mergeCell ref="B46:F46"/>
    <mergeCell ref="B37:F37"/>
    <mergeCell ref="B39:F39"/>
    <mergeCell ref="D40:F40"/>
    <mergeCell ref="D41:F41"/>
    <mergeCell ref="D42:F42"/>
    <mergeCell ref="D43:F43"/>
    <mergeCell ref="C33:F33"/>
    <mergeCell ref="C34:F34"/>
    <mergeCell ref="B36:F36"/>
    <mergeCell ref="B29:F29"/>
    <mergeCell ref="B30:F30"/>
    <mergeCell ref="B32:F32"/>
    <mergeCell ref="B27:F27"/>
    <mergeCell ref="B19:F19"/>
    <mergeCell ref="B20:F20"/>
    <mergeCell ref="B21:F21"/>
    <mergeCell ref="B23:F23"/>
    <mergeCell ref="B24:F24"/>
    <mergeCell ref="B26:F26"/>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1:C43">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25" display="Schéma d'enseignement"/>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2"/>
  <sheetViews>
    <sheetView workbookViewId="0">
      <selection activeCell="B1" sqref="B1"/>
    </sheetView>
  </sheetViews>
  <sheetFormatPr baseColWidth="10" defaultColWidth="8.85546875" defaultRowHeight="15" x14ac:dyDescent="0.25"/>
  <cols>
    <col min="1" max="1" width="4.1406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7.100000000000001"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525</v>
      </c>
      <c r="D8" s="444"/>
      <c r="E8" s="444"/>
      <c r="F8" s="444"/>
    </row>
    <row r="9" spans="2:6" ht="15.75" x14ac:dyDescent="0.25">
      <c r="B9" s="187" t="s">
        <v>310</v>
      </c>
      <c r="C9" s="444">
        <v>4</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43198</v>
      </c>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0.6" customHeight="1" x14ac:dyDescent="0.25">
      <c r="B16" s="35" t="s">
        <v>171</v>
      </c>
      <c r="C16" s="24">
        <v>21</v>
      </c>
      <c r="D16" s="24">
        <v>2</v>
      </c>
      <c r="E16" s="24">
        <v>2</v>
      </c>
      <c r="F16" s="24" t="s">
        <v>440</v>
      </c>
    </row>
    <row r="17" spans="2:6" ht="15.75" x14ac:dyDescent="0.25">
      <c r="B17" s="189"/>
      <c r="C17" s="190"/>
      <c r="D17" s="190"/>
      <c r="E17" s="190"/>
      <c r="F17" s="190"/>
    </row>
    <row r="18" spans="2:6" ht="15.75" x14ac:dyDescent="0.25">
      <c r="B18" s="446" t="s">
        <v>293</v>
      </c>
      <c r="C18" s="447"/>
      <c r="D18" s="447"/>
      <c r="E18" s="447"/>
      <c r="F18" s="448"/>
    </row>
    <row r="19" spans="2:6" ht="60" customHeight="1" x14ac:dyDescent="0.25">
      <c r="B19" s="454" t="s">
        <v>518</v>
      </c>
      <c r="C19" s="506"/>
      <c r="D19" s="506"/>
      <c r="E19" s="506"/>
      <c r="F19" s="507"/>
    </row>
    <row r="20" spans="2:6" ht="15.75" x14ac:dyDescent="0.25">
      <c r="B20" s="446" t="s">
        <v>292</v>
      </c>
      <c r="C20" s="447"/>
      <c r="D20" s="447"/>
      <c r="E20" s="447"/>
      <c r="F20" s="448"/>
    </row>
    <row r="21" spans="2:6" ht="45.6" customHeight="1" x14ac:dyDescent="0.25">
      <c r="B21" s="454" t="s">
        <v>519</v>
      </c>
      <c r="C21" s="450"/>
      <c r="D21" s="450"/>
      <c r="E21" s="450"/>
      <c r="F21" s="451"/>
    </row>
    <row r="22" spans="2:6" ht="15.75" x14ac:dyDescent="0.25">
      <c r="B22" s="150"/>
      <c r="C22" s="150"/>
      <c r="D22" s="150"/>
      <c r="E22" s="150"/>
      <c r="F22" s="150"/>
    </row>
    <row r="23" spans="2:6" ht="15.75" x14ac:dyDescent="0.25">
      <c r="B23" s="446" t="s">
        <v>291</v>
      </c>
      <c r="C23" s="447"/>
      <c r="D23" s="447"/>
      <c r="E23" s="447"/>
      <c r="F23" s="448"/>
    </row>
    <row r="24" spans="2:6" ht="15.75" x14ac:dyDescent="0.25">
      <c r="B24" s="464" t="s">
        <v>531</v>
      </c>
      <c r="C24" s="450"/>
      <c r="D24" s="450"/>
      <c r="E24" s="450"/>
      <c r="F24" s="451"/>
    </row>
    <row r="25" spans="2:6" ht="15.75" x14ac:dyDescent="0.25">
      <c r="B25" s="150"/>
      <c r="C25" s="150"/>
      <c r="D25" s="150"/>
      <c r="E25" s="150"/>
      <c r="F25" s="150"/>
    </row>
    <row r="26" spans="2:6" ht="15.75" x14ac:dyDescent="0.25">
      <c r="B26" s="446" t="s">
        <v>430</v>
      </c>
      <c r="C26" s="447"/>
      <c r="D26" s="447"/>
      <c r="E26" s="447"/>
      <c r="F26" s="448"/>
    </row>
    <row r="27" spans="2:6" ht="15.75" x14ac:dyDescent="0.25">
      <c r="B27" s="546"/>
      <c r="C27" s="547"/>
      <c r="D27" s="547"/>
      <c r="E27" s="547"/>
      <c r="F27" s="548"/>
    </row>
    <row r="28" spans="2:6" ht="15.75" x14ac:dyDescent="0.25">
      <c r="B28" s="150"/>
      <c r="C28" s="150"/>
      <c r="D28" s="150"/>
      <c r="E28" s="150"/>
      <c r="F28" s="150"/>
    </row>
    <row r="29" spans="2:6" ht="15.75" x14ac:dyDescent="0.25">
      <c r="B29" s="446" t="s">
        <v>431</v>
      </c>
      <c r="C29" s="447"/>
      <c r="D29" s="447"/>
      <c r="E29" s="447"/>
      <c r="F29" s="448"/>
    </row>
    <row r="30" spans="2:6" ht="15.75" x14ac:dyDescent="0.25">
      <c r="B30" s="460" t="s">
        <v>289</v>
      </c>
      <c r="C30" s="460"/>
      <c r="D30" s="460"/>
      <c r="E30" s="460"/>
      <c r="F30" s="460"/>
    </row>
    <row r="31" spans="2:6" ht="15.75" x14ac:dyDescent="0.25">
      <c r="B31" s="150"/>
      <c r="C31" s="150"/>
      <c r="D31" s="150"/>
      <c r="E31" s="150"/>
      <c r="F31" s="150"/>
    </row>
    <row r="32" spans="2:6" ht="15.75" x14ac:dyDescent="0.25">
      <c r="B32" s="446" t="s">
        <v>282</v>
      </c>
      <c r="C32" s="447"/>
      <c r="D32" s="447"/>
      <c r="E32" s="447"/>
      <c r="F32" s="448"/>
    </row>
    <row r="33" spans="2:6" ht="233.1" customHeight="1" x14ac:dyDescent="0.25">
      <c r="B33" s="454" t="s">
        <v>520</v>
      </c>
      <c r="C33" s="450"/>
      <c r="D33" s="450"/>
      <c r="E33" s="450"/>
      <c r="F33" s="451"/>
    </row>
    <row r="34" spans="2:6" ht="15.75" x14ac:dyDescent="0.25">
      <c r="B34" s="160"/>
      <c r="C34" s="191"/>
      <c r="D34" s="191"/>
      <c r="E34" s="191"/>
      <c r="F34" s="191"/>
    </row>
    <row r="35" spans="2:6" ht="15.75" x14ac:dyDescent="0.25">
      <c r="B35" s="446" t="s">
        <v>435</v>
      </c>
      <c r="C35" s="447"/>
      <c r="D35" s="447"/>
      <c r="E35" s="447"/>
      <c r="F35" s="448"/>
    </row>
    <row r="36" spans="2:6" ht="15.75" x14ac:dyDescent="0.25">
      <c r="B36" s="192" t="s">
        <v>279</v>
      </c>
      <c r="C36" s="468" t="s">
        <v>521</v>
      </c>
      <c r="D36" s="468"/>
      <c r="E36" s="468"/>
      <c r="F36" s="468"/>
    </row>
    <row r="37" spans="2:6" ht="15.75" x14ac:dyDescent="0.25">
      <c r="B37" s="192" t="s">
        <v>278</v>
      </c>
      <c r="C37" s="468" t="s">
        <v>522</v>
      </c>
      <c r="D37" s="468"/>
      <c r="E37" s="468"/>
      <c r="F37" s="468"/>
    </row>
    <row r="38" spans="2:6" ht="15.75" x14ac:dyDescent="0.25">
      <c r="B38" s="192" t="s">
        <v>277</v>
      </c>
      <c r="C38" s="464"/>
      <c r="D38" s="450"/>
      <c r="E38" s="450"/>
      <c r="F38" s="451"/>
    </row>
    <row r="39" spans="2:6" ht="15.75" x14ac:dyDescent="0.25">
      <c r="B39" s="192" t="s">
        <v>523</v>
      </c>
      <c r="C39" s="468"/>
      <c r="D39" s="468"/>
      <c r="E39" s="468"/>
      <c r="F39" s="468"/>
    </row>
    <row r="40" spans="2:6" ht="15.75" x14ac:dyDescent="0.25">
      <c r="B40" s="192"/>
      <c r="C40" s="468"/>
      <c r="D40" s="468"/>
      <c r="E40" s="468"/>
      <c r="F40" s="468"/>
    </row>
    <row r="41" spans="2:6" ht="15.75" x14ac:dyDescent="0.25">
      <c r="B41" s="150"/>
      <c r="C41" s="150"/>
      <c r="D41" s="150"/>
      <c r="E41" s="150"/>
      <c r="F41" s="150"/>
    </row>
    <row r="42" spans="2:6" ht="15.75" x14ac:dyDescent="0.25">
      <c r="B42" s="446" t="s">
        <v>276</v>
      </c>
      <c r="C42" s="447"/>
      <c r="D42" s="447"/>
      <c r="E42" s="447"/>
      <c r="F42" s="448"/>
    </row>
    <row r="43" spans="2:6" ht="46.5" customHeight="1" x14ac:dyDescent="0.25">
      <c r="B43" s="454" t="s">
        <v>524</v>
      </c>
      <c r="C43" s="450"/>
      <c r="D43" s="450"/>
      <c r="E43" s="450"/>
      <c r="F43" s="451"/>
    </row>
    <row r="44" spans="2:6" ht="15.75" x14ac:dyDescent="0.25">
      <c r="B44" s="150"/>
      <c r="C44" s="150"/>
      <c r="D44" s="150"/>
      <c r="E44" s="150"/>
      <c r="F44" s="150"/>
    </row>
    <row r="45" spans="2:6" ht="35.450000000000003" customHeight="1" x14ac:dyDescent="0.25">
      <c r="B45" s="501" t="s">
        <v>274</v>
      </c>
      <c r="C45" s="502"/>
      <c r="D45" s="502"/>
      <c r="E45" s="502"/>
      <c r="F45" s="503"/>
    </row>
    <row r="46" spans="2:6" ht="15.75" x14ac:dyDescent="0.25">
      <c r="B46" s="162" t="s">
        <v>273</v>
      </c>
      <c r="C46" s="162" t="s">
        <v>272</v>
      </c>
      <c r="D46" s="549" t="s">
        <v>271</v>
      </c>
      <c r="E46" s="550"/>
      <c r="F46" s="551"/>
    </row>
    <row r="47" spans="2:6" ht="15.75" x14ac:dyDescent="0.25">
      <c r="B47" s="156"/>
      <c r="C47" s="156"/>
      <c r="D47" s="491"/>
      <c r="E47" s="492"/>
      <c r="F47" s="493"/>
    </row>
    <row r="48" spans="2:6" ht="15.75" x14ac:dyDescent="0.25">
      <c r="B48" s="156"/>
      <c r="C48" s="156"/>
      <c r="D48" s="491"/>
      <c r="E48" s="492"/>
      <c r="F48" s="493"/>
    </row>
    <row r="49" spans="2:6" ht="15.75" x14ac:dyDescent="0.25">
      <c r="B49" s="185"/>
      <c r="C49" s="185"/>
      <c r="D49" s="491"/>
      <c r="E49" s="492"/>
      <c r="F49" s="493"/>
    </row>
    <row r="50" spans="2:6" ht="15.75" x14ac:dyDescent="0.25">
      <c r="B50" s="150"/>
      <c r="C50" s="150"/>
      <c r="D50" s="150"/>
      <c r="E50" s="150"/>
      <c r="F50" s="150"/>
    </row>
    <row r="51" spans="2:6" ht="15.75" x14ac:dyDescent="0.25">
      <c r="B51" s="446" t="s">
        <v>266</v>
      </c>
      <c r="C51" s="447"/>
      <c r="D51" s="447"/>
      <c r="E51" s="447"/>
      <c r="F51" s="448"/>
    </row>
    <row r="52" spans="2:6" ht="15.75" x14ac:dyDescent="0.25">
      <c r="B52" s="488"/>
      <c r="C52" s="489"/>
      <c r="D52" s="489"/>
      <c r="E52" s="489"/>
      <c r="F52" s="490"/>
    </row>
  </sheetData>
  <mergeCells count="38">
    <mergeCell ref="B52:F52"/>
    <mergeCell ref="B30:F30"/>
    <mergeCell ref="B51:F51"/>
    <mergeCell ref="B43:F43"/>
    <mergeCell ref="B45:F45"/>
    <mergeCell ref="D46:F46"/>
    <mergeCell ref="D47:F47"/>
    <mergeCell ref="D48:F48"/>
    <mergeCell ref="D49:F49"/>
    <mergeCell ref="C36:F36"/>
    <mergeCell ref="C37:F37"/>
    <mergeCell ref="C38:F38"/>
    <mergeCell ref="C39:F39"/>
    <mergeCell ref="C40:F40"/>
    <mergeCell ref="B42:F42"/>
    <mergeCell ref="B32:F32"/>
    <mergeCell ref="B33:F33"/>
    <mergeCell ref="B35:F35"/>
    <mergeCell ref="B29:F29"/>
    <mergeCell ref="B27:F27"/>
    <mergeCell ref="B19:F19"/>
    <mergeCell ref="B20:F20"/>
    <mergeCell ref="B21:F21"/>
    <mergeCell ref="B23:F23"/>
    <mergeCell ref="B24:F24"/>
    <mergeCell ref="B26:F26"/>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7:C49">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26" display="Schéma d'enseignement"/>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9"/>
  <sheetViews>
    <sheetView workbookViewId="0">
      <selection activeCell="B1" sqref="B1"/>
    </sheetView>
  </sheetViews>
  <sheetFormatPr baseColWidth="10" defaultColWidth="8.85546875" defaultRowHeight="15" x14ac:dyDescent="0.25"/>
  <cols>
    <col min="1" max="1" width="8.85546875" style="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5"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525</v>
      </c>
      <c r="D8" s="444"/>
      <c r="E8" s="444"/>
      <c r="F8" s="444"/>
    </row>
    <row r="9" spans="2:6" ht="15.75" x14ac:dyDescent="0.25">
      <c r="B9" s="187" t="s">
        <v>310</v>
      </c>
      <c r="C9" s="444">
        <v>4</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43198</v>
      </c>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47.1" customHeight="1" x14ac:dyDescent="0.25">
      <c r="B16" s="35" t="s">
        <v>172</v>
      </c>
      <c r="C16" s="24">
        <v>42</v>
      </c>
      <c r="D16" s="24">
        <v>3</v>
      </c>
      <c r="E16" s="24">
        <v>3</v>
      </c>
      <c r="F16" s="24" t="s">
        <v>440</v>
      </c>
    </row>
    <row r="17" spans="2:6" ht="15.75" x14ac:dyDescent="0.25">
      <c r="B17" s="189"/>
      <c r="C17" s="190"/>
      <c r="D17" s="190"/>
      <c r="E17" s="190"/>
      <c r="F17" s="190"/>
    </row>
    <row r="18" spans="2:6" ht="15.75" x14ac:dyDescent="0.25">
      <c r="B18" s="446" t="s">
        <v>293</v>
      </c>
      <c r="C18" s="447"/>
      <c r="D18" s="447"/>
      <c r="E18" s="447"/>
      <c r="F18" s="448"/>
    </row>
    <row r="19" spans="2:6" ht="46.5" customHeight="1" x14ac:dyDescent="0.25">
      <c r="B19" s="454" t="s">
        <v>527</v>
      </c>
      <c r="C19" s="506"/>
      <c r="D19" s="506"/>
      <c r="E19" s="506"/>
      <c r="F19" s="507"/>
    </row>
    <row r="20" spans="2:6" ht="15.75" x14ac:dyDescent="0.25">
      <c r="B20" s="446" t="s">
        <v>292</v>
      </c>
      <c r="C20" s="447"/>
      <c r="D20" s="447"/>
      <c r="E20" s="447"/>
      <c r="F20" s="448"/>
    </row>
    <row r="21" spans="2:6" ht="51.6" customHeight="1" x14ac:dyDescent="0.25">
      <c r="B21" s="454" t="s">
        <v>528</v>
      </c>
      <c r="C21" s="450"/>
      <c r="D21" s="450"/>
      <c r="E21" s="450"/>
      <c r="F21" s="451"/>
    </row>
    <row r="22" spans="2:6" ht="15.75" x14ac:dyDescent="0.25">
      <c r="B22" s="150"/>
      <c r="C22" s="150"/>
      <c r="D22" s="150"/>
      <c r="E22" s="150"/>
      <c r="F22" s="150"/>
    </row>
    <row r="23" spans="2:6" ht="15.75" x14ac:dyDescent="0.25">
      <c r="B23" s="446" t="s">
        <v>430</v>
      </c>
      <c r="C23" s="447"/>
      <c r="D23" s="447"/>
      <c r="E23" s="447"/>
      <c r="F23" s="448"/>
    </row>
    <row r="24" spans="2:6" ht="33.6" customHeight="1" x14ac:dyDescent="0.25">
      <c r="B24" s="449" t="s">
        <v>530</v>
      </c>
      <c r="C24" s="455"/>
      <c r="D24" s="455"/>
      <c r="E24" s="455"/>
      <c r="F24" s="456"/>
    </row>
    <row r="25" spans="2:6" ht="15.75" x14ac:dyDescent="0.25">
      <c r="B25" s="150"/>
      <c r="C25" s="150"/>
      <c r="D25" s="150"/>
      <c r="E25" s="150"/>
      <c r="F25" s="150"/>
    </row>
    <row r="26" spans="2:6" ht="15.75" x14ac:dyDescent="0.25">
      <c r="B26" s="446" t="s">
        <v>431</v>
      </c>
      <c r="C26" s="447"/>
      <c r="D26" s="447"/>
      <c r="E26" s="447"/>
      <c r="F26" s="448"/>
    </row>
    <row r="27" spans="2:6" ht="15.75" x14ac:dyDescent="0.25">
      <c r="B27" s="494" t="s">
        <v>289</v>
      </c>
      <c r="C27" s="495"/>
      <c r="D27" s="495"/>
      <c r="E27" s="495"/>
      <c r="F27" s="496"/>
    </row>
    <row r="28" spans="2:6" ht="15.75" x14ac:dyDescent="0.25">
      <c r="B28" s="150"/>
      <c r="C28" s="150"/>
      <c r="D28" s="150"/>
      <c r="E28" s="150"/>
      <c r="F28" s="150"/>
    </row>
    <row r="29" spans="2:6" ht="15.75" x14ac:dyDescent="0.25">
      <c r="B29" s="446" t="s">
        <v>282</v>
      </c>
      <c r="C29" s="447"/>
      <c r="D29" s="447"/>
      <c r="E29" s="447"/>
      <c r="F29" s="448"/>
    </row>
    <row r="30" spans="2:6" ht="202.5" customHeight="1" x14ac:dyDescent="0.25">
      <c r="B30" s="449" t="s">
        <v>529</v>
      </c>
      <c r="C30" s="450"/>
      <c r="D30" s="450"/>
      <c r="E30" s="450"/>
      <c r="F30" s="451"/>
    </row>
    <row r="31" spans="2:6" ht="15.75" x14ac:dyDescent="0.25">
      <c r="B31" s="160"/>
      <c r="C31" s="191"/>
      <c r="D31" s="191"/>
      <c r="E31" s="191"/>
      <c r="F31" s="191"/>
    </row>
    <row r="32" spans="2:6" ht="15.75" x14ac:dyDescent="0.25">
      <c r="B32" s="446" t="s">
        <v>435</v>
      </c>
      <c r="C32" s="447"/>
      <c r="D32" s="447"/>
      <c r="E32" s="447"/>
      <c r="F32" s="448"/>
    </row>
    <row r="33" spans="2:6" ht="15.75" x14ac:dyDescent="0.25">
      <c r="B33" s="192" t="s">
        <v>279</v>
      </c>
      <c r="C33" s="468" t="s">
        <v>521</v>
      </c>
      <c r="D33" s="468"/>
      <c r="E33" s="468"/>
      <c r="F33" s="468"/>
    </row>
    <row r="34" spans="2:6" ht="15.75" x14ac:dyDescent="0.25">
      <c r="B34" s="192" t="s">
        <v>278</v>
      </c>
      <c r="C34" s="468" t="s">
        <v>522</v>
      </c>
      <c r="D34" s="468"/>
      <c r="E34" s="468"/>
      <c r="F34" s="468"/>
    </row>
    <row r="35" spans="2:6" ht="15.75" x14ac:dyDescent="0.25">
      <c r="B35" s="192" t="s">
        <v>277</v>
      </c>
      <c r="C35" s="464"/>
      <c r="D35" s="450"/>
      <c r="E35" s="450"/>
      <c r="F35" s="451"/>
    </row>
    <row r="36" spans="2:6" ht="15.75" x14ac:dyDescent="0.25">
      <c r="B36" s="192" t="s">
        <v>523</v>
      </c>
      <c r="C36" s="468"/>
      <c r="D36" s="468"/>
      <c r="E36" s="468"/>
      <c r="F36" s="468"/>
    </row>
    <row r="37" spans="2:6" ht="15.75" x14ac:dyDescent="0.25">
      <c r="B37" s="192"/>
      <c r="C37" s="468"/>
      <c r="D37" s="468"/>
      <c r="E37" s="468"/>
      <c r="F37" s="468"/>
    </row>
    <row r="38" spans="2:6" ht="15.75" x14ac:dyDescent="0.25">
      <c r="B38" s="150"/>
      <c r="C38" s="150"/>
      <c r="D38" s="150"/>
      <c r="E38" s="150"/>
      <c r="F38" s="150"/>
    </row>
    <row r="39" spans="2:6" ht="15.75" x14ac:dyDescent="0.25">
      <c r="B39" s="446" t="s">
        <v>276</v>
      </c>
      <c r="C39" s="447"/>
      <c r="D39" s="447"/>
      <c r="E39" s="447"/>
      <c r="F39" s="448"/>
    </row>
    <row r="40" spans="2:6" ht="50.1" customHeight="1" x14ac:dyDescent="0.25">
      <c r="B40" s="454" t="s">
        <v>524</v>
      </c>
      <c r="C40" s="450"/>
      <c r="D40" s="450"/>
      <c r="E40" s="450"/>
      <c r="F40" s="451"/>
    </row>
    <row r="41" spans="2:6" ht="15.75" x14ac:dyDescent="0.25">
      <c r="B41" s="150"/>
      <c r="C41" s="150"/>
      <c r="D41" s="150"/>
      <c r="E41" s="150"/>
      <c r="F41" s="150"/>
    </row>
    <row r="42" spans="2:6" ht="36" customHeight="1" x14ac:dyDescent="0.25">
      <c r="B42" s="501" t="s">
        <v>274</v>
      </c>
      <c r="C42" s="502"/>
      <c r="D42" s="502"/>
      <c r="E42" s="502"/>
      <c r="F42" s="503"/>
    </row>
    <row r="43" spans="2:6" ht="15.75" x14ac:dyDescent="0.25">
      <c r="B43" s="162" t="s">
        <v>273</v>
      </c>
      <c r="C43" s="162" t="s">
        <v>272</v>
      </c>
      <c r="D43" s="549" t="s">
        <v>271</v>
      </c>
      <c r="E43" s="550"/>
      <c r="F43" s="551"/>
    </row>
    <row r="44" spans="2:6" ht="15.75" x14ac:dyDescent="0.25">
      <c r="B44" s="156"/>
      <c r="C44" s="156"/>
      <c r="D44" s="491"/>
      <c r="E44" s="492"/>
      <c r="F44" s="493"/>
    </row>
    <row r="45" spans="2:6" ht="15.75" x14ac:dyDescent="0.25">
      <c r="B45" s="156"/>
      <c r="C45" s="156"/>
      <c r="D45" s="491"/>
      <c r="E45" s="492"/>
      <c r="F45" s="493"/>
    </row>
    <row r="46" spans="2:6" ht="15.75" x14ac:dyDescent="0.25">
      <c r="B46" s="185"/>
      <c r="C46" s="185"/>
      <c r="D46" s="491"/>
      <c r="E46" s="492"/>
      <c r="F46" s="493"/>
    </row>
    <row r="47" spans="2:6" ht="15.75" x14ac:dyDescent="0.25">
      <c r="B47" s="150"/>
      <c r="C47" s="150"/>
      <c r="D47" s="150"/>
      <c r="E47" s="150"/>
      <c r="F47" s="150"/>
    </row>
    <row r="48" spans="2:6" ht="15.75" x14ac:dyDescent="0.25">
      <c r="B48" s="446" t="s">
        <v>266</v>
      </c>
      <c r="C48" s="447"/>
      <c r="D48" s="447"/>
      <c r="E48" s="447"/>
      <c r="F48" s="448"/>
    </row>
    <row r="49" spans="2:6" ht="15.75" x14ac:dyDescent="0.25">
      <c r="B49" s="488"/>
      <c r="C49" s="489"/>
      <c r="D49" s="489"/>
      <c r="E49" s="489"/>
      <c r="F49" s="490"/>
    </row>
  </sheetData>
  <mergeCells count="36">
    <mergeCell ref="B49:F49"/>
    <mergeCell ref="B48:F48"/>
    <mergeCell ref="B40:F40"/>
    <mergeCell ref="B42:F42"/>
    <mergeCell ref="D43:F43"/>
    <mergeCell ref="D44:F44"/>
    <mergeCell ref="D45:F45"/>
    <mergeCell ref="D46:F46"/>
    <mergeCell ref="B39:F39"/>
    <mergeCell ref="B29:F29"/>
    <mergeCell ref="B30:F30"/>
    <mergeCell ref="B32:F32"/>
    <mergeCell ref="B26:F26"/>
    <mergeCell ref="B27:F27"/>
    <mergeCell ref="C33:F33"/>
    <mergeCell ref="C34:F34"/>
    <mergeCell ref="C35:F35"/>
    <mergeCell ref="C36:F36"/>
    <mergeCell ref="C37:F37"/>
    <mergeCell ref="B19:F19"/>
    <mergeCell ref="B20:F20"/>
    <mergeCell ref="B21:F21"/>
    <mergeCell ref="B23:F23"/>
    <mergeCell ref="B24:F24"/>
    <mergeCell ref="B18:F18"/>
    <mergeCell ref="C4:F4"/>
    <mergeCell ref="C5:F5"/>
    <mergeCell ref="C6:F6"/>
    <mergeCell ref="C7:F7"/>
    <mergeCell ref="C8:F8"/>
    <mergeCell ref="C9:F9"/>
    <mergeCell ref="B11:F11"/>
    <mergeCell ref="B12:C12"/>
    <mergeCell ref="D12:F12"/>
    <mergeCell ref="B13:C13"/>
    <mergeCell ref="D13:F13"/>
  </mergeCells>
  <dataValidations disablePrompts="1" count="2">
    <dataValidation type="list" allowBlank="1" showInputMessage="1" showErrorMessage="1" sqref="C4">
      <formula1>"Mise à jour à partir du plan d'études, Nouvelle création"</formula1>
    </dataValidation>
    <dataValidation type="list" allowBlank="1" showInputMessage="1" showErrorMessage="1" sqref="C44:C46">
      <formula1>"Académique, Professionnel, Associatif, Autre"</formula1>
    </dataValidation>
  </dataValidations>
  <hyperlinks>
    <hyperlink ref="B1" location="'Schéma d''enseignement'!G27" display="Schéma d'enseignement"/>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B1:I53"/>
  <sheetViews>
    <sheetView zoomScaleNormal="100" zoomScaleSheetLayoutView="83" workbookViewId="0">
      <selection activeCell="B1" sqref="B1"/>
    </sheetView>
  </sheetViews>
  <sheetFormatPr baseColWidth="10" defaultColWidth="10.85546875" defaultRowHeight="15" x14ac:dyDescent="0.25"/>
  <cols>
    <col min="1" max="1" width="2.5703125" style="1" customWidth="1"/>
    <col min="2" max="2" width="27.85546875" style="1" customWidth="1"/>
    <col min="3" max="5" width="12.140625" style="1" customWidth="1"/>
    <col min="6" max="6" width="24.85546875" style="1" customWidth="1"/>
    <col min="7" max="256" width="10.85546875" style="1"/>
    <col min="257" max="257" width="2.5703125" style="1" customWidth="1"/>
    <col min="258" max="258" width="27.85546875" style="1" customWidth="1"/>
    <col min="259" max="261" width="12.140625" style="1" customWidth="1"/>
    <col min="262" max="262" width="24.85546875" style="1" customWidth="1"/>
    <col min="263" max="512" width="10.85546875" style="1"/>
    <col min="513" max="513" width="2.5703125" style="1" customWidth="1"/>
    <col min="514" max="514" width="27.85546875" style="1" customWidth="1"/>
    <col min="515" max="517" width="12.140625" style="1" customWidth="1"/>
    <col min="518" max="518" width="24.85546875" style="1" customWidth="1"/>
    <col min="519" max="768" width="10.85546875" style="1"/>
    <col min="769" max="769" width="2.5703125" style="1" customWidth="1"/>
    <col min="770" max="770" width="27.85546875" style="1" customWidth="1"/>
    <col min="771" max="773" width="12.140625" style="1" customWidth="1"/>
    <col min="774" max="774" width="24.85546875" style="1" customWidth="1"/>
    <col min="775" max="1024" width="10.85546875" style="1"/>
    <col min="1025" max="1025" width="2.5703125" style="1" customWidth="1"/>
    <col min="1026" max="1026" width="27.85546875" style="1" customWidth="1"/>
    <col min="1027" max="1029" width="12.140625" style="1" customWidth="1"/>
    <col min="1030" max="1030" width="24.85546875" style="1" customWidth="1"/>
    <col min="1031" max="1280" width="10.85546875" style="1"/>
    <col min="1281" max="1281" width="2.5703125" style="1" customWidth="1"/>
    <col min="1282" max="1282" width="27.85546875" style="1" customWidth="1"/>
    <col min="1283" max="1285" width="12.140625" style="1" customWidth="1"/>
    <col min="1286" max="1286" width="24.85546875" style="1" customWidth="1"/>
    <col min="1287" max="1536" width="10.85546875" style="1"/>
    <col min="1537" max="1537" width="2.5703125" style="1" customWidth="1"/>
    <col min="1538" max="1538" width="27.85546875" style="1" customWidth="1"/>
    <col min="1539" max="1541" width="12.140625" style="1" customWidth="1"/>
    <col min="1542" max="1542" width="24.85546875" style="1" customWidth="1"/>
    <col min="1543" max="1792" width="10.85546875" style="1"/>
    <col min="1793" max="1793" width="2.5703125" style="1" customWidth="1"/>
    <col min="1794" max="1794" width="27.85546875" style="1" customWidth="1"/>
    <col min="1795" max="1797" width="12.140625" style="1" customWidth="1"/>
    <col min="1798" max="1798" width="24.85546875" style="1" customWidth="1"/>
    <col min="1799" max="2048" width="10.85546875" style="1"/>
    <col min="2049" max="2049" width="2.5703125" style="1" customWidth="1"/>
    <col min="2050" max="2050" width="27.85546875" style="1" customWidth="1"/>
    <col min="2051" max="2053" width="12.140625" style="1" customWidth="1"/>
    <col min="2054" max="2054" width="24.85546875" style="1" customWidth="1"/>
    <col min="2055" max="2304" width="10.85546875" style="1"/>
    <col min="2305" max="2305" width="2.5703125" style="1" customWidth="1"/>
    <col min="2306" max="2306" width="27.85546875" style="1" customWidth="1"/>
    <col min="2307" max="2309" width="12.140625" style="1" customWidth="1"/>
    <col min="2310" max="2310" width="24.85546875" style="1" customWidth="1"/>
    <col min="2311" max="2560" width="10.85546875" style="1"/>
    <col min="2561" max="2561" width="2.5703125" style="1" customWidth="1"/>
    <col min="2562" max="2562" width="27.85546875" style="1" customWidth="1"/>
    <col min="2563" max="2565" width="12.140625" style="1" customWidth="1"/>
    <col min="2566" max="2566" width="24.85546875" style="1" customWidth="1"/>
    <col min="2567" max="2816" width="10.85546875" style="1"/>
    <col min="2817" max="2817" width="2.5703125" style="1" customWidth="1"/>
    <col min="2818" max="2818" width="27.85546875" style="1" customWidth="1"/>
    <col min="2819" max="2821" width="12.140625" style="1" customWidth="1"/>
    <col min="2822" max="2822" width="24.85546875" style="1" customWidth="1"/>
    <col min="2823" max="3072" width="10.85546875" style="1"/>
    <col min="3073" max="3073" width="2.5703125" style="1" customWidth="1"/>
    <col min="3074" max="3074" width="27.85546875" style="1" customWidth="1"/>
    <col min="3075" max="3077" width="12.140625" style="1" customWidth="1"/>
    <col min="3078" max="3078" width="24.85546875" style="1" customWidth="1"/>
    <col min="3079" max="3328" width="10.85546875" style="1"/>
    <col min="3329" max="3329" width="2.5703125" style="1" customWidth="1"/>
    <col min="3330" max="3330" width="27.85546875" style="1" customWidth="1"/>
    <col min="3331" max="3333" width="12.140625" style="1" customWidth="1"/>
    <col min="3334" max="3334" width="24.85546875" style="1" customWidth="1"/>
    <col min="3335" max="3584" width="10.85546875" style="1"/>
    <col min="3585" max="3585" width="2.5703125" style="1" customWidth="1"/>
    <col min="3586" max="3586" width="27.85546875" style="1" customWidth="1"/>
    <col min="3587" max="3589" width="12.140625" style="1" customWidth="1"/>
    <col min="3590" max="3590" width="24.85546875" style="1" customWidth="1"/>
    <col min="3591" max="3840" width="10.85546875" style="1"/>
    <col min="3841" max="3841" width="2.5703125" style="1" customWidth="1"/>
    <col min="3842" max="3842" width="27.85546875" style="1" customWidth="1"/>
    <col min="3843" max="3845" width="12.140625" style="1" customWidth="1"/>
    <col min="3846" max="3846" width="24.85546875" style="1" customWidth="1"/>
    <col min="3847" max="4096" width="10.85546875" style="1"/>
    <col min="4097" max="4097" width="2.5703125" style="1" customWidth="1"/>
    <col min="4098" max="4098" width="27.85546875" style="1" customWidth="1"/>
    <col min="4099" max="4101" width="12.140625" style="1" customWidth="1"/>
    <col min="4102" max="4102" width="24.85546875" style="1" customWidth="1"/>
    <col min="4103" max="4352" width="10.85546875" style="1"/>
    <col min="4353" max="4353" width="2.5703125" style="1" customWidth="1"/>
    <col min="4354" max="4354" width="27.85546875" style="1" customWidth="1"/>
    <col min="4355" max="4357" width="12.140625" style="1" customWidth="1"/>
    <col min="4358" max="4358" width="24.85546875" style="1" customWidth="1"/>
    <col min="4359" max="4608" width="10.85546875" style="1"/>
    <col min="4609" max="4609" width="2.5703125" style="1" customWidth="1"/>
    <col min="4610" max="4610" width="27.85546875" style="1" customWidth="1"/>
    <col min="4611" max="4613" width="12.140625" style="1" customWidth="1"/>
    <col min="4614" max="4614" width="24.85546875" style="1" customWidth="1"/>
    <col min="4615" max="4864" width="10.85546875" style="1"/>
    <col min="4865" max="4865" width="2.5703125" style="1" customWidth="1"/>
    <col min="4866" max="4866" width="27.85546875" style="1" customWidth="1"/>
    <col min="4867" max="4869" width="12.140625" style="1" customWidth="1"/>
    <col min="4870" max="4870" width="24.85546875" style="1" customWidth="1"/>
    <col min="4871" max="5120" width="10.85546875" style="1"/>
    <col min="5121" max="5121" width="2.5703125" style="1" customWidth="1"/>
    <col min="5122" max="5122" width="27.85546875" style="1" customWidth="1"/>
    <col min="5123" max="5125" width="12.140625" style="1" customWidth="1"/>
    <col min="5126" max="5126" width="24.85546875" style="1" customWidth="1"/>
    <col min="5127" max="5376" width="10.85546875" style="1"/>
    <col min="5377" max="5377" width="2.5703125" style="1" customWidth="1"/>
    <col min="5378" max="5378" width="27.85546875" style="1" customWidth="1"/>
    <col min="5379" max="5381" width="12.140625" style="1" customWidth="1"/>
    <col min="5382" max="5382" width="24.85546875" style="1" customWidth="1"/>
    <col min="5383" max="5632" width="10.85546875" style="1"/>
    <col min="5633" max="5633" width="2.5703125" style="1" customWidth="1"/>
    <col min="5634" max="5634" width="27.85546875" style="1" customWidth="1"/>
    <col min="5635" max="5637" width="12.140625" style="1" customWidth="1"/>
    <col min="5638" max="5638" width="24.85546875" style="1" customWidth="1"/>
    <col min="5639" max="5888" width="10.85546875" style="1"/>
    <col min="5889" max="5889" width="2.5703125" style="1" customWidth="1"/>
    <col min="5890" max="5890" width="27.85546875" style="1" customWidth="1"/>
    <col min="5891" max="5893" width="12.140625" style="1" customWidth="1"/>
    <col min="5894" max="5894" width="24.85546875" style="1" customWidth="1"/>
    <col min="5895" max="6144" width="10.85546875" style="1"/>
    <col min="6145" max="6145" width="2.5703125" style="1" customWidth="1"/>
    <col min="6146" max="6146" width="27.85546875" style="1" customWidth="1"/>
    <col min="6147" max="6149" width="12.140625" style="1" customWidth="1"/>
    <col min="6150" max="6150" width="24.85546875" style="1" customWidth="1"/>
    <col min="6151" max="6400" width="10.85546875" style="1"/>
    <col min="6401" max="6401" width="2.5703125" style="1" customWidth="1"/>
    <col min="6402" max="6402" width="27.85546875" style="1" customWidth="1"/>
    <col min="6403" max="6405" width="12.140625" style="1" customWidth="1"/>
    <col min="6406" max="6406" width="24.85546875" style="1" customWidth="1"/>
    <col min="6407" max="6656" width="10.85546875" style="1"/>
    <col min="6657" max="6657" width="2.5703125" style="1" customWidth="1"/>
    <col min="6658" max="6658" width="27.85546875" style="1" customWidth="1"/>
    <col min="6659" max="6661" width="12.140625" style="1" customWidth="1"/>
    <col min="6662" max="6662" width="24.85546875" style="1" customWidth="1"/>
    <col min="6663" max="6912" width="10.85546875" style="1"/>
    <col min="6913" max="6913" width="2.5703125" style="1" customWidth="1"/>
    <col min="6914" max="6914" width="27.85546875" style="1" customWidth="1"/>
    <col min="6915" max="6917" width="12.140625" style="1" customWidth="1"/>
    <col min="6918" max="6918" width="24.85546875" style="1" customWidth="1"/>
    <col min="6919" max="7168" width="10.85546875" style="1"/>
    <col min="7169" max="7169" width="2.5703125" style="1" customWidth="1"/>
    <col min="7170" max="7170" width="27.85546875" style="1" customWidth="1"/>
    <col min="7171" max="7173" width="12.140625" style="1" customWidth="1"/>
    <col min="7174" max="7174" width="24.85546875" style="1" customWidth="1"/>
    <col min="7175" max="7424" width="10.85546875" style="1"/>
    <col min="7425" max="7425" width="2.5703125" style="1" customWidth="1"/>
    <col min="7426" max="7426" width="27.85546875" style="1" customWidth="1"/>
    <col min="7427" max="7429" width="12.140625" style="1" customWidth="1"/>
    <col min="7430" max="7430" width="24.85546875" style="1" customWidth="1"/>
    <col min="7431" max="7680" width="10.85546875" style="1"/>
    <col min="7681" max="7681" width="2.5703125" style="1" customWidth="1"/>
    <col min="7682" max="7682" width="27.85546875" style="1" customWidth="1"/>
    <col min="7683" max="7685" width="12.140625" style="1" customWidth="1"/>
    <col min="7686" max="7686" width="24.85546875" style="1" customWidth="1"/>
    <col min="7687" max="7936" width="10.85546875" style="1"/>
    <col min="7937" max="7937" width="2.5703125" style="1" customWidth="1"/>
    <col min="7938" max="7938" width="27.85546875" style="1" customWidth="1"/>
    <col min="7939" max="7941" width="12.140625" style="1" customWidth="1"/>
    <col min="7942" max="7942" width="24.85546875" style="1" customWidth="1"/>
    <col min="7943" max="8192" width="10.85546875" style="1"/>
    <col min="8193" max="8193" width="2.5703125" style="1" customWidth="1"/>
    <col min="8194" max="8194" width="27.85546875" style="1" customWidth="1"/>
    <col min="8195" max="8197" width="12.140625" style="1" customWidth="1"/>
    <col min="8198" max="8198" width="24.85546875" style="1" customWidth="1"/>
    <col min="8199" max="8448" width="10.85546875" style="1"/>
    <col min="8449" max="8449" width="2.5703125" style="1" customWidth="1"/>
    <col min="8450" max="8450" width="27.85546875" style="1" customWidth="1"/>
    <col min="8451" max="8453" width="12.140625" style="1" customWidth="1"/>
    <col min="8454" max="8454" width="24.85546875" style="1" customWidth="1"/>
    <col min="8455" max="8704" width="10.85546875" style="1"/>
    <col min="8705" max="8705" width="2.5703125" style="1" customWidth="1"/>
    <col min="8706" max="8706" width="27.85546875" style="1" customWidth="1"/>
    <col min="8707" max="8709" width="12.140625" style="1" customWidth="1"/>
    <col min="8710" max="8710" width="24.85546875" style="1" customWidth="1"/>
    <col min="8711" max="8960" width="10.85546875" style="1"/>
    <col min="8961" max="8961" width="2.5703125" style="1" customWidth="1"/>
    <col min="8962" max="8962" width="27.85546875" style="1" customWidth="1"/>
    <col min="8963" max="8965" width="12.140625" style="1" customWidth="1"/>
    <col min="8966" max="8966" width="24.85546875" style="1" customWidth="1"/>
    <col min="8967" max="9216" width="10.85546875" style="1"/>
    <col min="9217" max="9217" width="2.5703125" style="1" customWidth="1"/>
    <col min="9218" max="9218" width="27.85546875" style="1" customWidth="1"/>
    <col min="9219" max="9221" width="12.140625" style="1" customWidth="1"/>
    <col min="9222" max="9222" width="24.85546875" style="1" customWidth="1"/>
    <col min="9223" max="9472" width="10.85546875" style="1"/>
    <col min="9473" max="9473" width="2.5703125" style="1" customWidth="1"/>
    <col min="9474" max="9474" width="27.85546875" style="1" customWidth="1"/>
    <col min="9475" max="9477" width="12.140625" style="1" customWidth="1"/>
    <col min="9478" max="9478" width="24.85546875" style="1" customWidth="1"/>
    <col min="9479" max="9728" width="10.85546875" style="1"/>
    <col min="9729" max="9729" width="2.5703125" style="1" customWidth="1"/>
    <col min="9730" max="9730" width="27.85546875" style="1" customWidth="1"/>
    <col min="9731" max="9733" width="12.140625" style="1" customWidth="1"/>
    <col min="9734" max="9734" width="24.85546875" style="1" customWidth="1"/>
    <col min="9735" max="9984" width="10.85546875" style="1"/>
    <col min="9985" max="9985" width="2.5703125" style="1" customWidth="1"/>
    <col min="9986" max="9986" width="27.85546875" style="1" customWidth="1"/>
    <col min="9987" max="9989" width="12.140625" style="1" customWidth="1"/>
    <col min="9990" max="9990" width="24.85546875" style="1" customWidth="1"/>
    <col min="9991" max="10240" width="10.85546875" style="1"/>
    <col min="10241" max="10241" width="2.5703125" style="1" customWidth="1"/>
    <col min="10242" max="10242" width="27.85546875" style="1" customWidth="1"/>
    <col min="10243" max="10245" width="12.140625" style="1" customWidth="1"/>
    <col min="10246" max="10246" width="24.85546875" style="1" customWidth="1"/>
    <col min="10247" max="10496" width="10.85546875" style="1"/>
    <col min="10497" max="10497" width="2.5703125" style="1" customWidth="1"/>
    <col min="10498" max="10498" width="27.85546875" style="1" customWidth="1"/>
    <col min="10499" max="10501" width="12.140625" style="1" customWidth="1"/>
    <col min="10502" max="10502" width="24.85546875" style="1" customWidth="1"/>
    <col min="10503" max="10752" width="10.85546875" style="1"/>
    <col min="10753" max="10753" width="2.5703125" style="1" customWidth="1"/>
    <col min="10754" max="10754" width="27.85546875" style="1" customWidth="1"/>
    <col min="10755" max="10757" width="12.140625" style="1" customWidth="1"/>
    <col min="10758" max="10758" width="24.85546875" style="1" customWidth="1"/>
    <col min="10759" max="11008" width="10.85546875" style="1"/>
    <col min="11009" max="11009" width="2.5703125" style="1" customWidth="1"/>
    <col min="11010" max="11010" width="27.85546875" style="1" customWidth="1"/>
    <col min="11011" max="11013" width="12.140625" style="1" customWidth="1"/>
    <col min="11014" max="11014" width="24.85546875" style="1" customWidth="1"/>
    <col min="11015" max="11264" width="10.85546875" style="1"/>
    <col min="11265" max="11265" width="2.5703125" style="1" customWidth="1"/>
    <col min="11266" max="11266" width="27.85546875" style="1" customWidth="1"/>
    <col min="11267" max="11269" width="12.140625" style="1" customWidth="1"/>
    <col min="11270" max="11270" width="24.85546875" style="1" customWidth="1"/>
    <col min="11271" max="11520" width="10.85546875" style="1"/>
    <col min="11521" max="11521" width="2.5703125" style="1" customWidth="1"/>
    <col min="11522" max="11522" width="27.85546875" style="1" customWidth="1"/>
    <col min="11523" max="11525" width="12.140625" style="1" customWidth="1"/>
    <col min="11526" max="11526" width="24.85546875" style="1" customWidth="1"/>
    <col min="11527" max="11776" width="10.85546875" style="1"/>
    <col min="11777" max="11777" width="2.5703125" style="1" customWidth="1"/>
    <col min="11778" max="11778" width="27.85546875" style="1" customWidth="1"/>
    <col min="11779" max="11781" width="12.140625" style="1" customWidth="1"/>
    <col min="11782" max="11782" width="24.85546875" style="1" customWidth="1"/>
    <col min="11783" max="12032" width="10.85546875" style="1"/>
    <col min="12033" max="12033" width="2.5703125" style="1" customWidth="1"/>
    <col min="12034" max="12034" width="27.85546875" style="1" customWidth="1"/>
    <col min="12035" max="12037" width="12.140625" style="1" customWidth="1"/>
    <col min="12038" max="12038" width="24.85546875" style="1" customWidth="1"/>
    <col min="12039" max="12288" width="10.85546875" style="1"/>
    <col min="12289" max="12289" width="2.5703125" style="1" customWidth="1"/>
    <col min="12290" max="12290" width="27.85546875" style="1" customWidth="1"/>
    <col min="12291" max="12293" width="12.140625" style="1" customWidth="1"/>
    <col min="12294" max="12294" width="24.85546875" style="1" customWidth="1"/>
    <col min="12295" max="12544" width="10.85546875" style="1"/>
    <col min="12545" max="12545" width="2.5703125" style="1" customWidth="1"/>
    <col min="12546" max="12546" width="27.85546875" style="1" customWidth="1"/>
    <col min="12547" max="12549" width="12.140625" style="1" customWidth="1"/>
    <col min="12550" max="12550" width="24.85546875" style="1" customWidth="1"/>
    <col min="12551" max="12800" width="10.85546875" style="1"/>
    <col min="12801" max="12801" width="2.5703125" style="1" customWidth="1"/>
    <col min="12802" max="12802" width="27.85546875" style="1" customWidth="1"/>
    <col min="12803" max="12805" width="12.140625" style="1" customWidth="1"/>
    <col min="12806" max="12806" width="24.85546875" style="1" customWidth="1"/>
    <col min="12807" max="13056" width="10.85546875" style="1"/>
    <col min="13057" max="13057" width="2.5703125" style="1" customWidth="1"/>
    <col min="13058" max="13058" width="27.85546875" style="1" customWidth="1"/>
    <col min="13059" max="13061" width="12.140625" style="1" customWidth="1"/>
    <col min="13062" max="13062" width="24.85546875" style="1" customWidth="1"/>
    <col min="13063" max="13312" width="10.85546875" style="1"/>
    <col min="13313" max="13313" width="2.5703125" style="1" customWidth="1"/>
    <col min="13314" max="13314" width="27.85546875" style="1" customWidth="1"/>
    <col min="13315" max="13317" width="12.140625" style="1" customWidth="1"/>
    <col min="13318" max="13318" width="24.85546875" style="1" customWidth="1"/>
    <col min="13319" max="13568" width="10.85546875" style="1"/>
    <col min="13569" max="13569" width="2.5703125" style="1" customWidth="1"/>
    <col min="13570" max="13570" width="27.85546875" style="1" customWidth="1"/>
    <col min="13571" max="13573" width="12.140625" style="1" customWidth="1"/>
    <col min="13574" max="13574" width="24.85546875" style="1" customWidth="1"/>
    <col min="13575" max="13824" width="10.85546875" style="1"/>
    <col min="13825" max="13825" width="2.5703125" style="1" customWidth="1"/>
    <col min="13826" max="13826" width="27.85546875" style="1" customWidth="1"/>
    <col min="13827" max="13829" width="12.140625" style="1" customWidth="1"/>
    <col min="13830" max="13830" width="24.85546875" style="1" customWidth="1"/>
    <col min="13831" max="14080" width="10.85546875" style="1"/>
    <col min="14081" max="14081" width="2.5703125" style="1" customWidth="1"/>
    <col min="14082" max="14082" width="27.85546875" style="1" customWidth="1"/>
    <col min="14083" max="14085" width="12.140625" style="1" customWidth="1"/>
    <col min="14086" max="14086" width="24.85546875" style="1" customWidth="1"/>
    <col min="14087" max="14336" width="10.85546875" style="1"/>
    <col min="14337" max="14337" width="2.5703125" style="1" customWidth="1"/>
    <col min="14338" max="14338" width="27.85546875" style="1" customWidth="1"/>
    <col min="14339" max="14341" width="12.140625" style="1" customWidth="1"/>
    <col min="14342" max="14342" width="24.85546875" style="1" customWidth="1"/>
    <col min="14343" max="14592" width="10.85546875" style="1"/>
    <col min="14593" max="14593" width="2.5703125" style="1" customWidth="1"/>
    <col min="14594" max="14594" width="27.85546875" style="1" customWidth="1"/>
    <col min="14595" max="14597" width="12.140625" style="1" customWidth="1"/>
    <col min="14598" max="14598" width="24.85546875" style="1" customWidth="1"/>
    <col min="14599" max="14848" width="10.85546875" style="1"/>
    <col min="14849" max="14849" width="2.5703125" style="1" customWidth="1"/>
    <col min="14850" max="14850" width="27.85546875" style="1" customWidth="1"/>
    <col min="14851" max="14853" width="12.140625" style="1" customWidth="1"/>
    <col min="14854" max="14854" width="24.85546875" style="1" customWidth="1"/>
    <col min="14855" max="15104" width="10.85546875" style="1"/>
    <col min="15105" max="15105" width="2.5703125" style="1" customWidth="1"/>
    <col min="15106" max="15106" width="27.85546875" style="1" customWidth="1"/>
    <col min="15107" max="15109" width="12.140625" style="1" customWidth="1"/>
    <col min="15110" max="15110" width="24.85546875" style="1" customWidth="1"/>
    <col min="15111" max="15360" width="10.85546875" style="1"/>
    <col min="15361" max="15361" width="2.5703125" style="1" customWidth="1"/>
    <col min="15362" max="15362" width="27.85546875" style="1" customWidth="1"/>
    <col min="15363" max="15365" width="12.140625" style="1" customWidth="1"/>
    <col min="15366" max="15366" width="24.85546875" style="1" customWidth="1"/>
    <col min="15367" max="15616" width="10.85546875" style="1"/>
    <col min="15617" max="15617" width="2.5703125" style="1" customWidth="1"/>
    <col min="15618" max="15618" width="27.85546875" style="1" customWidth="1"/>
    <col min="15619" max="15621" width="12.140625" style="1" customWidth="1"/>
    <col min="15622" max="15622" width="24.85546875" style="1" customWidth="1"/>
    <col min="15623" max="15872" width="10.85546875" style="1"/>
    <col min="15873" max="15873" width="2.5703125" style="1" customWidth="1"/>
    <col min="15874" max="15874" width="27.85546875" style="1" customWidth="1"/>
    <col min="15875" max="15877" width="12.140625" style="1" customWidth="1"/>
    <col min="15878" max="15878" width="24.85546875" style="1" customWidth="1"/>
    <col min="15879" max="16128" width="10.85546875" style="1"/>
    <col min="16129" max="16129" width="2.5703125" style="1" customWidth="1"/>
    <col min="16130" max="16130" width="27.85546875" style="1" customWidth="1"/>
    <col min="16131" max="16133" width="12.140625" style="1" customWidth="1"/>
    <col min="16134" max="16134" width="24.85546875" style="1" customWidth="1"/>
    <col min="16135" max="16384" width="10.85546875" style="1"/>
  </cols>
  <sheetData>
    <row r="1" spans="2:9" x14ac:dyDescent="0.25">
      <c r="B1" s="326" t="s">
        <v>692</v>
      </c>
    </row>
    <row r="2" spans="2:9" ht="15.75" x14ac:dyDescent="0.25">
      <c r="B2" s="203"/>
      <c r="C2" s="203"/>
      <c r="D2" s="203"/>
      <c r="E2" s="203"/>
      <c r="F2" s="203"/>
      <c r="G2" s="203"/>
      <c r="H2" s="203"/>
      <c r="I2" s="203"/>
    </row>
    <row r="3" spans="2:9" ht="15.75" x14ac:dyDescent="0.25">
      <c r="B3" s="204" t="s">
        <v>386</v>
      </c>
      <c r="C3" s="205"/>
      <c r="D3" s="205"/>
      <c r="E3" s="205"/>
      <c r="F3" s="205"/>
      <c r="G3" s="206"/>
      <c r="H3" s="203"/>
      <c r="I3" s="203"/>
    </row>
    <row r="4" spans="2:9" ht="15.75" x14ac:dyDescent="0.25">
      <c r="B4" s="207"/>
      <c r="C4" s="207"/>
      <c r="D4" s="207"/>
      <c r="E4" s="207"/>
      <c r="F4" s="207"/>
      <c r="G4" s="207"/>
      <c r="H4" s="207"/>
      <c r="I4" s="207"/>
    </row>
    <row r="5" spans="2:9" ht="15.75" x14ac:dyDescent="0.25">
      <c r="B5" s="188" t="s">
        <v>320</v>
      </c>
      <c r="C5" s="562" t="s">
        <v>345</v>
      </c>
      <c r="D5" s="562"/>
      <c r="E5" s="562"/>
      <c r="F5" s="562"/>
      <c r="G5" s="208"/>
      <c r="H5" s="207"/>
      <c r="I5" s="207"/>
    </row>
    <row r="6" spans="2:9" ht="15.75" x14ac:dyDescent="0.25">
      <c r="B6" s="188" t="s">
        <v>318</v>
      </c>
      <c r="C6" s="563" t="s">
        <v>387</v>
      </c>
      <c r="D6" s="563"/>
      <c r="E6" s="563"/>
      <c r="F6" s="563"/>
      <c r="G6" s="189"/>
      <c r="H6" s="207"/>
      <c r="I6" s="207"/>
    </row>
    <row r="7" spans="2:9" ht="15.75" x14ac:dyDescent="0.25">
      <c r="B7" s="188" t="s">
        <v>316</v>
      </c>
      <c r="C7" s="562" t="s">
        <v>388</v>
      </c>
      <c r="D7" s="562"/>
      <c r="E7" s="562"/>
      <c r="F7" s="562"/>
      <c r="G7" s="208"/>
      <c r="H7" s="207"/>
      <c r="I7" s="207"/>
    </row>
    <row r="8" spans="2:9" ht="15.75" x14ac:dyDescent="0.25">
      <c r="B8" s="188" t="s">
        <v>314</v>
      </c>
      <c r="C8" s="562" t="s">
        <v>389</v>
      </c>
      <c r="D8" s="562"/>
      <c r="E8" s="562"/>
      <c r="F8" s="562"/>
      <c r="G8" s="208"/>
      <c r="H8" s="207"/>
      <c r="I8" s="207"/>
    </row>
    <row r="9" spans="2:9" ht="15.75" x14ac:dyDescent="0.25">
      <c r="B9" s="188" t="s">
        <v>348</v>
      </c>
      <c r="C9" s="562" t="s">
        <v>349</v>
      </c>
      <c r="D9" s="562"/>
      <c r="E9" s="562"/>
      <c r="F9" s="562"/>
      <c r="G9" s="208"/>
      <c r="H9" s="207"/>
      <c r="I9" s="207"/>
    </row>
    <row r="10" spans="2:9" ht="15.75" x14ac:dyDescent="0.25">
      <c r="B10" s="188" t="s">
        <v>310</v>
      </c>
      <c r="C10" s="562">
        <v>4</v>
      </c>
      <c r="D10" s="562"/>
      <c r="E10" s="562"/>
      <c r="F10" s="562"/>
      <c r="G10" s="208"/>
      <c r="H10" s="207"/>
      <c r="I10" s="207"/>
    </row>
    <row r="11" spans="2:9" ht="15.75" x14ac:dyDescent="0.25">
      <c r="B11" s="207"/>
      <c r="C11" s="207"/>
      <c r="D11" s="207"/>
      <c r="E11" s="207"/>
      <c r="F11" s="207"/>
      <c r="G11" s="207"/>
      <c r="H11" s="207"/>
      <c r="I11" s="207"/>
    </row>
    <row r="12" spans="2:9" ht="15.75" x14ac:dyDescent="0.25">
      <c r="B12" s="564" t="s">
        <v>350</v>
      </c>
      <c r="C12" s="564"/>
      <c r="D12" s="564"/>
      <c r="E12" s="564"/>
      <c r="F12" s="564"/>
      <c r="G12" s="209"/>
      <c r="H12" s="207"/>
      <c r="I12" s="207"/>
    </row>
    <row r="13" spans="2:9" ht="15.75" x14ac:dyDescent="0.25">
      <c r="B13" s="565" t="s">
        <v>304</v>
      </c>
      <c r="C13" s="566"/>
      <c r="D13" s="564" t="s">
        <v>308</v>
      </c>
      <c r="E13" s="564"/>
      <c r="F13" s="564"/>
      <c r="G13" s="209"/>
      <c r="H13" s="207"/>
      <c r="I13" s="207"/>
    </row>
    <row r="14" spans="2:9" ht="15.75" x14ac:dyDescent="0.25">
      <c r="B14" s="567">
        <v>43205</v>
      </c>
      <c r="C14" s="568"/>
      <c r="D14" s="562" t="s">
        <v>345</v>
      </c>
      <c r="E14" s="562"/>
      <c r="F14" s="562"/>
      <c r="G14" s="208"/>
      <c r="H14" s="207"/>
      <c r="I14" s="207"/>
    </row>
    <row r="15" spans="2:9" ht="15.75" x14ac:dyDescent="0.25">
      <c r="B15" s="207"/>
      <c r="C15" s="207"/>
      <c r="D15" s="207"/>
      <c r="E15" s="207"/>
      <c r="F15" s="207"/>
      <c r="G15" s="207"/>
      <c r="H15" s="207"/>
      <c r="I15" s="207"/>
    </row>
    <row r="16" spans="2:9" ht="33" customHeight="1" x14ac:dyDescent="0.25">
      <c r="B16" s="210" t="s">
        <v>300</v>
      </c>
      <c r="C16" s="210" t="s">
        <v>299</v>
      </c>
      <c r="D16" s="210" t="s">
        <v>298</v>
      </c>
      <c r="E16" s="210" t="s">
        <v>297</v>
      </c>
      <c r="F16" s="210" t="s">
        <v>296</v>
      </c>
      <c r="G16" s="209"/>
      <c r="H16" s="207"/>
      <c r="I16" s="207"/>
    </row>
    <row r="17" spans="2:9" ht="31.5" x14ac:dyDescent="0.25">
      <c r="B17" s="35" t="s">
        <v>67</v>
      </c>
      <c r="C17" s="35">
        <v>42</v>
      </c>
      <c r="D17" s="35">
        <v>2</v>
      </c>
      <c r="E17" s="35">
        <v>2</v>
      </c>
      <c r="F17" s="35" t="s">
        <v>440</v>
      </c>
      <c r="G17" s="189"/>
      <c r="H17" s="207"/>
      <c r="I17" s="207"/>
    </row>
    <row r="18" spans="2:9" ht="15.75" x14ac:dyDescent="0.25">
      <c r="B18" s="189"/>
      <c r="C18" s="189"/>
      <c r="D18" s="189"/>
      <c r="E18" s="189"/>
      <c r="F18" s="189"/>
      <c r="G18" s="189"/>
      <c r="H18" s="207"/>
      <c r="I18" s="207"/>
    </row>
    <row r="19" spans="2:9" ht="15.75" x14ac:dyDescent="0.25">
      <c r="B19" s="501" t="s">
        <v>293</v>
      </c>
      <c r="C19" s="502"/>
      <c r="D19" s="502"/>
      <c r="E19" s="502"/>
      <c r="F19" s="503"/>
      <c r="G19" s="211"/>
      <c r="H19" s="207"/>
      <c r="I19" s="207"/>
    </row>
    <row r="20" spans="2:9" ht="36.950000000000003" customHeight="1" x14ac:dyDescent="0.25">
      <c r="B20" s="449" t="s">
        <v>390</v>
      </c>
      <c r="C20" s="455"/>
      <c r="D20" s="455"/>
      <c r="E20" s="455"/>
      <c r="F20" s="456"/>
      <c r="G20" s="212"/>
      <c r="H20" s="207"/>
      <c r="I20" s="207"/>
    </row>
    <row r="21" spans="2:9" ht="15.75" x14ac:dyDescent="0.25">
      <c r="B21" s="501" t="s">
        <v>292</v>
      </c>
      <c r="C21" s="502"/>
      <c r="D21" s="502"/>
      <c r="E21" s="502"/>
      <c r="F21" s="503"/>
      <c r="G21" s="211"/>
      <c r="H21" s="207"/>
      <c r="I21" s="207"/>
    </row>
    <row r="22" spans="2:9" ht="77.45" customHeight="1" x14ac:dyDescent="0.25">
      <c r="B22" s="558" t="s">
        <v>391</v>
      </c>
      <c r="C22" s="559"/>
      <c r="D22" s="559"/>
      <c r="E22" s="559"/>
      <c r="F22" s="560"/>
      <c r="G22" s="213"/>
      <c r="H22" s="207"/>
      <c r="I22" s="207"/>
    </row>
    <row r="23" spans="2:9" ht="15.75" x14ac:dyDescent="0.25">
      <c r="B23" s="207"/>
      <c r="C23" s="207"/>
      <c r="D23" s="207"/>
      <c r="E23" s="207"/>
      <c r="F23" s="207"/>
      <c r="G23" s="207"/>
      <c r="H23" s="207"/>
      <c r="I23" s="207"/>
    </row>
    <row r="24" spans="2:9" ht="15.75" x14ac:dyDescent="0.25">
      <c r="B24" s="501" t="s">
        <v>353</v>
      </c>
      <c r="C24" s="502"/>
      <c r="D24" s="502"/>
      <c r="E24" s="502"/>
      <c r="F24" s="503"/>
      <c r="G24" s="211"/>
      <c r="H24" s="207"/>
      <c r="I24" s="207"/>
    </row>
    <row r="25" spans="2:9" ht="63" customHeight="1" x14ac:dyDescent="0.25">
      <c r="B25" s="214" t="s">
        <v>392</v>
      </c>
      <c r="C25" s="215"/>
      <c r="D25" s="215"/>
      <c r="E25" s="215"/>
      <c r="F25" s="216"/>
      <c r="G25" s="212"/>
      <c r="H25" s="207"/>
      <c r="I25" s="207"/>
    </row>
    <row r="26" spans="2:9" ht="15.75" x14ac:dyDescent="0.25">
      <c r="B26" s="207"/>
      <c r="C26" s="207"/>
      <c r="D26" s="207"/>
      <c r="E26" s="207"/>
      <c r="F26" s="207"/>
      <c r="G26" s="207"/>
      <c r="H26" s="207"/>
      <c r="I26" s="207"/>
    </row>
    <row r="27" spans="2:9" ht="15.75" x14ac:dyDescent="0.25">
      <c r="B27" s="501" t="s">
        <v>355</v>
      </c>
      <c r="C27" s="502"/>
      <c r="D27" s="502"/>
      <c r="E27" s="502"/>
      <c r="F27" s="503"/>
      <c r="G27" s="209"/>
      <c r="H27" s="207"/>
      <c r="I27" s="207"/>
    </row>
    <row r="28" spans="2:9" ht="15.75" x14ac:dyDescent="0.25">
      <c r="B28" s="561" t="s">
        <v>393</v>
      </c>
      <c r="C28" s="561"/>
      <c r="D28" s="561"/>
      <c r="E28" s="561"/>
      <c r="F28" s="561"/>
      <c r="G28" s="217"/>
      <c r="H28" s="207"/>
      <c r="I28" s="207"/>
    </row>
    <row r="29" spans="2:9" ht="15.75" x14ac:dyDescent="0.25">
      <c r="B29" s="561" t="s">
        <v>394</v>
      </c>
      <c r="C29" s="561"/>
      <c r="D29" s="561"/>
      <c r="E29" s="561"/>
      <c r="F29" s="561"/>
      <c r="G29" s="217"/>
      <c r="H29" s="207"/>
      <c r="I29" s="207"/>
    </row>
    <row r="30" spans="2:9" ht="15.75" x14ac:dyDescent="0.25">
      <c r="B30" s="561" t="s">
        <v>395</v>
      </c>
      <c r="C30" s="561"/>
      <c r="D30" s="561"/>
      <c r="E30" s="561"/>
      <c r="F30" s="561"/>
      <c r="G30" s="217"/>
      <c r="H30" s="207"/>
      <c r="I30" s="207"/>
    </row>
    <row r="31" spans="2:9" ht="15.75" x14ac:dyDescent="0.25">
      <c r="B31" s="561" t="s">
        <v>396</v>
      </c>
      <c r="C31" s="561"/>
      <c r="D31" s="561"/>
      <c r="E31" s="561"/>
      <c r="F31" s="561"/>
      <c r="G31" s="217"/>
      <c r="H31" s="207"/>
      <c r="I31" s="207"/>
    </row>
    <row r="32" spans="2:9" ht="15.75" x14ac:dyDescent="0.25">
      <c r="B32" s="207"/>
      <c r="C32" s="207"/>
      <c r="D32" s="207"/>
      <c r="E32" s="207"/>
      <c r="F32" s="207"/>
      <c r="G32" s="207"/>
      <c r="H32" s="207"/>
      <c r="I32" s="207"/>
    </row>
    <row r="33" spans="2:9" ht="15.75" x14ac:dyDescent="0.25">
      <c r="B33" s="501" t="s">
        <v>282</v>
      </c>
      <c r="C33" s="502"/>
      <c r="D33" s="502"/>
      <c r="E33" s="502"/>
      <c r="F33" s="503"/>
      <c r="G33" s="211"/>
      <c r="H33" s="207"/>
      <c r="I33" s="207"/>
    </row>
    <row r="34" spans="2:9" ht="111.95" customHeight="1" x14ac:dyDescent="0.25">
      <c r="B34" s="449" t="s">
        <v>397</v>
      </c>
      <c r="C34" s="455"/>
      <c r="D34" s="455"/>
      <c r="E34" s="455"/>
      <c r="F34" s="456"/>
      <c r="G34" s="213"/>
      <c r="H34" s="207"/>
      <c r="I34" s="207"/>
    </row>
    <row r="35" spans="2:9" ht="15.75" x14ac:dyDescent="0.25">
      <c r="B35" s="160"/>
      <c r="C35" s="160"/>
      <c r="D35" s="160"/>
      <c r="E35" s="160"/>
      <c r="F35" s="160"/>
      <c r="G35" s="160"/>
      <c r="H35" s="207"/>
      <c r="I35" s="207"/>
    </row>
    <row r="36" spans="2:9" ht="15.75" x14ac:dyDescent="0.25">
      <c r="B36" s="501" t="s">
        <v>280</v>
      </c>
      <c r="C36" s="502"/>
      <c r="D36" s="502"/>
      <c r="E36" s="502"/>
      <c r="F36" s="503"/>
      <c r="G36" s="211"/>
      <c r="H36" s="207"/>
      <c r="I36" s="207"/>
    </row>
    <row r="37" spans="2:9" ht="15.75" x14ac:dyDescent="0.25">
      <c r="B37" s="218" t="s">
        <v>398</v>
      </c>
      <c r="C37" s="554" t="s">
        <v>399</v>
      </c>
      <c r="D37" s="554"/>
      <c r="E37" s="554"/>
      <c r="F37" s="554"/>
      <c r="G37" s="213"/>
      <c r="H37" s="207"/>
      <c r="I37" s="207"/>
    </row>
    <row r="38" spans="2:9" ht="15.75" x14ac:dyDescent="0.25">
      <c r="B38" s="218" t="s">
        <v>400</v>
      </c>
      <c r="C38" s="554" t="s">
        <v>401</v>
      </c>
      <c r="D38" s="554"/>
      <c r="E38" s="554"/>
      <c r="F38" s="554"/>
      <c r="G38" s="213"/>
      <c r="H38" s="207"/>
      <c r="I38" s="207"/>
    </row>
    <row r="39" spans="2:9" ht="15.75" x14ac:dyDescent="0.25">
      <c r="B39" s="218" t="s">
        <v>402</v>
      </c>
      <c r="C39" s="449"/>
      <c r="D39" s="455"/>
      <c r="E39" s="455"/>
      <c r="F39" s="456"/>
      <c r="G39" s="213"/>
      <c r="H39" s="207"/>
      <c r="I39" s="207"/>
    </row>
    <row r="40" spans="2:9" ht="15.75" x14ac:dyDescent="0.25">
      <c r="B40" s="207"/>
      <c r="C40" s="207"/>
      <c r="D40" s="207"/>
      <c r="E40" s="207"/>
      <c r="F40" s="207"/>
      <c r="G40" s="207"/>
      <c r="H40" s="207"/>
      <c r="I40" s="207"/>
    </row>
    <row r="41" spans="2:9" ht="15.75" x14ac:dyDescent="0.25">
      <c r="B41" s="501" t="s">
        <v>276</v>
      </c>
      <c r="C41" s="502"/>
      <c r="D41" s="502"/>
      <c r="E41" s="502"/>
      <c r="F41" s="503"/>
      <c r="G41" s="211"/>
      <c r="H41" s="207"/>
      <c r="I41" s="207"/>
    </row>
    <row r="42" spans="2:9" ht="15.6" customHeight="1" x14ac:dyDescent="0.25">
      <c r="B42" s="449" t="s">
        <v>403</v>
      </c>
      <c r="C42" s="455"/>
      <c r="D42" s="455"/>
      <c r="E42" s="455"/>
      <c r="F42" s="456"/>
      <c r="G42" s="160"/>
      <c r="H42" s="207"/>
      <c r="I42" s="207"/>
    </row>
    <row r="43" spans="2:9" ht="15.75" x14ac:dyDescent="0.25">
      <c r="B43" s="207"/>
      <c r="C43" s="207"/>
      <c r="D43" s="207"/>
      <c r="E43" s="207"/>
      <c r="F43" s="207"/>
      <c r="G43" s="207"/>
      <c r="H43" s="207"/>
      <c r="I43" s="207"/>
    </row>
    <row r="44" spans="2:9" ht="15.75" x14ac:dyDescent="0.25">
      <c r="B44" s="501" t="s">
        <v>274</v>
      </c>
      <c r="C44" s="502"/>
      <c r="D44" s="502"/>
      <c r="E44" s="502"/>
      <c r="F44" s="503"/>
      <c r="G44" s="211"/>
      <c r="H44" s="207"/>
      <c r="I44" s="207"/>
    </row>
    <row r="45" spans="2:9" ht="15.75" x14ac:dyDescent="0.25">
      <c r="B45" s="219" t="s">
        <v>273</v>
      </c>
      <c r="C45" s="219" t="s">
        <v>272</v>
      </c>
      <c r="D45" s="501" t="s">
        <v>271</v>
      </c>
      <c r="E45" s="502"/>
      <c r="F45" s="503"/>
      <c r="G45" s="211"/>
      <c r="H45" s="207"/>
      <c r="I45" s="207"/>
    </row>
    <row r="46" spans="2:9" ht="31.5" x14ac:dyDescent="0.25">
      <c r="B46" s="218" t="s">
        <v>404</v>
      </c>
      <c r="C46" s="218" t="s">
        <v>268</v>
      </c>
      <c r="D46" s="555" t="s">
        <v>405</v>
      </c>
      <c r="E46" s="556"/>
      <c r="F46" s="557"/>
      <c r="G46" s="133"/>
      <c r="H46" s="207"/>
      <c r="I46" s="207"/>
    </row>
    <row r="47" spans="2:9" ht="15.75" x14ac:dyDescent="0.25">
      <c r="B47" s="207"/>
      <c r="C47" s="207"/>
      <c r="D47" s="207"/>
      <c r="E47" s="207"/>
      <c r="F47" s="207"/>
      <c r="G47" s="207"/>
      <c r="H47" s="207"/>
      <c r="I47" s="207"/>
    </row>
    <row r="48" spans="2:9" ht="15.75" x14ac:dyDescent="0.25">
      <c r="B48" s="501" t="s">
        <v>266</v>
      </c>
      <c r="C48" s="502"/>
      <c r="D48" s="502"/>
      <c r="E48" s="502"/>
      <c r="F48" s="503"/>
      <c r="G48" s="211"/>
      <c r="H48" s="207"/>
      <c r="I48" s="207"/>
    </row>
    <row r="49" spans="2:9" ht="15.75" x14ac:dyDescent="0.25">
      <c r="B49" s="488"/>
      <c r="C49" s="552"/>
      <c r="D49" s="552"/>
      <c r="E49" s="552"/>
      <c r="F49" s="553"/>
      <c r="G49" s="160"/>
      <c r="H49" s="207"/>
      <c r="I49" s="207"/>
    </row>
    <row r="50" spans="2:9" ht="15.75" x14ac:dyDescent="0.25">
      <c r="B50" s="207"/>
      <c r="C50" s="207"/>
      <c r="D50" s="207"/>
      <c r="E50" s="207"/>
      <c r="F50" s="207"/>
      <c r="G50" s="207"/>
      <c r="H50" s="207"/>
      <c r="I50" s="207"/>
    </row>
    <row r="51" spans="2:9" ht="15.75" x14ac:dyDescent="0.25">
      <c r="B51" s="501" t="s">
        <v>372</v>
      </c>
      <c r="C51" s="502"/>
      <c r="D51" s="502"/>
      <c r="E51" s="502"/>
      <c r="F51" s="503"/>
      <c r="G51" s="211"/>
      <c r="H51" s="207"/>
      <c r="I51" s="207"/>
    </row>
    <row r="52" spans="2:9" ht="15.75" x14ac:dyDescent="0.25">
      <c r="B52" s="488"/>
      <c r="C52" s="552"/>
      <c r="D52" s="552"/>
      <c r="E52" s="552"/>
      <c r="F52" s="553"/>
      <c r="G52" s="160"/>
      <c r="H52" s="203"/>
      <c r="I52" s="203"/>
    </row>
    <row r="53" spans="2:9" ht="15.75" x14ac:dyDescent="0.25">
      <c r="B53" s="203"/>
      <c r="C53" s="203"/>
      <c r="D53" s="203"/>
      <c r="E53" s="203"/>
      <c r="F53" s="203"/>
      <c r="G53" s="203"/>
      <c r="H53" s="203"/>
      <c r="I53" s="203"/>
    </row>
  </sheetData>
  <mergeCells count="36">
    <mergeCell ref="B19:F19"/>
    <mergeCell ref="C5:F5"/>
    <mergeCell ref="C6:F6"/>
    <mergeCell ref="C7:F7"/>
    <mergeCell ref="C8:F8"/>
    <mergeCell ref="C9:F9"/>
    <mergeCell ref="C10:F10"/>
    <mergeCell ref="B12:F12"/>
    <mergeCell ref="B13:C13"/>
    <mergeCell ref="D13:F13"/>
    <mergeCell ref="B14:C14"/>
    <mergeCell ref="D14:F14"/>
    <mergeCell ref="B36:F36"/>
    <mergeCell ref="B20:F20"/>
    <mergeCell ref="B21:F21"/>
    <mergeCell ref="B22:F22"/>
    <mergeCell ref="B24:F24"/>
    <mergeCell ref="B27:F27"/>
    <mergeCell ref="B28:F28"/>
    <mergeCell ref="B29:F29"/>
    <mergeCell ref="B30:F30"/>
    <mergeCell ref="B31:F31"/>
    <mergeCell ref="B33:F33"/>
    <mergeCell ref="B34:F34"/>
    <mergeCell ref="B52:F52"/>
    <mergeCell ref="C37:F37"/>
    <mergeCell ref="C38:F38"/>
    <mergeCell ref="C39:F39"/>
    <mergeCell ref="B41:F41"/>
    <mergeCell ref="B42:F42"/>
    <mergeCell ref="B44:F44"/>
    <mergeCell ref="D45:F45"/>
    <mergeCell ref="D46:F46"/>
    <mergeCell ref="B48:F48"/>
    <mergeCell ref="B49:F49"/>
    <mergeCell ref="B51:F51"/>
  </mergeCells>
  <dataValidations count="2">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formula1>"Mise à jour à partir du plan d'études, Nouvelle création"</formula1>
    </dataValidation>
    <dataValidation type="list" allowBlank="1" showInputMessage="1" showErrorMessage="1" sqref="C46 IY46 SU46 ACQ46 AMM46 AWI46 BGE46 BQA46 BZW46 CJS46 CTO46 DDK46 DNG46 DXC46 EGY46 EQU46 FAQ46 FKM46 FUI46 GEE46 GOA46 GXW46 HHS46 HRO46 IBK46 ILG46 IVC46 JEY46 JOU46 JYQ46 KIM46 KSI46 LCE46 LMA46 LVW46 MFS46 MPO46 MZK46 NJG46 NTC46 OCY46 OMU46 OWQ46 PGM46 PQI46 QAE46 QKA46 QTW46 RDS46 RNO46 RXK46 SHG46 SRC46 TAY46 TKU46 TUQ46 UEM46 UOI46 UYE46 VIA46 VRW46 WBS46 WLO46 WVK46">
      <formula1>"Académique, Professionnel, Associatif, Autre"</formula1>
    </dataValidation>
  </dataValidations>
  <hyperlinks>
    <hyperlink ref="B1" location="'Schéma d''enseignement'!G29" display="Schéma d'enseignement"/>
  </hyperlinks>
  <pageMargins left="0.7" right="0.7" top="0.75" bottom="0.75" header="0.3" footer="0.3"/>
  <pageSetup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G53"/>
  <sheetViews>
    <sheetView workbookViewId="0">
      <selection activeCell="B1" sqref="B1"/>
    </sheetView>
  </sheetViews>
  <sheetFormatPr baseColWidth="10" defaultColWidth="8.85546875" defaultRowHeight="15.75" x14ac:dyDescent="0.25"/>
  <cols>
    <col min="1" max="1" width="1.140625" style="149" customWidth="1"/>
    <col min="2" max="2" width="29.42578125" style="149" customWidth="1"/>
    <col min="3" max="3" width="15.5703125" style="149" customWidth="1"/>
    <col min="4" max="4" width="11.85546875" style="149" customWidth="1"/>
    <col min="5" max="5" width="31.140625" style="149" customWidth="1"/>
    <col min="6" max="6" width="32.5703125" style="149" customWidth="1"/>
    <col min="7" max="7" width="8.140625" style="149" customWidth="1"/>
    <col min="8" max="8" width="20.140625" style="149" customWidth="1"/>
    <col min="9" max="9" width="119.85546875" style="149" customWidth="1"/>
    <col min="10" max="10" width="11.5703125" style="149" customWidth="1"/>
    <col min="11" max="11" width="128.140625" style="149" customWidth="1"/>
    <col min="12" max="256" width="11.5703125" style="149" customWidth="1"/>
    <col min="257" max="16384" width="8.85546875" style="149"/>
  </cols>
  <sheetData>
    <row r="1" spans="2:7" x14ac:dyDescent="0.25">
      <c r="B1" s="326" t="s">
        <v>692</v>
      </c>
    </row>
    <row r="3" spans="2:7" x14ac:dyDescent="0.25">
      <c r="B3" s="166" t="s">
        <v>344</v>
      </c>
      <c r="C3" s="165"/>
      <c r="D3" s="165"/>
      <c r="E3" s="165"/>
      <c r="F3" s="165"/>
      <c r="G3" s="194"/>
    </row>
    <row r="4" spans="2:7" s="150" customFormat="1" x14ac:dyDescent="0.25"/>
    <row r="5" spans="2:7" s="150" customFormat="1" x14ac:dyDescent="0.25">
      <c r="B5" s="187" t="s">
        <v>320</v>
      </c>
      <c r="C5" s="444" t="s">
        <v>345</v>
      </c>
      <c r="D5" s="444"/>
      <c r="E5" s="444"/>
      <c r="F5" s="444"/>
      <c r="G5" s="195"/>
    </row>
    <row r="6" spans="2:7" s="150" customFormat="1" x14ac:dyDescent="0.25">
      <c r="B6" s="188" t="s">
        <v>318</v>
      </c>
      <c r="C6" s="445" t="s">
        <v>406</v>
      </c>
      <c r="D6" s="445"/>
      <c r="E6" s="445"/>
      <c r="F6" s="445"/>
      <c r="G6" s="190"/>
    </row>
    <row r="7" spans="2:7" s="150" customFormat="1" x14ac:dyDescent="0.25">
      <c r="B7" s="187" t="s">
        <v>316</v>
      </c>
      <c r="C7" s="444" t="s">
        <v>346</v>
      </c>
      <c r="D7" s="444"/>
      <c r="E7" s="444"/>
      <c r="F7" s="444"/>
      <c r="G7" s="195"/>
    </row>
    <row r="8" spans="2:7" s="150" customFormat="1" x14ac:dyDescent="0.25">
      <c r="B8" s="187" t="s">
        <v>314</v>
      </c>
      <c r="C8" s="444" t="s">
        <v>374</v>
      </c>
      <c r="D8" s="444"/>
      <c r="E8" s="444"/>
      <c r="F8" s="444"/>
      <c r="G8" s="195"/>
    </row>
    <row r="9" spans="2:7" s="150" customFormat="1" x14ac:dyDescent="0.25">
      <c r="B9" s="187" t="s">
        <v>348</v>
      </c>
      <c r="C9" s="444" t="s">
        <v>349</v>
      </c>
      <c r="D9" s="444"/>
      <c r="E9" s="444"/>
      <c r="F9" s="444"/>
      <c r="G9" s="195"/>
    </row>
    <row r="10" spans="2:7" s="150" customFormat="1" x14ac:dyDescent="0.25">
      <c r="B10" s="187" t="s">
        <v>310</v>
      </c>
      <c r="C10" s="444">
        <v>4</v>
      </c>
      <c r="D10" s="444"/>
      <c r="E10" s="444"/>
      <c r="F10" s="444"/>
      <c r="G10" s="195"/>
    </row>
    <row r="11" spans="2:7" s="150" customFormat="1" x14ac:dyDescent="0.25"/>
    <row r="12" spans="2:7" s="150" customFormat="1" x14ac:dyDescent="0.25">
      <c r="B12" s="452" t="s">
        <v>350</v>
      </c>
      <c r="C12" s="452"/>
      <c r="D12" s="452"/>
      <c r="E12" s="452"/>
      <c r="F12" s="452"/>
      <c r="G12" s="196"/>
    </row>
    <row r="13" spans="2:7" s="150" customFormat="1" x14ac:dyDescent="0.25">
      <c r="B13" s="475" t="s">
        <v>304</v>
      </c>
      <c r="C13" s="477"/>
      <c r="D13" s="452" t="s">
        <v>308</v>
      </c>
      <c r="E13" s="452"/>
      <c r="F13" s="452"/>
      <c r="G13" s="196"/>
    </row>
    <row r="14" spans="2:7" s="150" customFormat="1" x14ac:dyDescent="0.25">
      <c r="B14" s="483"/>
      <c r="C14" s="484"/>
      <c r="D14" s="444"/>
      <c r="E14" s="444"/>
      <c r="F14" s="444"/>
      <c r="G14" s="195"/>
    </row>
    <row r="15" spans="2:7" s="150" customFormat="1" x14ac:dyDescent="0.25"/>
    <row r="16" spans="2:7" s="150" customFormat="1" x14ac:dyDescent="0.25">
      <c r="B16" s="162" t="s">
        <v>300</v>
      </c>
      <c r="C16" s="162" t="s">
        <v>299</v>
      </c>
      <c r="D16" s="162" t="s">
        <v>298</v>
      </c>
      <c r="E16" s="162" t="s">
        <v>297</v>
      </c>
      <c r="F16" s="162" t="s">
        <v>296</v>
      </c>
      <c r="G16" s="196"/>
    </row>
    <row r="17" spans="2:7" s="150" customFormat="1" x14ac:dyDescent="0.25">
      <c r="B17" s="35" t="s">
        <v>406</v>
      </c>
      <c r="C17" s="24">
        <v>21</v>
      </c>
      <c r="D17" s="24">
        <v>2</v>
      </c>
      <c r="E17" s="24">
        <v>2</v>
      </c>
      <c r="F17" s="24" t="s">
        <v>440</v>
      </c>
      <c r="G17" s="190"/>
    </row>
    <row r="18" spans="2:7" s="150" customFormat="1" x14ac:dyDescent="0.25">
      <c r="B18" s="189"/>
      <c r="C18" s="190"/>
      <c r="D18" s="190"/>
      <c r="E18" s="190"/>
      <c r="F18" s="190"/>
      <c r="G18" s="190"/>
    </row>
    <row r="19" spans="2:7" s="150" customFormat="1" x14ac:dyDescent="0.25">
      <c r="B19" s="446" t="s">
        <v>293</v>
      </c>
      <c r="C19" s="447"/>
      <c r="D19" s="447"/>
      <c r="E19" s="447"/>
      <c r="F19" s="448"/>
      <c r="G19" s="197"/>
    </row>
    <row r="20" spans="2:7" s="150" customFormat="1" x14ac:dyDescent="0.25">
      <c r="B20" s="449" t="s">
        <v>407</v>
      </c>
      <c r="C20" s="506"/>
      <c r="D20" s="506"/>
      <c r="E20" s="506"/>
      <c r="F20" s="507"/>
      <c r="G20" s="198"/>
    </row>
    <row r="21" spans="2:7" s="150" customFormat="1" x14ac:dyDescent="0.25">
      <c r="B21" s="446" t="s">
        <v>292</v>
      </c>
      <c r="C21" s="447"/>
      <c r="D21" s="447"/>
      <c r="E21" s="447"/>
      <c r="F21" s="448"/>
      <c r="G21" s="197"/>
    </row>
    <row r="22" spans="2:7" s="150" customFormat="1" x14ac:dyDescent="0.25">
      <c r="B22" s="449" t="s">
        <v>408</v>
      </c>
      <c r="C22" s="450"/>
      <c r="D22" s="450"/>
      <c r="E22" s="450"/>
      <c r="F22" s="451"/>
      <c r="G22" s="199"/>
    </row>
    <row r="23" spans="2:7" s="150" customFormat="1" x14ac:dyDescent="0.25"/>
    <row r="24" spans="2:7" s="150" customFormat="1" x14ac:dyDescent="0.25">
      <c r="B24" s="446" t="s">
        <v>353</v>
      </c>
      <c r="C24" s="447"/>
      <c r="D24" s="447"/>
      <c r="E24" s="447"/>
      <c r="F24" s="448"/>
      <c r="G24" s="197"/>
    </row>
    <row r="25" spans="2:7" s="150" customFormat="1" x14ac:dyDescent="0.25">
      <c r="B25" s="464" t="s">
        <v>409</v>
      </c>
      <c r="C25" s="506"/>
      <c r="D25" s="506"/>
      <c r="E25" s="506"/>
      <c r="F25" s="507"/>
      <c r="G25" s="198"/>
    </row>
    <row r="26" spans="2:7" s="150" customFormat="1" x14ac:dyDescent="0.25"/>
    <row r="27" spans="2:7" s="150" customFormat="1" x14ac:dyDescent="0.25">
      <c r="B27" s="446" t="s">
        <v>355</v>
      </c>
      <c r="C27" s="447"/>
      <c r="D27" s="447"/>
      <c r="E27" s="447"/>
      <c r="F27" s="448"/>
      <c r="G27" s="196"/>
    </row>
    <row r="28" spans="2:7" s="150" customFormat="1" x14ac:dyDescent="0.25">
      <c r="B28" s="494" t="s">
        <v>380</v>
      </c>
      <c r="C28" s="495"/>
      <c r="D28" s="495"/>
      <c r="E28" s="495"/>
      <c r="F28" s="496"/>
      <c r="G28" s="200"/>
    </row>
    <row r="29" spans="2:7" s="150" customFormat="1" x14ac:dyDescent="0.25">
      <c r="B29" s="494" t="s">
        <v>381</v>
      </c>
      <c r="C29" s="495"/>
      <c r="D29" s="495"/>
      <c r="E29" s="495"/>
      <c r="F29" s="496"/>
      <c r="G29" s="200"/>
    </row>
    <row r="30" spans="2:7" s="150" customFormat="1" x14ac:dyDescent="0.25">
      <c r="B30" s="460" t="s">
        <v>382</v>
      </c>
      <c r="C30" s="460"/>
      <c r="D30" s="460"/>
      <c r="E30" s="460"/>
      <c r="F30" s="460"/>
      <c r="G30" s="200"/>
    </row>
    <row r="31" spans="2:7" s="150" customFormat="1" x14ac:dyDescent="0.25">
      <c r="B31" s="240"/>
      <c r="C31" s="240"/>
      <c r="D31" s="240"/>
      <c r="E31" s="240"/>
      <c r="F31" s="240"/>
      <c r="G31" s="200"/>
    </row>
    <row r="32" spans="2:7" s="150" customFormat="1" x14ac:dyDescent="0.25">
      <c r="B32" s="446" t="s">
        <v>282</v>
      </c>
      <c r="C32" s="447"/>
      <c r="D32" s="447"/>
      <c r="E32" s="447"/>
      <c r="F32" s="448"/>
      <c r="G32" s="197"/>
    </row>
    <row r="33" spans="1:7" s="150" customFormat="1" ht="277.35000000000002" customHeight="1" x14ac:dyDescent="0.25">
      <c r="B33" s="569" t="s">
        <v>383</v>
      </c>
      <c r="C33" s="515"/>
      <c r="D33" s="515"/>
      <c r="E33" s="515"/>
      <c r="F33" s="516"/>
      <c r="G33" s="199"/>
    </row>
    <row r="34" spans="1:7" s="150" customFormat="1" x14ac:dyDescent="0.25">
      <c r="B34" s="160"/>
      <c r="C34" s="191"/>
      <c r="D34" s="191"/>
      <c r="E34" s="191"/>
      <c r="F34" s="191"/>
      <c r="G34" s="191"/>
    </row>
    <row r="35" spans="1:7" s="150" customFormat="1" x14ac:dyDescent="0.25">
      <c r="B35" s="446" t="s">
        <v>280</v>
      </c>
      <c r="C35" s="447"/>
      <c r="D35" s="447"/>
      <c r="E35" s="447"/>
      <c r="F35" s="448"/>
      <c r="G35" s="197"/>
    </row>
    <row r="36" spans="1:7" s="150" customFormat="1" x14ac:dyDescent="0.25">
      <c r="B36" s="192" t="s">
        <v>384</v>
      </c>
      <c r="C36" s="468"/>
      <c r="D36" s="468"/>
      <c r="E36" s="468"/>
      <c r="F36" s="468"/>
      <c r="G36" s="199"/>
    </row>
    <row r="37" spans="1:7" s="150" customFormat="1" x14ac:dyDescent="0.25">
      <c r="B37" s="192" t="s">
        <v>385</v>
      </c>
      <c r="C37" s="468"/>
      <c r="D37" s="468"/>
      <c r="E37" s="468"/>
      <c r="F37" s="468"/>
      <c r="G37" s="199"/>
    </row>
    <row r="38" spans="1:7" s="150" customFormat="1" x14ac:dyDescent="0.25">
      <c r="B38" s="192" t="s">
        <v>361</v>
      </c>
      <c r="C38" s="464"/>
      <c r="D38" s="450"/>
      <c r="E38" s="450"/>
      <c r="F38" s="451"/>
      <c r="G38" s="199"/>
    </row>
    <row r="39" spans="1:7" s="150" customFormat="1" x14ac:dyDescent="0.25"/>
    <row r="40" spans="1:7" s="150" customFormat="1" x14ac:dyDescent="0.25">
      <c r="B40" s="446" t="s">
        <v>276</v>
      </c>
      <c r="C40" s="447"/>
      <c r="D40" s="447"/>
      <c r="E40" s="447"/>
      <c r="F40" s="448"/>
      <c r="G40" s="197"/>
    </row>
    <row r="41" spans="1:7" s="150" customFormat="1" x14ac:dyDescent="0.25">
      <c r="B41" s="464"/>
      <c r="C41" s="450"/>
      <c r="D41" s="450"/>
      <c r="E41" s="450"/>
      <c r="F41" s="451"/>
      <c r="G41" s="191"/>
    </row>
    <row r="42" spans="1:7" s="150" customFormat="1" x14ac:dyDescent="0.25"/>
    <row r="43" spans="1:7" s="150" customFormat="1" x14ac:dyDescent="0.25">
      <c r="B43" s="446" t="s">
        <v>274</v>
      </c>
      <c r="C43" s="447"/>
      <c r="D43" s="447"/>
      <c r="E43" s="447"/>
      <c r="F43" s="448"/>
      <c r="G43" s="197"/>
    </row>
    <row r="44" spans="1:7" s="150" customFormat="1" x14ac:dyDescent="0.25">
      <c r="B44" s="155" t="s">
        <v>273</v>
      </c>
      <c r="C44" s="155" t="s">
        <v>272</v>
      </c>
      <c r="D44" s="446" t="s">
        <v>271</v>
      </c>
      <c r="E44" s="447"/>
      <c r="F44" s="448"/>
      <c r="G44" s="197"/>
    </row>
    <row r="45" spans="1:7" s="150" customFormat="1" x14ac:dyDescent="0.25">
      <c r="A45" s="201"/>
      <c r="B45" s="192"/>
      <c r="C45" s="192"/>
      <c r="D45" s="461"/>
      <c r="E45" s="492"/>
      <c r="F45" s="493"/>
      <c r="G45" s="202"/>
    </row>
    <row r="46" spans="1:7" s="150" customFormat="1" x14ac:dyDescent="0.25">
      <c r="B46" s="156"/>
      <c r="C46" s="156"/>
      <c r="D46" s="491"/>
      <c r="E46" s="492"/>
      <c r="F46" s="493"/>
      <c r="G46" s="202"/>
    </row>
    <row r="47" spans="1:7" s="150" customFormat="1" x14ac:dyDescent="0.25">
      <c r="B47" s="161"/>
      <c r="C47" s="161"/>
      <c r="D47" s="491"/>
      <c r="E47" s="492"/>
      <c r="F47" s="493"/>
      <c r="G47" s="202"/>
    </row>
    <row r="48" spans="1:7" s="150" customFormat="1" x14ac:dyDescent="0.25"/>
    <row r="49" spans="2:7" s="150" customFormat="1" x14ac:dyDescent="0.25">
      <c r="B49" s="446" t="s">
        <v>266</v>
      </c>
      <c r="C49" s="447"/>
      <c r="D49" s="447"/>
      <c r="E49" s="447"/>
      <c r="F49" s="448"/>
      <c r="G49" s="197"/>
    </row>
    <row r="50" spans="2:7" s="150" customFormat="1" x14ac:dyDescent="0.25">
      <c r="B50" s="488"/>
      <c r="C50" s="489"/>
      <c r="D50" s="489"/>
      <c r="E50" s="489"/>
      <c r="F50" s="490"/>
      <c r="G50" s="191"/>
    </row>
    <row r="51" spans="2:7" s="150" customFormat="1" x14ac:dyDescent="0.25"/>
    <row r="52" spans="2:7" s="150" customFormat="1" x14ac:dyDescent="0.25">
      <c r="B52" s="446" t="s">
        <v>372</v>
      </c>
      <c r="C52" s="447"/>
      <c r="D52" s="447"/>
      <c r="E52" s="447"/>
      <c r="F52" s="448"/>
      <c r="G52" s="197"/>
    </row>
    <row r="53" spans="2:7" x14ac:dyDescent="0.25">
      <c r="B53" s="488"/>
      <c r="C53" s="489"/>
      <c r="D53" s="489"/>
      <c r="E53" s="489"/>
      <c r="F53" s="490"/>
      <c r="G53" s="191"/>
    </row>
  </sheetData>
  <mergeCells count="38">
    <mergeCell ref="C9:F9"/>
    <mergeCell ref="C5:F5"/>
    <mergeCell ref="C6:F6"/>
    <mergeCell ref="C7:F7"/>
    <mergeCell ref="C8:F8"/>
    <mergeCell ref="C10:F10"/>
    <mergeCell ref="B12:F12"/>
    <mergeCell ref="B13:C13"/>
    <mergeCell ref="D13:F13"/>
    <mergeCell ref="B14:C14"/>
    <mergeCell ref="D14:F14"/>
    <mergeCell ref="B19:F19"/>
    <mergeCell ref="B20:F20"/>
    <mergeCell ref="B21:F21"/>
    <mergeCell ref="B22:F22"/>
    <mergeCell ref="B24:F24"/>
    <mergeCell ref="B25:F25"/>
    <mergeCell ref="B27:F27"/>
    <mergeCell ref="B28:F28"/>
    <mergeCell ref="B29:F29"/>
    <mergeCell ref="B30:F30"/>
    <mergeCell ref="B40:F40"/>
    <mergeCell ref="B32:F32"/>
    <mergeCell ref="B33:F33"/>
    <mergeCell ref="B35:F35"/>
    <mergeCell ref="C36:F36"/>
    <mergeCell ref="C37:F37"/>
    <mergeCell ref="C38:F38"/>
    <mergeCell ref="B49:F49"/>
    <mergeCell ref="B50:F50"/>
    <mergeCell ref="B52:F52"/>
    <mergeCell ref="B53:F53"/>
    <mergeCell ref="B41:F41"/>
    <mergeCell ref="B43:F43"/>
    <mergeCell ref="D44:F44"/>
    <mergeCell ref="D45:F45"/>
    <mergeCell ref="D46:F46"/>
    <mergeCell ref="D47:F47"/>
  </mergeCells>
  <dataValidations count="2">
    <dataValidation type="list" allowBlank="1" showInputMessage="1" showErrorMessage="1" sqref="C45:C47 IY45:IY47 SU45:SU47 ACQ45:ACQ47 AMM45:AMM47 AWI45:AWI47 BGE45:BGE47 BQA45:BQA47 BZW45:BZW47 CJS45:CJS47 CTO45:CTO47 DDK45:DDK47 DNG45:DNG47 DXC45:DXC47 EGY45:EGY47 EQU45:EQU47 FAQ45:FAQ47 FKM45:FKM47 FUI45:FUI47 GEE45:GEE47 GOA45:GOA47 GXW45:GXW47 HHS45:HHS47 HRO45:HRO47 IBK45:IBK47 ILG45:ILG47 IVC45:IVC47 JEY45:JEY47 JOU45:JOU47 JYQ45:JYQ47 KIM45:KIM47 KSI45:KSI47 LCE45:LCE47 LMA45:LMA47 LVW45:LVW47 MFS45:MFS47 MPO45:MPO47 MZK45:MZK47 NJG45:NJG47 NTC45:NTC47 OCY45:OCY47 OMU45:OMU47 OWQ45:OWQ47 PGM45:PGM47 PQI45:PQI47 QAE45:QAE47 QKA45:QKA47 QTW45:QTW47 RDS45:RDS47 RNO45:RNO47 RXK45:RXK47 SHG45:SHG47 SRC45:SRC47 TAY45:TAY47 TKU45:TKU47 TUQ45:TUQ47 UEM45:UEM47 UOI45:UOI47 UYE45:UYE47 VIA45:VIA47 VRW45:VRW47 WBS45:WBS47 WLO45:WLO47 WVK45:WVK47 C65581:C65583 IY65581:IY65583 SU65581:SU65583 ACQ65581:ACQ65583 AMM65581:AMM65583 AWI65581:AWI65583 BGE65581:BGE65583 BQA65581:BQA65583 BZW65581:BZW65583 CJS65581:CJS65583 CTO65581:CTO65583 DDK65581:DDK65583 DNG65581:DNG65583 DXC65581:DXC65583 EGY65581:EGY65583 EQU65581:EQU65583 FAQ65581:FAQ65583 FKM65581:FKM65583 FUI65581:FUI65583 GEE65581:GEE65583 GOA65581:GOA65583 GXW65581:GXW65583 HHS65581:HHS65583 HRO65581:HRO65583 IBK65581:IBK65583 ILG65581:ILG65583 IVC65581:IVC65583 JEY65581:JEY65583 JOU65581:JOU65583 JYQ65581:JYQ65583 KIM65581:KIM65583 KSI65581:KSI65583 LCE65581:LCE65583 LMA65581:LMA65583 LVW65581:LVW65583 MFS65581:MFS65583 MPO65581:MPO65583 MZK65581:MZK65583 NJG65581:NJG65583 NTC65581:NTC65583 OCY65581:OCY65583 OMU65581:OMU65583 OWQ65581:OWQ65583 PGM65581:PGM65583 PQI65581:PQI65583 QAE65581:QAE65583 QKA65581:QKA65583 QTW65581:QTW65583 RDS65581:RDS65583 RNO65581:RNO65583 RXK65581:RXK65583 SHG65581:SHG65583 SRC65581:SRC65583 TAY65581:TAY65583 TKU65581:TKU65583 TUQ65581:TUQ65583 UEM65581:UEM65583 UOI65581:UOI65583 UYE65581:UYE65583 VIA65581:VIA65583 VRW65581:VRW65583 WBS65581:WBS65583 WLO65581:WLO65583 WVK65581:WVK65583 C131117:C131119 IY131117:IY131119 SU131117:SU131119 ACQ131117:ACQ131119 AMM131117:AMM131119 AWI131117:AWI131119 BGE131117:BGE131119 BQA131117:BQA131119 BZW131117:BZW131119 CJS131117:CJS131119 CTO131117:CTO131119 DDK131117:DDK131119 DNG131117:DNG131119 DXC131117:DXC131119 EGY131117:EGY131119 EQU131117:EQU131119 FAQ131117:FAQ131119 FKM131117:FKM131119 FUI131117:FUI131119 GEE131117:GEE131119 GOA131117:GOA131119 GXW131117:GXW131119 HHS131117:HHS131119 HRO131117:HRO131119 IBK131117:IBK131119 ILG131117:ILG131119 IVC131117:IVC131119 JEY131117:JEY131119 JOU131117:JOU131119 JYQ131117:JYQ131119 KIM131117:KIM131119 KSI131117:KSI131119 LCE131117:LCE131119 LMA131117:LMA131119 LVW131117:LVW131119 MFS131117:MFS131119 MPO131117:MPO131119 MZK131117:MZK131119 NJG131117:NJG131119 NTC131117:NTC131119 OCY131117:OCY131119 OMU131117:OMU131119 OWQ131117:OWQ131119 PGM131117:PGM131119 PQI131117:PQI131119 QAE131117:QAE131119 QKA131117:QKA131119 QTW131117:QTW131119 RDS131117:RDS131119 RNO131117:RNO131119 RXK131117:RXK131119 SHG131117:SHG131119 SRC131117:SRC131119 TAY131117:TAY131119 TKU131117:TKU131119 TUQ131117:TUQ131119 UEM131117:UEM131119 UOI131117:UOI131119 UYE131117:UYE131119 VIA131117:VIA131119 VRW131117:VRW131119 WBS131117:WBS131119 WLO131117:WLO131119 WVK131117:WVK131119 C196653:C196655 IY196653:IY196655 SU196653:SU196655 ACQ196653:ACQ196655 AMM196653:AMM196655 AWI196653:AWI196655 BGE196653:BGE196655 BQA196653:BQA196655 BZW196653:BZW196655 CJS196653:CJS196655 CTO196653:CTO196655 DDK196653:DDK196655 DNG196653:DNG196655 DXC196653:DXC196655 EGY196653:EGY196655 EQU196653:EQU196655 FAQ196653:FAQ196655 FKM196653:FKM196655 FUI196653:FUI196655 GEE196653:GEE196655 GOA196653:GOA196655 GXW196653:GXW196655 HHS196653:HHS196655 HRO196653:HRO196655 IBK196653:IBK196655 ILG196653:ILG196655 IVC196653:IVC196655 JEY196653:JEY196655 JOU196653:JOU196655 JYQ196653:JYQ196655 KIM196653:KIM196655 KSI196653:KSI196655 LCE196653:LCE196655 LMA196653:LMA196655 LVW196653:LVW196655 MFS196653:MFS196655 MPO196653:MPO196655 MZK196653:MZK196655 NJG196653:NJG196655 NTC196653:NTC196655 OCY196653:OCY196655 OMU196653:OMU196655 OWQ196653:OWQ196655 PGM196653:PGM196655 PQI196653:PQI196655 QAE196653:QAE196655 QKA196653:QKA196655 QTW196653:QTW196655 RDS196653:RDS196655 RNO196653:RNO196655 RXK196653:RXK196655 SHG196653:SHG196655 SRC196653:SRC196655 TAY196653:TAY196655 TKU196653:TKU196655 TUQ196653:TUQ196655 UEM196653:UEM196655 UOI196653:UOI196655 UYE196653:UYE196655 VIA196653:VIA196655 VRW196653:VRW196655 WBS196653:WBS196655 WLO196653:WLO196655 WVK196653:WVK196655 C262189:C262191 IY262189:IY262191 SU262189:SU262191 ACQ262189:ACQ262191 AMM262189:AMM262191 AWI262189:AWI262191 BGE262189:BGE262191 BQA262189:BQA262191 BZW262189:BZW262191 CJS262189:CJS262191 CTO262189:CTO262191 DDK262189:DDK262191 DNG262189:DNG262191 DXC262189:DXC262191 EGY262189:EGY262191 EQU262189:EQU262191 FAQ262189:FAQ262191 FKM262189:FKM262191 FUI262189:FUI262191 GEE262189:GEE262191 GOA262189:GOA262191 GXW262189:GXW262191 HHS262189:HHS262191 HRO262189:HRO262191 IBK262189:IBK262191 ILG262189:ILG262191 IVC262189:IVC262191 JEY262189:JEY262191 JOU262189:JOU262191 JYQ262189:JYQ262191 KIM262189:KIM262191 KSI262189:KSI262191 LCE262189:LCE262191 LMA262189:LMA262191 LVW262189:LVW262191 MFS262189:MFS262191 MPO262189:MPO262191 MZK262189:MZK262191 NJG262189:NJG262191 NTC262189:NTC262191 OCY262189:OCY262191 OMU262189:OMU262191 OWQ262189:OWQ262191 PGM262189:PGM262191 PQI262189:PQI262191 QAE262189:QAE262191 QKA262189:QKA262191 QTW262189:QTW262191 RDS262189:RDS262191 RNO262189:RNO262191 RXK262189:RXK262191 SHG262189:SHG262191 SRC262189:SRC262191 TAY262189:TAY262191 TKU262189:TKU262191 TUQ262189:TUQ262191 UEM262189:UEM262191 UOI262189:UOI262191 UYE262189:UYE262191 VIA262189:VIA262191 VRW262189:VRW262191 WBS262189:WBS262191 WLO262189:WLO262191 WVK262189:WVK262191 C327725:C327727 IY327725:IY327727 SU327725:SU327727 ACQ327725:ACQ327727 AMM327725:AMM327727 AWI327725:AWI327727 BGE327725:BGE327727 BQA327725:BQA327727 BZW327725:BZW327727 CJS327725:CJS327727 CTO327725:CTO327727 DDK327725:DDK327727 DNG327725:DNG327727 DXC327725:DXC327727 EGY327725:EGY327727 EQU327725:EQU327727 FAQ327725:FAQ327727 FKM327725:FKM327727 FUI327725:FUI327727 GEE327725:GEE327727 GOA327725:GOA327727 GXW327725:GXW327727 HHS327725:HHS327727 HRO327725:HRO327727 IBK327725:IBK327727 ILG327725:ILG327727 IVC327725:IVC327727 JEY327725:JEY327727 JOU327725:JOU327727 JYQ327725:JYQ327727 KIM327725:KIM327727 KSI327725:KSI327727 LCE327725:LCE327727 LMA327725:LMA327727 LVW327725:LVW327727 MFS327725:MFS327727 MPO327725:MPO327727 MZK327725:MZK327727 NJG327725:NJG327727 NTC327725:NTC327727 OCY327725:OCY327727 OMU327725:OMU327727 OWQ327725:OWQ327727 PGM327725:PGM327727 PQI327725:PQI327727 QAE327725:QAE327727 QKA327725:QKA327727 QTW327725:QTW327727 RDS327725:RDS327727 RNO327725:RNO327727 RXK327725:RXK327727 SHG327725:SHG327727 SRC327725:SRC327727 TAY327725:TAY327727 TKU327725:TKU327727 TUQ327725:TUQ327727 UEM327725:UEM327727 UOI327725:UOI327727 UYE327725:UYE327727 VIA327725:VIA327727 VRW327725:VRW327727 WBS327725:WBS327727 WLO327725:WLO327727 WVK327725:WVK327727 C393261:C393263 IY393261:IY393263 SU393261:SU393263 ACQ393261:ACQ393263 AMM393261:AMM393263 AWI393261:AWI393263 BGE393261:BGE393263 BQA393261:BQA393263 BZW393261:BZW393263 CJS393261:CJS393263 CTO393261:CTO393263 DDK393261:DDK393263 DNG393261:DNG393263 DXC393261:DXC393263 EGY393261:EGY393263 EQU393261:EQU393263 FAQ393261:FAQ393263 FKM393261:FKM393263 FUI393261:FUI393263 GEE393261:GEE393263 GOA393261:GOA393263 GXW393261:GXW393263 HHS393261:HHS393263 HRO393261:HRO393263 IBK393261:IBK393263 ILG393261:ILG393263 IVC393261:IVC393263 JEY393261:JEY393263 JOU393261:JOU393263 JYQ393261:JYQ393263 KIM393261:KIM393263 KSI393261:KSI393263 LCE393261:LCE393263 LMA393261:LMA393263 LVW393261:LVW393263 MFS393261:MFS393263 MPO393261:MPO393263 MZK393261:MZK393263 NJG393261:NJG393263 NTC393261:NTC393263 OCY393261:OCY393263 OMU393261:OMU393263 OWQ393261:OWQ393263 PGM393261:PGM393263 PQI393261:PQI393263 QAE393261:QAE393263 QKA393261:QKA393263 QTW393261:QTW393263 RDS393261:RDS393263 RNO393261:RNO393263 RXK393261:RXK393263 SHG393261:SHG393263 SRC393261:SRC393263 TAY393261:TAY393263 TKU393261:TKU393263 TUQ393261:TUQ393263 UEM393261:UEM393263 UOI393261:UOI393263 UYE393261:UYE393263 VIA393261:VIA393263 VRW393261:VRW393263 WBS393261:WBS393263 WLO393261:WLO393263 WVK393261:WVK393263 C458797:C458799 IY458797:IY458799 SU458797:SU458799 ACQ458797:ACQ458799 AMM458797:AMM458799 AWI458797:AWI458799 BGE458797:BGE458799 BQA458797:BQA458799 BZW458797:BZW458799 CJS458797:CJS458799 CTO458797:CTO458799 DDK458797:DDK458799 DNG458797:DNG458799 DXC458797:DXC458799 EGY458797:EGY458799 EQU458797:EQU458799 FAQ458797:FAQ458799 FKM458797:FKM458799 FUI458797:FUI458799 GEE458797:GEE458799 GOA458797:GOA458799 GXW458797:GXW458799 HHS458797:HHS458799 HRO458797:HRO458799 IBK458797:IBK458799 ILG458797:ILG458799 IVC458797:IVC458799 JEY458797:JEY458799 JOU458797:JOU458799 JYQ458797:JYQ458799 KIM458797:KIM458799 KSI458797:KSI458799 LCE458797:LCE458799 LMA458797:LMA458799 LVW458797:LVW458799 MFS458797:MFS458799 MPO458797:MPO458799 MZK458797:MZK458799 NJG458797:NJG458799 NTC458797:NTC458799 OCY458797:OCY458799 OMU458797:OMU458799 OWQ458797:OWQ458799 PGM458797:PGM458799 PQI458797:PQI458799 QAE458797:QAE458799 QKA458797:QKA458799 QTW458797:QTW458799 RDS458797:RDS458799 RNO458797:RNO458799 RXK458797:RXK458799 SHG458797:SHG458799 SRC458797:SRC458799 TAY458797:TAY458799 TKU458797:TKU458799 TUQ458797:TUQ458799 UEM458797:UEM458799 UOI458797:UOI458799 UYE458797:UYE458799 VIA458797:VIA458799 VRW458797:VRW458799 WBS458797:WBS458799 WLO458797:WLO458799 WVK458797:WVK458799 C524333:C524335 IY524333:IY524335 SU524333:SU524335 ACQ524333:ACQ524335 AMM524333:AMM524335 AWI524333:AWI524335 BGE524333:BGE524335 BQA524333:BQA524335 BZW524333:BZW524335 CJS524333:CJS524335 CTO524333:CTO524335 DDK524333:DDK524335 DNG524333:DNG524335 DXC524333:DXC524335 EGY524333:EGY524335 EQU524333:EQU524335 FAQ524333:FAQ524335 FKM524333:FKM524335 FUI524333:FUI524335 GEE524333:GEE524335 GOA524333:GOA524335 GXW524333:GXW524335 HHS524333:HHS524335 HRO524333:HRO524335 IBK524333:IBK524335 ILG524333:ILG524335 IVC524333:IVC524335 JEY524333:JEY524335 JOU524333:JOU524335 JYQ524333:JYQ524335 KIM524333:KIM524335 KSI524333:KSI524335 LCE524333:LCE524335 LMA524333:LMA524335 LVW524333:LVW524335 MFS524333:MFS524335 MPO524333:MPO524335 MZK524333:MZK524335 NJG524333:NJG524335 NTC524333:NTC524335 OCY524333:OCY524335 OMU524333:OMU524335 OWQ524333:OWQ524335 PGM524333:PGM524335 PQI524333:PQI524335 QAE524333:QAE524335 QKA524333:QKA524335 QTW524333:QTW524335 RDS524333:RDS524335 RNO524333:RNO524335 RXK524333:RXK524335 SHG524333:SHG524335 SRC524333:SRC524335 TAY524333:TAY524335 TKU524333:TKU524335 TUQ524333:TUQ524335 UEM524333:UEM524335 UOI524333:UOI524335 UYE524333:UYE524335 VIA524333:VIA524335 VRW524333:VRW524335 WBS524333:WBS524335 WLO524333:WLO524335 WVK524333:WVK524335 C589869:C589871 IY589869:IY589871 SU589869:SU589871 ACQ589869:ACQ589871 AMM589869:AMM589871 AWI589869:AWI589871 BGE589869:BGE589871 BQA589869:BQA589871 BZW589869:BZW589871 CJS589869:CJS589871 CTO589869:CTO589871 DDK589869:DDK589871 DNG589869:DNG589871 DXC589869:DXC589871 EGY589869:EGY589871 EQU589869:EQU589871 FAQ589869:FAQ589871 FKM589869:FKM589871 FUI589869:FUI589871 GEE589869:GEE589871 GOA589869:GOA589871 GXW589869:GXW589871 HHS589869:HHS589871 HRO589869:HRO589871 IBK589869:IBK589871 ILG589869:ILG589871 IVC589869:IVC589871 JEY589869:JEY589871 JOU589869:JOU589871 JYQ589869:JYQ589871 KIM589869:KIM589871 KSI589869:KSI589871 LCE589869:LCE589871 LMA589869:LMA589871 LVW589869:LVW589871 MFS589869:MFS589871 MPO589869:MPO589871 MZK589869:MZK589871 NJG589869:NJG589871 NTC589869:NTC589871 OCY589869:OCY589871 OMU589869:OMU589871 OWQ589869:OWQ589871 PGM589869:PGM589871 PQI589869:PQI589871 QAE589869:QAE589871 QKA589869:QKA589871 QTW589869:QTW589871 RDS589869:RDS589871 RNO589869:RNO589871 RXK589869:RXK589871 SHG589869:SHG589871 SRC589869:SRC589871 TAY589869:TAY589871 TKU589869:TKU589871 TUQ589869:TUQ589871 UEM589869:UEM589871 UOI589869:UOI589871 UYE589869:UYE589871 VIA589869:VIA589871 VRW589869:VRW589871 WBS589869:WBS589871 WLO589869:WLO589871 WVK589869:WVK589871 C655405:C655407 IY655405:IY655407 SU655405:SU655407 ACQ655405:ACQ655407 AMM655405:AMM655407 AWI655405:AWI655407 BGE655405:BGE655407 BQA655405:BQA655407 BZW655405:BZW655407 CJS655405:CJS655407 CTO655405:CTO655407 DDK655405:DDK655407 DNG655405:DNG655407 DXC655405:DXC655407 EGY655405:EGY655407 EQU655405:EQU655407 FAQ655405:FAQ655407 FKM655405:FKM655407 FUI655405:FUI655407 GEE655405:GEE655407 GOA655405:GOA655407 GXW655405:GXW655407 HHS655405:HHS655407 HRO655405:HRO655407 IBK655405:IBK655407 ILG655405:ILG655407 IVC655405:IVC655407 JEY655405:JEY655407 JOU655405:JOU655407 JYQ655405:JYQ655407 KIM655405:KIM655407 KSI655405:KSI655407 LCE655405:LCE655407 LMA655405:LMA655407 LVW655405:LVW655407 MFS655405:MFS655407 MPO655405:MPO655407 MZK655405:MZK655407 NJG655405:NJG655407 NTC655405:NTC655407 OCY655405:OCY655407 OMU655405:OMU655407 OWQ655405:OWQ655407 PGM655405:PGM655407 PQI655405:PQI655407 QAE655405:QAE655407 QKA655405:QKA655407 QTW655405:QTW655407 RDS655405:RDS655407 RNO655405:RNO655407 RXK655405:RXK655407 SHG655405:SHG655407 SRC655405:SRC655407 TAY655405:TAY655407 TKU655405:TKU655407 TUQ655405:TUQ655407 UEM655405:UEM655407 UOI655405:UOI655407 UYE655405:UYE655407 VIA655405:VIA655407 VRW655405:VRW655407 WBS655405:WBS655407 WLO655405:WLO655407 WVK655405:WVK655407 C720941:C720943 IY720941:IY720943 SU720941:SU720943 ACQ720941:ACQ720943 AMM720941:AMM720943 AWI720941:AWI720943 BGE720941:BGE720943 BQA720941:BQA720943 BZW720941:BZW720943 CJS720941:CJS720943 CTO720941:CTO720943 DDK720941:DDK720943 DNG720941:DNG720943 DXC720941:DXC720943 EGY720941:EGY720943 EQU720941:EQU720943 FAQ720941:FAQ720943 FKM720941:FKM720943 FUI720941:FUI720943 GEE720941:GEE720943 GOA720941:GOA720943 GXW720941:GXW720943 HHS720941:HHS720943 HRO720941:HRO720943 IBK720941:IBK720943 ILG720941:ILG720943 IVC720941:IVC720943 JEY720941:JEY720943 JOU720941:JOU720943 JYQ720941:JYQ720943 KIM720941:KIM720943 KSI720941:KSI720943 LCE720941:LCE720943 LMA720941:LMA720943 LVW720941:LVW720943 MFS720941:MFS720943 MPO720941:MPO720943 MZK720941:MZK720943 NJG720941:NJG720943 NTC720941:NTC720943 OCY720941:OCY720943 OMU720941:OMU720943 OWQ720941:OWQ720943 PGM720941:PGM720943 PQI720941:PQI720943 QAE720941:QAE720943 QKA720941:QKA720943 QTW720941:QTW720943 RDS720941:RDS720943 RNO720941:RNO720943 RXK720941:RXK720943 SHG720941:SHG720943 SRC720941:SRC720943 TAY720941:TAY720943 TKU720941:TKU720943 TUQ720941:TUQ720943 UEM720941:UEM720943 UOI720941:UOI720943 UYE720941:UYE720943 VIA720941:VIA720943 VRW720941:VRW720943 WBS720941:WBS720943 WLO720941:WLO720943 WVK720941:WVK720943 C786477:C786479 IY786477:IY786479 SU786477:SU786479 ACQ786477:ACQ786479 AMM786477:AMM786479 AWI786477:AWI786479 BGE786477:BGE786479 BQA786477:BQA786479 BZW786477:BZW786479 CJS786477:CJS786479 CTO786477:CTO786479 DDK786477:DDK786479 DNG786477:DNG786479 DXC786477:DXC786479 EGY786477:EGY786479 EQU786477:EQU786479 FAQ786477:FAQ786479 FKM786477:FKM786479 FUI786477:FUI786479 GEE786477:GEE786479 GOA786477:GOA786479 GXW786477:GXW786479 HHS786477:HHS786479 HRO786477:HRO786479 IBK786477:IBK786479 ILG786477:ILG786479 IVC786477:IVC786479 JEY786477:JEY786479 JOU786477:JOU786479 JYQ786477:JYQ786479 KIM786477:KIM786479 KSI786477:KSI786479 LCE786477:LCE786479 LMA786477:LMA786479 LVW786477:LVW786479 MFS786477:MFS786479 MPO786477:MPO786479 MZK786477:MZK786479 NJG786477:NJG786479 NTC786477:NTC786479 OCY786477:OCY786479 OMU786477:OMU786479 OWQ786477:OWQ786479 PGM786477:PGM786479 PQI786477:PQI786479 QAE786477:QAE786479 QKA786477:QKA786479 QTW786477:QTW786479 RDS786477:RDS786479 RNO786477:RNO786479 RXK786477:RXK786479 SHG786477:SHG786479 SRC786477:SRC786479 TAY786477:TAY786479 TKU786477:TKU786479 TUQ786477:TUQ786479 UEM786477:UEM786479 UOI786477:UOI786479 UYE786477:UYE786479 VIA786477:VIA786479 VRW786477:VRW786479 WBS786477:WBS786479 WLO786477:WLO786479 WVK786477:WVK786479 C852013:C852015 IY852013:IY852015 SU852013:SU852015 ACQ852013:ACQ852015 AMM852013:AMM852015 AWI852013:AWI852015 BGE852013:BGE852015 BQA852013:BQA852015 BZW852013:BZW852015 CJS852013:CJS852015 CTO852013:CTO852015 DDK852013:DDK852015 DNG852013:DNG852015 DXC852013:DXC852015 EGY852013:EGY852015 EQU852013:EQU852015 FAQ852013:FAQ852015 FKM852013:FKM852015 FUI852013:FUI852015 GEE852013:GEE852015 GOA852013:GOA852015 GXW852013:GXW852015 HHS852013:HHS852015 HRO852013:HRO852015 IBK852013:IBK852015 ILG852013:ILG852015 IVC852013:IVC852015 JEY852013:JEY852015 JOU852013:JOU852015 JYQ852013:JYQ852015 KIM852013:KIM852015 KSI852013:KSI852015 LCE852013:LCE852015 LMA852013:LMA852015 LVW852013:LVW852015 MFS852013:MFS852015 MPO852013:MPO852015 MZK852013:MZK852015 NJG852013:NJG852015 NTC852013:NTC852015 OCY852013:OCY852015 OMU852013:OMU852015 OWQ852013:OWQ852015 PGM852013:PGM852015 PQI852013:PQI852015 QAE852013:QAE852015 QKA852013:QKA852015 QTW852013:QTW852015 RDS852013:RDS852015 RNO852013:RNO852015 RXK852013:RXK852015 SHG852013:SHG852015 SRC852013:SRC852015 TAY852013:TAY852015 TKU852013:TKU852015 TUQ852013:TUQ852015 UEM852013:UEM852015 UOI852013:UOI852015 UYE852013:UYE852015 VIA852013:VIA852015 VRW852013:VRW852015 WBS852013:WBS852015 WLO852013:WLO852015 WVK852013:WVK852015 C917549:C917551 IY917549:IY917551 SU917549:SU917551 ACQ917549:ACQ917551 AMM917549:AMM917551 AWI917549:AWI917551 BGE917549:BGE917551 BQA917549:BQA917551 BZW917549:BZW917551 CJS917549:CJS917551 CTO917549:CTO917551 DDK917549:DDK917551 DNG917549:DNG917551 DXC917549:DXC917551 EGY917549:EGY917551 EQU917549:EQU917551 FAQ917549:FAQ917551 FKM917549:FKM917551 FUI917549:FUI917551 GEE917549:GEE917551 GOA917549:GOA917551 GXW917549:GXW917551 HHS917549:HHS917551 HRO917549:HRO917551 IBK917549:IBK917551 ILG917549:ILG917551 IVC917549:IVC917551 JEY917549:JEY917551 JOU917549:JOU917551 JYQ917549:JYQ917551 KIM917549:KIM917551 KSI917549:KSI917551 LCE917549:LCE917551 LMA917549:LMA917551 LVW917549:LVW917551 MFS917549:MFS917551 MPO917549:MPO917551 MZK917549:MZK917551 NJG917549:NJG917551 NTC917549:NTC917551 OCY917549:OCY917551 OMU917549:OMU917551 OWQ917549:OWQ917551 PGM917549:PGM917551 PQI917549:PQI917551 QAE917549:QAE917551 QKA917549:QKA917551 QTW917549:QTW917551 RDS917549:RDS917551 RNO917549:RNO917551 RXK917549:RXK917551 SHG917549:SHG917551 SRC917549:SRC917551 TAY917549:TAY917551 TKU917549:TKU917551 TUQ917549:TUQ917551 UEM917549:UEM917551 UOI917549:UOI917551 UYE917549:UYE917551 VIA917549:VIA917551 VRW917549:VRW917551 WBS917549:WBS917551 WLO917549:WLO917551 WVK917549:WVK917551 C983085:C983087 IY983085:IY983087 SU983085:SU983087 ACQ983085:ACQ983087 AMM983085:AMM983087 AWI983085:AWI983087 BGE983085:BGE983087 BQA983085:BQA983087 BZW983085:BZW983087 CJS983085:CJS983087 CTO983085:CTO983087 DDK983085:DDK983087 DNG983085:DNG983087 DXC983085:DXC983087 EGY983085:EGY983087 EQU983085:EQU983087 FAQ983085:FAQ983087 FKM983085:FKM983087 FUI983085:FUI983087 GEE983085:GEE983087 GOA983085:GOA983087 GXW983085:GXW983087 HHS983085:HHS983087 HRO983085:HRO983087 IBK983085:IBK983087 ILG983085:ILG983087 IVC983085:IVC983087 JEY983085:JEY983087 JOU983085:JOU983087 JYQ983085:JYQ983087 KIM983085:KIM983087 KSI983085:KSI983087 LCE983085:LCE983087 LMA983085:LMA983087 LVW983085:LVW983087 MFS983085:MFS983087 MPO983085:MPO983087 MZK983085:MZK983087 NJG983085:NJG983087 NTC983085:NTC983087 OCY983085:OCY983087 OMU983085:OMU983087 OWQ983085:OWQ983087 PGM983085:PGM983087 PQI983085:PQI983087 QAE983085:QAE983087 QKA983085:QKA983087 QTW983085:QTW983087 RDS983085:RDS983087 RNO983085:RNO983087 RXK983085:RXK983087 SHG983085:SHG983087 SRC983085:SRC983087 TAY983085:TAY983087 TKU983085:TKU983087 TUQ983085:TUQ983087 UEM983085:UEM983087 UOI983085:UOI983087 UYE983085:UYE983087 VIA983085:VIA983087 VRW983085:VRW983087 WBS983085:WBS983087 WLO983085:WLO983087 WVK983085:WVK983087">
      <formula1>"Académique, Professionnel, Associatif, Autre"</formula1>
    </dataValidation>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3 IY65533 SU65533 ACQ65533 AMM65533 AWI65533 BGE65533 BQA65533 BZW65533 CJS65533 CTO65533 DDK65533 DNG65533 DXC65533 EGY65533 EQU65533 FAQ65533 FKM65533 FUI65533 GEE65533 GOA65533 GXW65533 HHS65533 HRO65533 IBK65533 ILG65533 IVC65533 JEY65533 JOU65533 JYQ65533 KIM65533 KSI65533 LCE65533 LMA65533 LVW65533 MFS65533 MPO65533 MZK65533 NJG65533 NTC65533 OCY65533 OMU65533 OWQ65533 PGM65533 PQI65533 QAE65533 QKA65533 QTW65533 RDS65533 RNO65533 RXK65533 SHG65533 SRC65533 TAY65533 TKU65533 TUQ65533 UEM65533 UOI65533 UYE65533 VIA65533 VRW65533 WBS65533 WLO65533 WVK65533 C131069 IY131069 SU131069 ACQ131069 AMM131069 AWI131069 BGE131069 BQA131069 BZW131069 CJS131069 CTO131069 DDK131069 DNG131069 DXC131069 EGY131069 EQU131069 FAQ131069 FKM131069 FUI131069 GEE131069 GOA131069 GXW131069 HHS131069 HRO131069 IBK131069 ILG131069 IVC131069 JEY131069 JOU131069 JYQ131069 KIM131069 KSI131069 LCE131069 LMA131069 LVW131069 MFS131069 MPO131069 MZK131069 NJG131069 NTC131069 OCY131069 OMU131069 OWQ131069 PGM131069 PQI131069 QAE131069 QKA131069 QTW131069 RDS131069 RNO131069 RXK131069 SHG131069 SRC131069 TAY131069 TKU131069 TUQ131069 UEM131069 UOI131069 UYE131069 VIA131069 VRW131069 WBS131069 WLO131069 WVK131069 C196605 IY196605 SU196605 ACQ196605 AMM196605 AWI196605 BGE196605 BQA196605 BZW196605 CJS196605 CTO196605 DDK196605 DNG196605 DXC196605 EGY196605 EQU196605 FAQ196605 FKM196605 FUI196605 GEE196605 GOA196605 GXW196605 HHS196605 HRO196605 IBK196605 ILG196605 IVC196605 JEY196605 JOU196605 JYQ196605 KIM196605 KSI196605 LCE196605 LMA196605 LVW196605 MFS196605 MPO196605 MZK196605 NJG196605 NTC196605 OCY196605 OMU196605 OWQ196605 PGM196605 PQI196605 QAE196605 QKA196605 QTW196605 RDS196605 RNO196605 RXK196605 SHG196605 SRC196605 TAY196605 TKU196605 TUQ196605 UEM196605 UOI196605 UYE196605 VIA196605 VRW196605 WBS196605 WLO196605 WVK196605 C262141 IY262141 SU262141 ACQ262141 AMM262141 AWI262141 BGE262141 BQA262141 BZW262141 CJS262141 CTO262141 DDK262141 DNG262141 DXC262141 EGY262141 EQU262141 FAQ262141 FKM262141 FUI262141 GEE262141 GOA262141 GXW262141 HHS262141 HRO262141 IBK262141 ILG262141 IVC262141 JEY262141 JOU262141 JYQ262141 KIM262141 KSI262141 LCE262141 LMA262141 LVW262141 MFS262141 MPO262141 MZK262141 NJG262141 NTC262141 OCY262141 OMU262141 OWQ262141 PGM262141 PQI262141 QAE262141 QKA262141 QTW262141 RDS262141 RNO262141 RXK262141 SHG262141 SRC262141 TAY262141 TKU262141 TUQ262141 UEM262141 UOI262141 UYE262141 VIA262141 VRW262141 WBS262141 WLO262141 WVK262141 C327677 IY327677 SU327677 ACQ327677 AMM327677 AWI327677 BGE327677 BQA327677 BZW327677 CJS327677 CTO327677 DDK327677 DNG327677 DXC327677 EGY327677 EQU327677 FAQ327677 FKM327677 FUI327677 GEE327677 GOA327677 GXW327677 HHS327677 HRO327677 IBK327677 ILG327677 IVC327677 JEY327677 JOU327677 JYQ327677 KIM327677 KSI327677 LCE327677 LMA327677 LVW327677 MFS327677 MPO327677 MZK327677 NJG327677 NTC327677 OCY327677 OMU327677 OWQ327677 PGM327677 PQI327677 QAE327677 QKA327677 QTW327677 RDS327677 RNO327677 RXK327677 SHG327677 SRC327677 TAY327677 TKU327677 TUQ327677 UEM327677 UOI327677 UYE327677 VIA327677 VRW327677 WBS327677 WLO327677 WVK327677 C393213 IY393213 SU393213 ACQ393213 AMM393213 AWI393213 BGE393213 BQA393213 BZW393213 CJS393213 CTO393213 DDK393213 DNG393213 DXC393213 EGY393213 EQU393213 FAQ393213 FKM393213 FUI393213 GEE393213 GOA393213 GXW393213 HHS393213 HRO393213 IBK393213 ILG393213 IVC393213 JEY393213 JOU393213 JYQ393213 KIM393213 KSI393213 LCE393213 LMA393213 LVW393213 MFS393213 MPO393213 MZK393213 NJG393213 NTC393213 OCY393213 OMU393213 OWQ393213 PGM393213 PQI393213 QAE393213 QKA393213 QTW393213 RDS393213 RNO393213 RXK393213 SHG393213 SRC393213 TAY393213 TKU393213 TUQ393213 UEM393213 UOI393213 UYE393213 VIA393213 VRW393213 WBS393213 WLO393213 WVK393213 C458749 IY458749 SU458749 ACQ458749 AMM458749 AWI458749 BGE458749 BQA458749 BZW458749 CJS458749 CTO458749 DDK458749 DNG458749 DXC458749 EGY458749 EQU458749 FAQ458749 FKM458749 FUI458749 GEE458749 GOA458749 GXW458749 HHS458749 HRO458749 IBK458749 ILG458749 IVC458749 JEY458749 JOU458749 JYQ458749 KIM458749 KSI458749 LCE458749 LMA458749 LVW458749 MFS458749 MPO458749 MZK458749 NJG458749 NTC458749 OCY458749 OMU458749 OWQ458749 PGM458749 PQI458749 QAE458749 QKA458749 QTW458749 RDS458749 RNO458749 RXK458749 SHG458749 SRC458749 TAY458749 TKU458749 TUQ458749 UEM458749 UOI458749 UYE458749 VIA458749 VRW458749 WBS458749 WLO458749 WVK458749 C524285 IY524285 SU524285 ACQ524285 AMM524285 AWI524285 BGE524285 BQA524285 BZW524285 CJS524285 CTO524285 DDK524285 DNG524285 DXC524285 EGY524285 EQU524285 FAQ524285 FKM524285 FUI524285 GEE524285 GOA524285 GXW524285 HHS524285 HRO524285 IBK524285 ILG524285 IVC524285 JEY524285 JOU524285 JYQ524285 KIM524285 KSI524285 LCE524285 LMA524285 LVW524285 MFS524285 MPO524285 MZK524285 NJG524285 NTC524285 OCY524285 OMU524285 OWQ524285 PGM524285 PQI524285 QAE524285 QKA524285 QTW524285 RDS524285 RNO524285 RXK524285 SHG524285 SRC524285 TAY524285 TKU524285 TUQ524285 UEM524285 UOI524285 UYE524285 VIA524285 VRW524285 WBS524285 WLO524285 WVK524285 C589821 IY589821 SU589821 ACQ589821 AMM589821 AWI589821 BGE589821 BQA589821 BZW589821 CJS589821 CTO589821 DDK589821 DNG589821 DXC589821 EGY589821 EQU589821 FAQ589821 FKM589821 FUI589821 GEE589821 GOA589821 GXW589821 HHS589821 HRO589821 IBK589821 ILG589821 IVC589821 JEY589821 JOU589821 JYQ589821 KIM589821 KSI589821 LCE589821 LMA589821 LVW589821 MFS589821 MPO589821 MZK589821 NJG589821 NTC589821 OCY589821 OMU589821 OWQ589821 PGM589821 PQI589821 QAE589821 QKA589821 QTW589821 RDS589821 RNO589821 RXK589821 SHG589821 SRC589821 TAY589821 TKU589821 TUQ589821 UEM589821 UOI589821 UYE589821 VIA589821 VRW589821 WBS589821 WLO589821 WVK589821 C655357 IY655357 SU655357 ACQ655357 AMM655357 AWI655357 BGE655357 BQA655357 BZW655357 CJS655357 CTO655357 DDK655357 DNG655357 DXC655357 EGY655357 EQU655357 FAQ655357 FKM655357 FUI655357 GEE655357 GOA655357 GXW655357 HHS655357 HRO655357 IBK655357 ILG655357 IVC655357 JEY655357 JOU655357 JYQ655357 KIM655357 KSI655357 LCE655357 LMA655357 LVW655357 MFS655357 MPO655357 MZK655357 NJG655357 NTC655357 OCY655357 OMU655357 OWQ655357 PGM655357 PQI655357 QAE655357 QKA655357 QTW655357 RDS655357 RNO655357 RXK655357 SHG655357 SRC655357 TAY655357 TKU655357 TUQ655357 UEM655357 UOI655357 UYE655357 VIA655357 VRW655357 WBS655357 WLO655357 WVK655357 C720893 IY720893 SU720893 ACQ720893 AMM720893 AWI720893 BGE720893 BQA720893 BZW720893 CJS720893 CTO720893 DDK720893 DNG720893 DXC720893 EGY720893 EQU720893 FAQ720893 FKM720893 FUI720893 GEE720893 GOA720893 GXW720893 HHS720893 HRO720893 IBK720893 ILG720893 IVC720893 JEY720893 JOU720893 JYQ720893 KIM720893 KSI720893 LCE720893 LMA720893 LVW720893 MFS720893 MPO720893 MZK720893 NJG720893 NTC720893 OCY720893 OMU720893 OWQ720893 PGM720893 PQI720893 QAE720893 QKA720893 QTW720893 RDS720893 RNO720893 RXK720893 SHG720893 SRC720893 TAY720893 TKU720893 TUQ720893 UEM720893 UOI720893 UYE720893 VIA720893 VRW720893 WBS720893 WLO720893 WVK720893 C786429 IY786429 SU786429 ACQ786429 AMM786429 AWI786429 BGE786429 BQA786429 BZW786429 CJS786429 CTO786429 DDK786429 DNG786429 DXC786429 EGY786429 EQU786429 FAQ786429 FKM786429 FUI786429 GEE786429 GOA786429 GXW786429 HHS786429 HRO786429 IBK786429 ILG786429 IVC786429 JEY786429 JOU786429 JYQ786429 KIM786429 KSI786429 LCE786429 LMA786429 LVW786429 MFS786429 MPO786429 MZK786429 NJG786429 NTC786429 OCY786429 OMU786429 OWQ786429 PGM786429 PQI786429 QAE786429 QKA786429 QTW786429 RDS786429 RNO786429 RXK786429 SHG786429 SRC786429 TAY786429 TKU786429 TUQ786429 UEM786429 UOI786429 UYE786429 VIA786429 VRW786429 WBS786429 WLO786429 WVK786429 C851965 IY851965 SU851965 ACQ851965 AMM851965 AWI851965 BGE851965 BQA851965 BZW851965 CJS851965 CTO851965 DDK851965 DNG851965 DXC851965 EGY851965 EQU851965 FAQ851965 FKM851965 FUI851965 GEE851965 GOA851965 GXW851965 HHS851965 HRO851965 IBK851965 ILG851965 IVC851965 JEY851965 JOU851965 JYQ851965 KIM851965 KSI851965 LCE851965 LMA851965 LVW851965 MFS851965 MPO851965 MZK851965 NJG851965 NTC851965 OCY851965 OMU851965 OWQ851965 PGM851965 PQI851965 QAE851965 QKA851965 QTW851965 RDS851965 RNO851965 RXK851965 SHG851965 SRC851965 TAY851965 TKU851965 TUQ851965 UEM851965 UOI851965 UYE851965 VIA851965 VRW851965 WBS851965 WLO851965 WVK851965 C917501 IY917501 SU917501 ACQ917501 AMM917501 AWI917501 BGE917501 BQA917501 BZW917501 CJS917501 CTO917501 DDK917501 DNG917501 DXC917501 EGY917501 EQU917501 FAQ917501 FKM917501 FUI917501 GEE917501 GOA917501 GXW917501 HHS917501 HRO917501 IBK917501 ILG917501 IVC917501 JEY917501 JOU917501 JYQ917501 KIM917501 KSI917501 LCE917501 LMA917501 LVW917501 MFS917501 MPO917501 MZK917501 NJG917501 NTC917501 OCY917501 OMU917501 OWQ917501 PGM917501 PQI917501 QAE917501 QKA917501 QTW917501 RDS917501 RNO917501 RXK917501 SHG917501 SRC917501 TAY917501 TKU917501 TUQ917501 UEM917501 UOI917501 UYE917501 VIA917501 VRW917501 WBS917501 WLO917501 WVK917501 C983037 IY983037 SU983037 ACQ983037 AMM983037 AWI983037 BGE983037 BQA983037 BZW983037 CJS983037 CTO983037 DDK983037 DNG983037 DXC983037 EGY983037 EQU983037 FAQ983037 FKM983037 FUI983037 GEE983037 GOA983037 GXW983037 HHS983037 HRO983037 IBK983037 ILG983037 IVC983037 JEY983037 JOU983037 JYQ983037 KIM983037 KSI983037 LCE983037 LMA983037 LVW983037 MFS983037 MPO983037 MZK983037 NJG983037 NTC983037 OCY983037 OMU983037 OWQ983037 PGM983037 PQI983037 QAE983037 QKA983037 QTW983037 RDS983037 RNO983037 RXK983037 SHG983037 SRC983037 TAY983037 TKU983037 TUQ983037 UEM983037 UOI983037 UYE983037 VIA983037 VRW983037 WBS983037 WLO983037 WVK983037">
      <formula1>"Mise à jour à partir du plan d'études, Nouvelle création"</formula1>
    </dataValidation>
  </dataValidations>
  <hyperlinks>
    <hyperlink ref="B1" location="'Schéma d''enseignement'!G28" display="Schéma d'enseignement"/>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C15"/>
  <sheetViews>
    <sheetView workbookViewId="0">
      <selection activeCell="B12" sqref="B12:B13"/>
    </sheetView>
  </sheetViews>
  <sheetFormatPr baseColWidth="10" defaultColWidth="8.85546875" defaultRowHeight="15" x14ac:dyDescent="0.25"/>
  <cols>
    <col min="1" max="1" width="8.85546875" style="1"/>
    <col min="2" max="2" width="32.140625" style="1" customWidth="1"/>
    <col min="3" max="3" width="50.140625" style="1" customWidth="1"/>
    <col min="4" max="16384" width="8.85546875" style="1"/>
  </cols>
  <sheetData>
    <row r="2" spans="2:3" x14ac:dyDescent="0.25">
      <c r="B2" s="3" t="s">
        <v>1</v>
      </c>
      <c r="C2" s="109" t="s">
        <v>236</v>
      </c>
    </row>
    <row r="4" spans="2:3" x14ac:dyDescent="0.25">
      <c r="B4" s="443" t="s">
        <v>38</v>
      </c>
      <c r="C4" s="443"/>
    </row>
    <row r="5" spans="2:3" x14ac:dyDescent="0.25">
      <c r="B5" s="107" t="s">
        <v>82</v>
      </c>
      <c r="C5" s="107" t="s">
        <v>22</v>
      </c>
    </row>
    <row r="6" spans="2:3" ht="30" x14ac:dyDescent="0.25">
      <c r="B6" s="112" t="s">
        <v>189</v>
      </c>
      <c r="C6" s="20" t="s">
        <v>180</v>
      </c>
    </row>
    <row r="7" spans="2:3" x14ac:dyDescent="0.25">
      <c r="B7" s="534" t="s">
        <v>190</v>
      </c>
      <c r="C7" s="20" t="s">
        <v>181</v>
      </c>
    </row>
    <row r="8" spans="2:3" x14ac:dyDescent="0.25">
      <c r="B8" s="534"/>
      <c r="C8" s="56" t="s">
        <v>182</v>
      </c>
    </row>
    <row r="9" spans="2:3" x14ac:dyDescent="0.25">
      <c r="B9" s="534" t="s">
        <v>191</v>
      </c>
      <c r="C9" s="56" t="s">
        <v>183</v>
      </c>
    </row>
    <row r="10" spans="2:3" x14ac:dyDescent="0.25">
      <c r="B10" s="534"/>
      <c r="C10" s="56" t="s">
        <v>184</v>
      </c>
    </row>
    <row r="11" spans="2:3" x14ac:dyDescent="0.25">
      <c r="B11" s="112" t="s">
        <v>192</v>
      </c>
      <c r="C11" s="57" t="s">
        <v>185</v>
      </c>
    </row>
    <row r="12" spans="2:3" x14ac:dyDescent="0.25">
      <c r="B12" s="534" t="s">
        <v>193</v>
      </c>
      <c r="C12" s="57" t="s">
        <v>676</v>
      </c>
    </row>
    <row r="13" spans="2:3" x14ac:dyDescent="0.25">
      <c r="B13" s="534"/>
      <c r="C13" s="57" t="s">
        <v>186</v>
      </c>
    </row>
    <row r="14" spans="2:3" x14ac:dyDescent="0.25">
      <c r="B14" s="388" t="s">
        <v>179</v>
      </c>
      <c r="C14" s="239" t="s">
        <v>342</v>
      </c>
    </row>
    <row r="15" spans="2:3" x14ac:dyDescent="0.25">
      <c r="B15" s="406"/>
      <c r="C15" s="239" t="s">
        <v>244</v>
      </c>
    </row>
  </sheetData>
  <mergeCells count="5">
    <mergeCell ref="B7:B8"/>
    <mergeCell ref="B12:B13"/>
    <mergeCell ref="B14:B15"/>
    <mergeCell ref="B4:C4"/>
    <mergeCell ref="B9:B10"/>
  </mergeCells>
  <conditionalFormatting sqref="B12">
    <cfRule type="colorScale" priority="2">
      <colorScale>
        <cfvo type="num" val="0"/>
        <cfvo type="num" val="0"/>
        <color rgb="FFFF0000"/>
        <color rgb="FF00B050"/>
      </colorScale>
    </cfRule>
  </conditionalFormatting>
  <conditionalFormatting sqref="C13">
    <cfRule type="colorScale" priority="4">
      <colorScale>
        <cfvo type="num" val="0"/>
        <cfvo type="num" val="0"/>
        <color rgb="FFFF0000"/>
        <color rgb="FF00B050"/>
      </colorScale>
    </cfRule>
  </conditionalFormatting>
  <conditionalFormatting sqref="C11">
    <cfRule type="colorScale" priority="5">
      <colorScale>
        <cfvo type="num" val="0"/>
        <cfvo type="num" val="0"/>
        <color rgb="FFFF0000"/>
        <color rgb="FF00B050"/>
      </colorScale>
    </cfRule>
  </conditionalFormatting>
  <conditionalFormatting sqref="B6:B7 B9">
    <cfRule type="colorScale" priority="3">
      <colorScale>
        <cfvo type="num" val="0"/>
        <cfvo type="num" val="0"/>
        <color rgb="FFFF0000"/>
        <color rgb="FF00B050"/>
      </colorScale>
    </cfRule>
  </conditionalFormatting>
  <conditionalFormatting sqref="C12">
    <cfRule type="colorScale" priority="1">
      <colorScale>
        <cfvo type="num" val="0"/>
        <cfvo type="num" val="0"/>
        <color rgb="FFFF0000"/>
        <color rgb="FF00B050"/>
      </colorScale>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9"/>
  <sheetViews>
    <sheetView zoomScaleNormal="100" workbookViewId="0">
      <selection activeCell="B1" sqref="B1"/>
    </sheetView>
  </sheetViews>
  <sheetFormatPr baseColWidth="10" defaultColWidth="8.85546875" defaultRowHeight="15" x14ac:dyDescent="0.25"/>
  <cols>
    <col min="1" max="1" width="3.7109375" style="1" customWidth="1"/>
    <col min="2" max="2" width="28.42578125" style="1" customWidth="1"/>
    <col min="3" max="3" width="16.7109375" style="1" customWidth="1"/>
    <col min="4" max="4" width="17.28515625" style="1" customWidth="1"/>
    <col min="5" max="5" width="8.85546875" style="1"/>
    <col min="6" max="6" width="30" style="1" customWidth="1"/>
    <col min="7" max="16384" width="8.85546875" style="1"/>
  </cols>
  <sheetData>
    <row r="1" spans="2:6" x14ac:dyDescent="0.25">
      <c r="B1" s="326" t="s">
        <v>692</v>
      </c>
    </row>
    <row r="2" spans="2:6" ht="15.75" x14ac:dyDescent="0.25">
      <c r="B2" s="246" t="s">
        <v>344</v>
      </c>
      <c r="C2" s="247"/>
      <c r="D2" s="247"/>
      <c r="E2" s="247"/>
      <c r="F2" s="247"/>
    </row>
    <row r="4" spans="2:6" ht="15.75" x14ac:dyDescent="0.25">
      <c r="B4" s="248" t="s">
        <v>320</v>
      </c>
      <c r="C4" s="469" t="s">
        <v>319</v>
      </c>
      <c r="D4" s="470"/>
      <c r="E4" s="470"/>
      <c r="F4" s="471"/>
    </row>
    <row r="5" spans="2:6" ht="14.1" customHeight="1" x14ac:dyDescent="0.25">
      <c r="B5" s="250" t="s">
        <v>318</v>
      </c>
      <c r="C5" s="469" t="s">
        <v>457</v>
      </c>
      <c r="D5" s="470"/>
      <c r="E5" s="470"/>
      <c r="F5" s="471"/>
    </row>
    <row r="6" spans="2:6" ht="15.75" x14ac:dyDescent="0.25">
      <c r="B6" s="248" t="s">
        <v>316</v>
      </c>
      <c r="C6" s="469" t="s">
        <v>458</v>
      </c>
      <c r="D6" s="470"/>
      <c r="E6" s="470"/>
      <c r="F6" s="471"/>
    </row>
    <row r="7" spans="2:6" ht="15.75" x14ac:dyDescent="0.25">
      <c r="B7" s="248" t="s">
        <v>314</v>
      </c>
      <c r="C7" s="444" t="s">
        <v>635</v>
      </c>
      <c r="D7" s="444"/>
      <c r="E7" s="444"/>
      <c r="F7" s="444"/>
    </row>
    <row r="8" spans="2:6" ht="15.75" x14ac:dyDescent="0.25">
      <c r="B8" s="248" t="s">
        <v>348</v>
      </c>
      <c r="C8" s="469" t="s">
        <v>699</v>
      </c>
      <c r="D8" s="470"/>
      <c r="E8" s="470"/>
      <c r="F8" s="471"/>
    </row>
    <row r="9" spans="2:6" ht="15.75" x14ac:dyDescent="0.25">
      <c r="B9" s="248" t="s">
        <v>310</v>
      </c>
      <c r="C9" s="469">
        <v>5</v>
      </c>
      <c r="D9" s="470"/>
      <c r="E9" s="470"/>
      <c r="F9" s="471"/>
    </row>
    <row r="11" spans="2:6" ht="15.75" x14ac:dyDescent="0.25">
      <c r="B11" s="475" t="s">
        <v>350</v>
      </c>
      <c r="C11" s="477"/>
      <c r="D11" s="475"/>
      <c r="E11" s="476"/>
      <c r="F11" s="477"/>
    </row>
    <row r="12" spans="2:6" ht="15.75" x14ac:dyDescent="0.25">
      <c r="B12" s="475" t="s">
        <v>304</v>
      </c>
      <c r="C12" s="477"/>
      <c r="D12" s="475" t="s">
        <v>308</v>
      </c>
      <c r="E12" s="476"/>
      <c r="F12" s="477"/>
    </row>
    <row r="13" spans="2:6" ht="15.75" x14ac:dyDescent="0.25">
      <c r="B13" s="483"/>
      <c r="C13" s="484"/>
      <c r="D13" s="469" t="s">
        <v>490</v>
      </c>
      <c r="E13" s="470"/>
      <c r="F13" s="471"/>
    </row>
    <row r="15" spans="2:6" ht="15.75" x14ac:dyDescent="0.25">
      <c r="B15" s="252" t="s">
        <v>300</v>
      </c>
      <c r="C15" s="252" t="s">
        <v>299</v>
      </c>
      <c r="D15" s="252" t="s">
        <v>298</v>
      </c>
      <c r="E15" s="252" t="s">
        <v>297</v>
      </c>
      <c r="F15" s="252" t="s">
        <v>296</v>
      </c>
    </row>
    <row r="16" spans="2:6" ht="36.950000000000003" customHeight="1" x14ac:dyDescent="0.25">
      <c r="B16" s="277" t="s">
        <v>603</v>
      </c>
      <c r="C16" s="254">
        <v>42</v>
      </c>
      <c r="D16" s="254">
        <v>4</v>
      </c>
      <c r="E16" s="254">
        <v>4</v>
      </c>
      <c r="F16" s="254" t="s">
        <v>295</v>
      </c>
    </row>
    <row r="17" spans="2:6" ht="15.75" x14ac:dyDescent="0.25">
      <c r="B17" s="255"/>
      <c r="C17" s="251"/>
      <c r="D17" s="251"/>
      <c r="E17" s="251"/>
      <c r="F17" s="251"/>
    </row>
    <row r="18" spans="2:6" ht="15.75" x14ac:dyDescent="0.25">
      <c r="B18" s="263" t="s">
        <v>293</v>
      </c>
      <c r="C18" s="264"/>
      <c r="D18" s="264"/>
      <c r="E18" s="264"/>
      <c r="F18" s="265"/>
    </row>
    <row r="19" spans="2:6" ht="39.6" customHeight="1" x14ac:dyDescent="0.25">
      <c r="B19" s="449" t="s">
        <v>613</v>
      </c>
      <c r="C19" s="455"/>
      <c r="D19" s="455"/>
      <c r="E19" s="455"/>
      <c r="F19" s="456"/>
    </row>
    <row r="20" spans="2:6" ht="15.75" x14ac:dyDescent="0.25">
      <c r="B20" s="263" t="s">
        <v>292</v>
      </c>
      <c r="C20" s="264"/>
      <c r="D20" s="264"/>
      <c r="E20" s="264"/>
      <c r="F20" s="265"/>
    </row>
    <row r="21" spans="2:6" ht="65.099999999999994" customHeight="1" x14ac:dyDescent="0.25">
      <c r="B21" s="449" t="s">
        <v>604</v>
      </c>
      <c r="C21" s="455"/>
      <c r="D21" s="455"/>
      <c r="E21" s="455"/>
      <c r="F21" s="456"/>
    </row>
    <row r="23" spans="2:6" ht="15.75" x14ac:dyDescent="0.25">
      <c r="B23" s="263" t="s">
        <v>353</v>
      </c>
      <c r="C23" s="264"/>
      <c r="D23" s="264"/>
      <c r="E23" s="264"/>
      <c r="F23" s="265"/>
    </row>
    <row r="24" spans="2:6" ht="15.95" customHeight="1" x14ac:dyDescent="0.25">
      <c r="B24" s="449" t="s">
        <v>605</v>
      </c>
      <c r="C24" s="455"/>
      <c r="D24" s="455"/>
      <c r="E24" s="455"/>
      <c r="F24" s="456"/>
    </row>
    <row r="26" spans="2:6" ht="15.75" x14ac:dyDescent="0.25">
      <c r="B26" s="263" t="s">
        <v>355</v>
      </c>
      <c r="C26" s="264"/>
      <c r="D26" s="264"/>
      <c r="E26" s="264"/>
      <c r="F26" s="265"/>
    </row>
    <row r="27" spans="2:6" ht="15.75" x14ac:dyDescent="0.25">
      <c r="B27" s="266" t="s">
        <v>606</v>
      </c>
      <c r="C27" s="267"/>
      <c r="D27" s="267"/>
      <c r="E27" s="267"/>
      <c r="F27" s="268"/>
    </row>
    <row r="28" spans="2:6" ht="15.75" x14ac:dyDescent="0.25">
      <c r="B28" s="266" t="s">
        <v>607</v>
      </c>
      <c r="C28" s="267"/>
      <c r="D28" s="267"/>
      <c r="E28" s="267"/>
      <c r="F28" s="268"/>
    </row>
    <row r="29" spans="2:6" ht="15.75" x14ac:dyDescent="0.25">
      <c r="B29" s="266" t="s">
        <v>608</v>
      </c>
      <c r="C29" s="267"/>
      <c r="D29" s="267"/>
      <c r="E29" s="267"/>
      <c r="F29" s="268"/>
    </row>
    <row r="31" spans="2:6" ht="15.75" x14ac:dyDescent="0.25">
      <c r="B31" s="263" t="s">
        <v>282</v>
      </c>
      <c r="C31" s="264"/>
      <c r="D31" s="264"/>
      <c r="E31" s="264"/>
      <c r="F31" s="265"/>
    </row>
    <row r="32" spans="2:6" ht="128.1" customHeight="1" x14ac:dyDescent="0.25">
      <c r="B32" s="449" t="s">
        <v>609</v>
      </c>
      <c r="C32" s="455"/>
      <c r="D32" s="455"/>
      <c r="E32" s="455"/>
      <c r="F32" s="456"/>
    </row>
    <row r="33" spans="2:6" ht="15.75" x14ac:dyDescent="0.25">
      <c r="B33" s="258"/>
      <c r="C33" s="257"/>
      <c r="D33" s="257"/>
      <c r="E33" s="257"/>
      <c r="F33" s="257"/>
    </row>
    <row r="34" spans="2:6" ht="15.75" x14ac:dyDescent="0.25">
      <c r="B34" s="263" t="s">
        <v>436</v>
      </c>
      <c r="C34" s="264"/>
      <c r="D34" s="264"/>
      <c r="E34" s="264"/>
      <c r="F34" s="265"/>
    </row>
    <row r="35" spans="2:6" ht="15.75" x14ac:dyDescent="0.25">
      <c r="B35" s="464" t="s">
        <v>465</v>
      </c>
      <c r="C35" s="450"/>
      <c r="D35" s="450"/>
      <c r="E35" s="450"/>
      <c r="F35" s="451"/>
    </row>
    <row r="36" spans="2:6" ht="15.75" x14ac:dyDescent="0.25">
      <c r="B36" s="464" t="s">
        <v>610</v>
      </c>
      <c r="C36" s="450"/>
      <c r="D36" s="450"/>
      <c r="E36" s="450"/>
      <c r="F36" s="451"/>
    </row>
    <row r="37" spans="2:6" ht="15.75" x14ac:dyDescent="0.25">
      <c r="B37" s="464" t="s">
        <v>611</v>
      </c>
      <c r="C37" s="450"/>
      <c r="D37" s="450"/>
      <c r="E37" s="450"/>
      <c r="F37" s="451"/>
    </row>
    <row r="38" spans="2:6" x14ac:dyDescent="0.25">
      <c r="B38" s="245"/>
      <c r="C38" s="245"/>
      <c r="D38" s="245"/>
      <c r="E38" s="245"/>
      <c r="F38" s="245"/>
    </row>
    <row r="39" spans="2:6" ht="15.75" x14ac:dyDescent="0.25">
      <c r="B39" s="263" t="s">
        <v>276</v>
      </c>
      <c r="C39" s="264"/>
      <c r="D39" s="264"/>
      <c r="E39" s="264"/>
      <c r="F39" s="265"/>
    </row>
    <row r="40" spans="2:6" ht="59.45" customHeight="1" x14ac:dyDescent="0.25">
      <c r="B40" s="449" t="s">
        <v>612</v>
      </c>
      <c r="C40" s="455"/>
      <c r="D40" s="455"/>
      <c r="E40" s="455"/>
      <c r="F40" s="456"/>
    </row>
    <row r="42" spans="2:6" ht="14.45" customHeight="1" x14ac:dyDescent="0.25">
      <c r="B42" s="501" t="s">
        <v>274</v>
      </c>
      <c r="C42" s="502"/>
      <c r="D42" s="502"/>
      <c r="E42" s="502"/>
      <c r="F42" s="503"/>
    </row>
    <row r="43" spans="2:6" ht="15.75" x14ac:dyDescent="0.25">
      <c r="B43" s="259" t="s">
        <v>273</v>
      </c>
      <c r="C43" s="259" t="s">
        <v>272</v>
      </c>
      <c r="D43" s="263" t="s">
        <v>271</v>
      </c>
      <c r="E43" s="264"/>
      <c r="F43" s="265"/>
    </row>
    <row r="44" spans="2:6" ht="15.75" x14ac:dyDescent="0.25">
      <c r="B44" s="260"/>
      <c r="C44" s="260"/>
      <c r="D44" s="273"/>
      <c r="E44" s="274"/>
      <c r="F44" s="275"/>
    </row>
    <row r="45" spans="2:6" ht="15.75" x14ac:dyDescent="0.25">
      <c r="B45" s="260"/>
      <c r="C45" s="260"/>
      <c r="D45" s="273"/>
      <c r="E45" s="274"/>
      <c r="F45" s="275"/>
    </row>
    <row r="46" spans="2:6" ht="15.75" x14ac:dyDescent="0.25">
      <c r="B46" s="249"/>
      <c r="C46" s="249"/>
      <c r="D46" s="273"/>
      <c r="E46" s="274"/>
      <c r="F46" s="275"/>
    </row>
    <row r="47" spans="2:6" x14ac:dyDescent="0.25">
      <c r="B47" s="245"/>
      <c r="C47" s="245"/>
      <c r="D47" s="245"/>
      <c r="E47" s="245"/>
      <c r="F47" s="245"/>
    </row>
    <row r="48" spans="2:6" ht="15.75" x14ac:dyDescent="0.25">
      <c r="B48" s="263" t="s">
        <v>266</v>
      </c>
      <c r="C48" s="264"/>
      <c r="D48" s="264"/>
      <c r="E48" s="264"/>
      <c r="F48" s="265"/>
    </row>
    <row r="49" spans="2:6" ht="15.75" x14ac:dyDescent="0.25">
      <c r="B49" s="272"/>
      <c r="C49" s="270"/>
      <c r="D49" s="270"/>
      <c r="E49" s="270"/>
      <c r="F49" s="271"/>
    </row>
  </sheetData>
  <mergeCells count="21">
    <mergeCell ref="B13:C13"/>
    <mergeCell ref="D13:F13"/>
    <mergeCell ref="C4:F4"/>
    <mergeCell ref="C5:F5"/>
    <mergeCell ref="C6:F6"/>
    <mergeCell ref="C7:F7"/>
    <mergeCell ref="C8:F8"/>
    <mergeCell ref="C9:F9"/>
    <mergeCell ref="B11:C11"/>
    <mergeCell ref="D11:F11"/>
    <mergeCell ref="B12:C12"/>
    <mergeCell ref="D12:F12"/>
    <mergeCell ref="B37:F37"/>
    <mergeCell ref="B40:F40"/>
    <mergeCell ref="B42:F42"/>
    <mergeCell ref="B21:F21"/>
    <mergeCell ref="B19:F19"/>
    <mergeCell ref="B24:F24"/>
    <mergeCell ref="B32:F32"/>
    <mergeCell ref="B35:F35"/>
    <mergeCell ref="B36:F36"/>
  </mergeCells>
  <hyperlinks>
    <hyperlink ref="B1" location="'Schéma d''enseignement'!G32" display="Schéma d'enseignement"/>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4"/>
  <sheetViews>
    <sheetView workbookViewId="0">
      <selection activeCell="B1" sqref="B1"/>
    </sheetView>
  </sheetViews>
  <sheetFormatPr baseColWidth="10" defaultColWidth="8.85546875" defaultRowHeight="15" x14ac:dyDescent="0.25"/>
  <cols>
    <col min="1" max="1" width="3.1406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4.45"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541</v>
      </c>
      <c r="D8" s="444"/>
      <c r="E8" s="444"/>
      <c r="F8" s="444"/>
    </row>
    <row r="9" spans="2:6" ht="15.75" x14ac:dyDescent="0.25">
      <c r="B9" s="187" t="s">
        <v>310</v>
      </c>
      <c r="C9" s="444">
        <v>5</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t="s">
        <v>532</v>
      </c>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23.1" customHeight="1" x14ac:dyDescent="0.25">
      <c r="B16" s="35" t="s">
        <v>533</v>
      </c>
      <c r="C16" s="24" t="s">
        <v>439</v>
      </c>
      <c r="D16" s="24">
        <v>2</v>
      </c>
      <c r="E16" s="24">
        <v>2</v>
      </c>
      <c r="F16" s="24" t="s">
        <v>440</v>
      </c>
    </row>
    <row r="17" spans="2:6" ht="15.75" x14ac:dyDescent="0.25">
      <c r="B17" s="189"/>
      <c r="C17" s="190"/>
      <c r="D17" s="190"/>
      <c r="E17" s="190"/>
      <c r="F17" s="190"/>
    </row>
    <row r="18" spans="2:6" ht="15.75" x14ac:dyDescent="0.25">
      <c r="B18" s="446" t="s">
        <v>293</v>
      </c>
      <c r="C18" s="447"/>
      <c r="D18" s="447"/>
      <c r="E18" s="447"/>
      <c r="F18" s="448"/>
    </row>
    <row r="19" spans="2:6" ht="32.450000000000003" customHeight="1" x14ac:dyDescent="0.25">
      <c r="B19" s="449" t="s">
        <v>534</v>
      </c>
      <c r="C19" s="506"/>
      <c r="D19" s="506"/>
      <c r="E19" s="506"/>
      <c r="F19" s="507"/>
    </row>
    <row r="20" spans="2:6" ht="15.75" x14ac:dyDescent="0.25">
      <c r="B20" s="446" t="s">
        <v>292</v>
      </c>
      <c r="C20" s="447"/>
      <c r="D20" s="447"/>
      <c r="E20" s="447"/>
      <c r="F20" s="448"/>
    </row>
    <row r="21" spans="2:6" ht="71.45" customHeight="1" x14ac:dyDescent="0.25">
      <c r="B21" s="454" t="s">
        <v>535</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536</v>
      </c>
      <c r="C24" s="506"/>
      <c r="D24" s="506"/>
      <c r="E24" s="506"/>
      <c r="F24" s="507"/>
    </row>
    <row r="25" spans="2:6" ht="15.75" x14ac:dyDescent="0.25">
      <c r="B25" s="150"/>
      <c r="C25" s="150"/>
      <c r="D25" s="150"/>
      <c r="E25" s="150"/>
      <c r="F25" s="150"/>
    </row>
    <row r="26" spans="2:6" ht="15.75" x14ac:dyDescent="0.25">
      <c r="B26" s="446" t="s">
        <v>355</v>
      </c>
      <c r="C26" s="447"/>
      <c r="D26" s="447"/>
      <c r="E26" s="447"/>
      <c r="F26" s="448"/>
    </row>
    <row r="27" spans="2:6" ht="15.75" x14ac:dyDescent="0.25">
      <c r="B27" s="485" t="s">
        <v>289</v>
      </c>
      <c r="C27" s="486"/>
      <c r="D27" s="486"/>
      <c r="E27" s="486"/>
      <c r="F27" s="487"/>
    </row>
    <row r="28" spans="2:6" ht="15.75" x14ac:dyDescent="0.25">
      <c r="B28" s="485" t="s">
        <v>12</v>
      </c>
      <c r="C28" s="486"/>
      <c r="D28" s="486"/>
      <c r="E28" s="486"/>
      <c r="F28" s="487"/>
    </row>
    <row r="29" spans="2:6" ht="15.75" x14ac:dyDescent="0.25">
      <c r="B29" s="485" t="s">
        <v>137</v>
      </c>
      <c r="C29" s="486"/>
      <c r="D29" s="486"/>
      <c r="E29" s="486"/>
      <c r="F29" s="487"/>
    </row>
    <row r="30" spans="2:6" ht="15.75" x14ac:dyDescent="0.25">
      <c r="B30" s="150"/>
      <c r="C30" s="150"/>
      <c r="D30" s="150"/>
      <c r="E30" s="150"/>
      <c r="F30" s="150"/>
    </row>
    <row r="31" spans="2:6" ht="15.75" x14ac:dyDescent="0.25">
      <c r="B31" s="446" t="s">
        <v>282</v>
      </c>
      <c r="C31" s="447"/>
      <c r="D31" s="447"/>
      <c r="E31" s="447"/>
      <c r="F31" s="448"/>
    </row>
    <row r="32" spans="2:6" ht="123.95" customHeight="1" x14ac:dyDescent="0.25">
      <c r="B32" s="454" t="s">
        <v>537</v>
      </c>
      <c r="C32" s="450"/>
      <c r="D32" s="450"/>
      <c r="E32" s="450"/>
      <c r="F32" s="451"/>
    </row>
    <row r="33" spans="2:6" ht="15.75" x14ac:dyDescent="0.25">
      <c r="B33" s="160"/>
      <c r="C33" s="191"/>
      <c r="D33" s="191"/>
      <c r="E33" s="191"/>
      <c r="F33" s="191"/>
    </row>
    <row r="34" spans="2:6" ht="15.75" x14ac:dyDescent="0.25">
      <c r="B34" s="446" t="s">
        <v>436</v>
      </c>
      <c r="C34" s="447"/>
      <c r="D34" s="447"/>
      <c r="E34" s="447"/>
      <c r="F34" s="448"/>
    </row>
    <row r="35" spans="2:6" ht="15.75" x14ac:dyDescent="0.25">
      <c r="B35" s="192" t="s">
        <v>279</v>
      </c>
      <c r="C35" s="468" t="s">
        <v>521</v>
      </c>
      <c r="D35" s="468"/>
      <c r="E35" s="468"/>
      <c r="F35" s="468"/>
    </row>
    <row r="36" spans="2:6" ht="15.75" x14ac:dyDescent="0.25">
      <c r="B36" s="192" t="s">
        <v>278</v>
      </c>
      <c r="C36" s="468" t="s">
        <v>522</v>
      </c>
      <c r="D36" s="468"/>
      <c r="E36" s="468"/>
      <c r="F36" s="468"/>
    </row>
    <row r="37" spans="2:6" ht="15.75" x14ac:dyDescent="0.25">
      <c r="B37" s="192" t="s">
        <v>277</v>
      </c>
      <c r="C37" s="464"/>
      <c r="D37" s="450"/>
      <c r="E37" s="450"/>
      <c r="F37" s="451"/>
    </row>
    <row r="38" spans="2:6" ht="15.75" x14ac:dyDescent="0.25">
      <c r="B38" s="192" t="s">
        <v>523</v>
      </c>
      <c r="C38" s="468" t="s">
        <v>538</v>
      </c>
      <c r="D38" s="468"/>
      <c r="E38" s="468"/>
      <c r="F38" s="468"/>
    </row>
    <row r="39" spans="2:6" ht="15.75" x14ac:dyDescent="0.25">
      <c r="B39" s="192"/>
      <c r="C39" s="468"/>
      <c r="D39" s="468"/>
      <c r="E39" s="468"/>
      <c r="F39" s="468"/>
    </row>
    <row r="40" spans="2:6" ht="15.75" x14ac:dyDescent="0.25">
      <c r="B40" s="150"/>
      <c r="C40" s="150"/>
      <c r="D40" s="150"/>
      <c r="E40" s="150"/>
      <c r="F40" s="150"/>
    </row>
    <row r="41" spans="2:6" ht="15.75" x14ac:dyDescent="0.25">
      <c r="B41" s="446" t="s">
        <v>276</v>
      </c>
      <c r="C41" s="447"/>
      <c r="D41" s="447"/>
      <c r="E41" s="447"/>
      <c r="F41" s="448"/>
    </row>
    <row r="42" spans="2:6" ht="36.950000000000003" customHeight="1" x14ac:dyDescent="0.25">
      <c r="B42" s="449" t="s">
        <v>539</v>
      </c>
      <c r="C42" s="450"/>
      <c r="D42" s="450"/>
      <c r="E42" s="450"/>
      <c r="F42" s="451"/>
    </row>
    <row r="43" spans="2:6" ht="15.75" x14ac:dyDescent="0.25">
      <c r="B43" s="150"/>
      <c r="C43" s="150"/>
      <c r="D43" s="150"/>
      <c r="E43" s="150"/>
      <c r="F43" s="150"/>
    </row>
    <row r="44" spans="2:6" ht="15.75" x14ac:dyDescent="0.25">
      <c r="B44" s="501" t="s">
        <v>540</v>
      </c>
      <c r="C44" s="502"/>
      <c r="D44" s="502"/>
      <c r="E44" s="502"/>
      <c r="F44" s="503"/>
    </row>
    <row r="45" spans="2:6" ht="15.75" x14ac:dyDescent="0.25">
      <c r="B45" s="155" t="s">
        <v>273</v>
      </c>
      <c r="C45" s="155" t="s">
        <v>272</v>
      </c>
      <c r="D45" s="446" t="s">
        <v>271</v>
      </c>
      <c r="E45" s="447"/>
      <c r="F45" s="448"/>
    </row>
    <row r="46" spans="2:6" ht="15.75" x14ac:dyDescent="0.25">
      <c r="B46" s="156"/>
      <c r="C46" s="156"/>
      <c r="D46" s="491"/>
      <c r="E46" s="492"/>
      <c r="F46" s="493"/>
    </row>
    <row r="47" spans="2:6" ht="15.75" x14ac:dyDescent="0.25">
      <c r="B47" s="156"/>
      <c r="C47" s="156"/>
      <c r="D47" s="491"/>
      <c r="E47" s="492"/>
      <c r="F47" s="493"/>
    </row>
    <row r="48" spans="2:6" ht="15.75" x14ac:dyDescent="0.25">
      <c r="B48" s="185"/>
      <c r="C48" s="185"/>
      <c r="D48" s="491"/>
      <c r="E48" s="492"/>
      <c r="F48" s="493"/>
    </row>
    <row r="49" spans="2:6" ht="15.75" x14ac:dyDescent="0.25">
      <c r="B49" s="150"/>
      <c r="C49" s="150"/>
      <c r="D49" s="150"/>
      <c r="E49" s="150"/>
      <c r="F49" s="150"/>
    </row>
    <row r="50" spans="2:6" ht="15.75" x14ac:dyDescent="0.25">
      <c r="B50" s="446" t="s">
        <v>266</v>
      </c>
      <c r="C50" s="447"/>
      <c r="D50" s="447"/>
      <c r="E50" s="447"/>
      <c r="F50" s="448"/>
    </row>
    <row r="51" spans="2:6" ht="15.75" x14ac:dyDescent="0.25">
      <c r="B51" s="488"/>
      <c r="C51" s="489"/>
      <c r="D51" s="489"/>
      <c r="E51" s="489"/>
      <c r="F51" s="490"/>
    </row>
    <row r="52" spans="2:6" ht="15.75" x14ac:dyDescent="0.25">
      <c r="B52" s="150"/>
      <c r="C52" s="150"/>
      <c r="D52" s="150"/>
      <c r="E52" s="150"/>
      <c r="F52" s="150"/>
    </row>
    <row r="53" spans="2:6" ht="15.75" x14ac:dyDescent="0.25">
      <c r="B53" s="446" t="s">
        <v>372</v>
      </c>
      <c r="C53" s="447"/>
      <c r="D53" s="447"/>
      <c r="E53" s="447"/>
      <c r="F53" s="448"/>
    </row>
    <row r="54" spans="2:6" ht="15.75" x14ac:dyDescent="0.25">
      <c r="B54" s="488"/>
      <c r="C54" s="489"/>
      <c r="D54" s="489"/>
      <c r="E54" s="489"/>
      <c r="F54" s="490"/>
    </row>
  </sheetData>
  <mergeCells count="40">
    <mergeCell ref="B50:F50"/>
    <mergeCell ref="B51:F51"/>
    <mergeCell ref="B53:F53"/>
    <mergeCell ref="B54:F54"/>
    <mergeCell ref="B42:F42"/>
    <mergeCell ref="B44:F44"/>
    <mergeCell ref="D45:F45"/>
    <mergeCell ref="D46:F46"/>
    <mergeCell ref="D47:F47"/>
    <mergeCell ref="D48:F48"/>
    <mergeCell ref="B41:F41"/>
    <mergeCell ref="B31:F31"/>
    <mergeCell ref="B32:F32"/>
    <mergeCell ref="B34:F34"/>
    <mergeCell ref="B27:F27"/>
    <mergeCell ref="B28:F28"/>
    <mergeCell ref="B29:F29"/>
    <mergeCell ref="C35:F35"/>
    <mergeCell ref="C36:F36"/>
    <mergeCell ref="C37:F37"/>
    <mergeCell ref="C38:F38"/>
    <mergeCell ref="C39:F39"/>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6:C48">
      <formula1>"Académique, Professionnel, Associatif, Autre"</formula1>
    </dataValidation>
  </dataValidations>
  <hyperlinks>
    <hyperlink ref="B1" location="'Schéma d''enseignement'!G34" display="Schéma d'enseignement"/>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3"/>
  <sheetViews>
    <sheetView workbookViewId="0">
      <selection activeCell="B1" sqref="B1"/>
    </sheetView>
  </sheetViews>
  <sheetFormatPr baseColWidth="10" defaultColWidth="8.85546875" defaultRowHeight="15" x14ac:dyDescent="0.25"/>
  <cols>
    <col min="1" max="1" width="3.140625" style="1" customWidth="1"/>
    <col min="2" max="2" width="29.42578125" style="1" customWidth="1"/>
    <col min="3" max="3" width="15.5703125" style="1" customWidth="1"/>
    <col min="4" max="4" width="11.85546875" style="1" customWidth="1"/>
    <col min="5" max="5" width="7" style="1" customWidth="1"/>
    <col min="6" max="6" width="21.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319</v>
      </c>
      <c r="D4" s="444"/>
      <c r="E4" s="444"/>
      <c r="F4" s="444"/>
    </row>
    <row r="5" spans="2:6" ht="17.100000000000001"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541</v>
      </c>
      <c r="D8" s="444"/>
      <c r="E8" s="444"/>
      <c r="F8" s="444"/>
    </row>
    <row r="9" spans="2:6" ht="15.75" x14ac:dyDescent="0.25">
      <c r="B9" s="187" t="s">
        <v>310</v>
      </c>
      <c r="C9" s="444">
        <v>5</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t="s">
        <v>532</v>
      </c>
      <c r="C13" s="484"/>
      <c r="D13" s="444" t="s">
        <v>490</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7.5" customHeight="1" x14ac:dyDescent="0.25">
      <c r="B16" s="35" t="s">
        <v>542</v>
      </c>
      <c r="C16" s="24" t="s">
        <v>526</v>
      </c>
      <c r="D16" s="24">
        <v>3</v>
      </c>
      <c r="E16" s="24">
        <v>3</v>
      </c>
      <c r="F16" s="24" t="s">
        <v>440</v>
      </c>
    </row>
    <row r="17" spans="2:6" ht="15.75" x14ac:dyDescent="0.25">
      <c r="B17" s="189"/>
      <c r="C17" s="190"/>
      <c r="D17" s="190"/>
      <c r="E17" s="190"/>
      <c r="F17" s="190"/>
    </row>
    <row r="18" spans="2:6" ht="15.75" x14ac:dyDescent="0.25">
      <c r="B18" s="446" t="s">
        <v>293</v>
      </c>
      <c r="C18" s="447"/>
      <c r="D18" s="447"/>
      <c r="E18" s="447"/>
      <c r="F18" s="448"/>
    </row>
    <row r="19" spans="2:6" ht="36.6" customHeight="1" x14ac:dyDescent="0.25">
      <c r="B19" s="449" t="s">
        <v>543</v>
      </c>
      <c r="C19" s="506"/>
      <c r="D19" s="506"/>
      <c r="E19" s="506"/>
      <c r="F19" s="507"/>
    </row>
    <row r="20" spans="2:6" ht="15.75" x14ac:dyDescent="0.25">
      <c r="B20" s="446" t="s">
        <v>292</v>
      </c>
      <c r="C20" s="447"/>
      <c r="D20" s="447"/>
      <c r="E20" s="447"/>
      <c r="F20" s="448"/>
    </row>
    <row r="21" spans="2:6" ht="60.95" customHeight="1" x14ac:dyDescent="0.25">
      <c r="B21" s="454" t="s">
        <v>535</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536</v>
      </c>
      <c r="C24" s="506"/>
      <c r="D24" s="506"/>
      <c r="E24" s="506"/>
      <c r="F24" s="507"/>
    </row>
    <row r="25" spans="2:6" ht="15.75" x14ac:dyDescent="0.25">
      <c r="B25" s="150"/>
      <c r="C25" s="150"/>
      <c r="D25" s="150"/>
      <c r="E25" s="150"/>
      <c r="F25" s="150"/>
    </row>
    <row r="26" spans="2:6" ht="15.75" x14ac:dyDescent="0.25">
      <c r="B26" s="446" t="s">
        <v>355</v>
      </c>
      <c r="C26" s="447"/>
      <c r="D26" s="447"/>
      <c r="E26" s="447"/>
      <c r="F26" s="448"/>
    </row>
    <row r="27" spans="2:6" ht="15.75" x14ac:dyDescent="0.25">
      <c r="B27" s="485" t="s">
        <v>289</v>
      </c>
      <c r="C27" s="486"/>
      <c r="D27" s="486"/>
      <c r="E27" s="486"/>
      <c r="F27" s="487"/>
    </row>
    <row r="28" spans="2:6" ht="15.75" x14ac:dyDescent="0.25">
      <c r="B28" s="485" t="s">
        <v>12</v>
      </c>
      <c r="C28" s="486"/>
      <c r="D28" s="486"/>
      <c r="E28" s="486"/>
      <c r="F28" s="487"/>
    </row>
    <row r="29" spans="2:6" ht="15.75" x14ac:dyDescent="0.25">
      <c r="B29" s="485" t="s">
        <v>137</v>
      </c>
      <c r="C29" s="486"/>
      <c r="D29" s="486"/>
      <c r="E29" s="486"/>
      <c r="F29" s="487"/>
    </row>
    <row r="30" spans="2:6" ht="15.75" x14ac:dyDescent="0.25">
      <c r="B30" s="150"/>
      <c r="C30" s="150"/>
      <c r="D30" s="150"/>
      <c r="E30" s="150"/>
      <c r="F30" s="150"/>
    </row>
    <row r="31" spans="2:6" ht="15.75" x14ac:dyDescent="0.25">
      <c r="B31" s="446" t="s">
        <v>282</v>
      </c>
      <c r="C31" s="447"/>
      <c r="D31" s="447"/>
      <c r="E31" s="447"/>
      <c r="F31" s="448"/>
    </row>
    <row r="32" spans="2:6" ht="156.6" customHeight="1" x14ac:dyDescent="0.25">
      <c r="B32" s="454" t="s">
        <v>544</v>
      </c>
      <c r="C32" s="450"/>
      <c r="D32" s="450"/>
      <c r="E32" s="450"/>
      <c r="F32" s="451"/>
    </row>
    <row r="33" spans="2:6" ht="15.75" x14ac:dyDescent="0.25">
      <c r="B33" s="160"/>
      <c r="C33" s="191"/>
      <c r="D33" s="191"/>
      <c r="E33" s="191"/>
      <c r="F33" s="191"/>
    </row>
    <row r="34" spans="2:6" ht="15.75" x14ac:dyDescent="0.25">
      <c r="B34" s="446" t="s">
        <v>436</v>
      </c>
      <c r="C34" s="447"/>
      <c r="D34" s="447"/>
      <c r="E34" s="447"/>
      <c r="F34" s="448"/>
    </row>
    <row r="35" spans="2:6" ht="15.75" x14ac:dyDescent="0.25">
      <c r="B35" s="192" t="s">
        <v>279</v>
      </c>
      <c r="C35" s="468"/>
      <c r="D35" s="468"/>
      <c r="E35" s="468"/>
      <c r="F35" s="468"/>
    </row>
    <row r="36" spans="2:6" ht="15.75" x14ac:dyDescent="0.25">
      <c r="B36" s="192" t="s">
        <v>278</v>
      </c>
      <c r="C36" s="468"/>
      <c r="D36" s="468"/>
      <c r="E36" s="468"/>
      <c r="F36" s="468"/>
    </row>
    <row r="37" spans="2:6" ht="15.75" x14ac:dyDescent="0.25">
      <c r="B37" s="192" t="s">
        <v>277</v>
      </c>
      <c r="C37" s="464" t="s">
        <v>526</v>
      </c>
      <c r="D37" s="450"/>
      <c r="E37" s="450"/>
      <c r="F37" s="451"/>
    </row>
    <row r="38" spans="2:6" ht="15.75" x14ac:dyDescent="0.25">
      <c r="B38" s="192" t="s">
        <v>523</v>
      </c>
      <c r="C38" s="468" t="s">
        <v>538</v>
      </c>
      <c r="D38" s="468"/>
      <c r="E38" s="468"/>
      <c r="F38" s="468"/>
    </row>
    <row r="39" spans="2:6" ht="15.75" x14ac:dyDescent="0.25">
      <c r="B39" s="150"/>
      <c r="C39" s="150"/>
      <c r="D39" s="150"/>
      <c r="E39" s="150"/>
      <c r="F39" s="150"/>
    </row>
    <row r="40" spans="2:6" ht="15.75" x14ac:dyDescent="0.25">
      <c r="B40" s="446" t="s">
        <v>276</v>
      </c>
      <c r="C40" s="447"/>
      <c r="D40" s="447"/>
      <c r="E40" s="447"/>
      <c r="F40" s="448"/>
    </row>
    <row r="41" spans="2:6" ht="36" customHeight="1" x14ac:dyDescent="0.25">
      <c r="B41" s="449" t="s">
        <v>539</v>
      </c>
      <c r="C41" s="450"/>
      <c r="D41" s="450"/>
      <c r="E41" s="450"/>
      <c r="F41" s="451"/>
    </row>
    <row r="42" spans="2:6" ht="15.75" x14ac:dyDescent="0.25">
      <c r="B42" s="150"/>
      <c r="C42" s="150"/>
      <c r="D42" s="150"/>
      <c r="E42" s="150"/>
      <c r="F42" s="150"/>
    </row>
    <row r="43" spans="2:6" ht="15.75" x14ac:dyDescent="0.25">
      <c r="B43" s="501" t="s">
        <v>540</v>
      </c>
      <c r="C43" s="502"/>
      <c r="D43" s="502"/>
      <c r="E43" s="502"/>
      <c r="F43" s="503"/>
    </row>
    <row r="44" spans="2:6" ht="15.75" x14ac:dyDescent="0.25">
      <c r="B44" s="155" t="s">
        <v>273</v>
      </c>
      <c r="C44" s="155" t="s">
        <v>272</v>
      </c>
      <c r="D44" s="446" t="s">
        <v>271</v>
      </c>
      <c r="E44" s="447"/>
      <c r="F44" s="448"/>
    </row>
    <row r="45" spans="2:6" ht="15.75" x14ac:dyDescent="0.25">
      <c r="B45" s="156"/>
      <c r="C45" s="156"/>
      <c r="D45" s="491"/>
      <c r="E45" s="492"/>
      <c r="F45" s="493"/>
    </row>
    <row r="46" spans="2:6" ht="15.75" x14ac:dyDescent="0.25">
      <c r="B46" s="156"/>
      <c r="C46" s="156"/>
      <c r="D46" s="491"/>
      <c r="E46" s="492"/>
      <c r="F46" s="493"/>
    </row>
    <row r="47" spans="2:6" ht="15.75" x14ac:dyDescent="0.25">
      <c r="B47" s="185"/>
      <c r="C47" s="185"/>
      <c r="D47" s="491"/>
      <c r="E47" s="492"/>
      <c r="F47" s="493"/>
    </row>
    <row r="48" spans="2:6" ht="15.75" x14ac:dyDescent="0.25">
      <c r="B48" s="150"/>
      <c r="C48" s="150"/>
      <c r="D48" s="150"/>
      <c r="E48" s="150"/>
      <c r="F48" s="150"/>
    </row>
    <row r="49" spans="2:6" ht="15.75" x14ac:dyDescent="0.25">
      <c r="B49" s="446" t="s">
        <v>266</v>
      </c>
      <c r="C49" s="447"/>
      <c r="D49" s="447"/>
      <c r="E49" s="447"/>
      <c r="F49" s="448"/>
    </row>
    <row r="50" spans="2:6" ht="15.75" x14ac:dyDescent="0.25">
      <c r="B50" s="488"/>
      <c r="C50" s="489"/>
      <c r="D50" s="489"/>
      <c r="E50" s="489"/>
      <c r="F50" s="490"/>
    </row>
    <row r="51" spans="2:6" ht="15.75" x14ac:dyDescent="0.25">
      <c r="B51" s="150"/>
      <c r="C51" s="150"/>
      <c r="D51" s="150"/>
      <c r="E51" s="150"/>
      <c r="F51" s="150"/>
    </row>
    <row r="52" spans="2:6" ht="15.75" x14ac:dyDescent="0.25">
      <c r="B52" s="446" t="s">
        <v>372</v>
      </c>
      <c r="C52" s="447"/>
      <c r="D52" s="447"/>
      <c r="E52" s="447"/>
      <c r="F52" s="448"/>
    </row>
    <row r="53" spans="2:6" ht="15.75" x14ac:dyDescent="0.25">
      <c r="B53" s="488"/>
      <c r="C53" s="489"/>
      <c r="D53" s="489"/>
      <c r="E53" s="489"/>
      <c r="F53" s="490"/>
    </row>
  </sheetData>
  <mergeCells count="39">
    <mergeCell ref="B49:F49"/>
    <mergeCell ref="B50:F50"/>
    <mergeCell ref="B52:F52"/>
    <mergeCell ref="B53:F53"/>
    <mergeCell ref="B41:F41"/>
    <mergeCell ref="B43:F43"/>
    <mergeCell ref="D44:F44"/>
    <mergeCell ref="D45:F45"/>
    <mergeCell ref="D46:F46"/>
    <mergeCell ref="D47:F47"/>
    <mergeCell ref="C35:F35"/>
    <mergeCell ref="C36:F36"/>
    <mergeCell ref="C37:F37"/>
    <mergeCell ref="C38:F38"/>
    <mergeCell ref="B40:F40"/>
    <mergeCell ref="B31:F31"/>
    <mergeCell ref="B32:F32"/>
    <mergeCell ref="B34:F34"/>
    <mergeCell ref="B27:F27"/>
    <mergeCell ref="B28:F28"/>
    <mergeCell ref="B29:F29"/>
    <mergeCell ref="B26:F26"/>
    <mergeCell ref="B11:F11"/>
    <mergeCell ref="B12:C12"/>
    <mergeCell ref="D12:F12"/>
    <mergeCell ref="B13:C13"/>
    <mergeCell ref="D13:F13"/>
    <mergeCell ref="B18:F18"/>
    <mergeCell ref="B19:F19"/>
    <mergeCell ref="B20:F20"/>
    <mergeCell ref="B21:F21"/>
    <mergeCell ref="B23:F23"/>
    <mergeCell ref="B24:F24"/>
    <mergeCell ref="C9:F9"/>
    <mergeCell ref="C4:F4"/>
    <mergeCell ref="C5:F5"/>
    <mergeCell ref="C6:F6"/>
    <mergeCell ref="C7:F7"/>
    <mergeCell ref="C8:F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5:C47">
      <formula1>"Académique, Professionnel, Associatif, Autre"</formula1>
    </dataValidation>
  </dataValidations>
  <hyperlinks>
    <hyperlink ref="B1" location="'Schéma d''enseignement'!G35" display="Schéma d'enseignement"/>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1"/>
  <sheetViews>
    <sheetView workbookViewId="0">
      <selection activeCell="B1" sqref="B1"/>
    </sheetView>
  </sheetViews>
  <sheetFormatPr baseColWidth="10" defaultColWidth="8.85546875" defaultRowHeight="15" x14ac:dyDescent="0.25"/>
  <cols>
    <col min="1" max="1" width="3" style="1" customWidth="1"/>
    <col min="2" max="2" width="29.42578125" style="1" customWidth="1"/>
    <col min="3" max="3" width="15.5703125" style="1" customWidth="1"/>
    <col min="4" max="4" width="11.85546875" style="1" customWidth="1"/>
    <col min="5" max="5" width="7" style="1" customWidth="1"/>
    <col min="6" max="6" width="34.85546875" style="1" customWidth="1"/>
    <col min="7" max="16384" width="8.85546875" style="1"/>
  </cols>
  <sheetData>
    <row r="1" spans="2:6" x14ac:dyDescent="0.25">
      <c r="B1" s="326" t="s">
        <v>692</v>
      </c>
    </row>
    <row r="2" spans="2:6" ht="15.75" x14ac:dyDescent="0.25">
      <c r="B2" s="294" t="s">
        <v>344</v>
      </c>
      <c r="C2" s="293"/>
      <c r="D2" s="293"/>
      <c r="E2" s="293"/>
      <c r="F2" s="293"/>
    </row>
    <row r="3" spans="2:6" ht="15.75" x14ac:dyDescent="0.25">
      <c r="B3" s="280"/>
      <c r="C3" s="280"/>
      <c r="D3" s="280"/>
      <c r="E3" s="280"/>
      <c r="F3" s="280"/>
    </row>
    <row r="4" spans="2:6" ht="15.75" x14ac:dyDescent="0.25">
      <c r="B4" s="291" t="s">
        <v>320</v>
      </c>
      <c r="C4" s="444" t="s">
        <v>345</v>
      </c>
      <c r="D4" s="444"/>
      <c r="E4" s="444"/>
      <c r="F4" s="444"/>
    </row>
    <row r="5" spans="2:6" ht="19.5" customHeight="1" x14ac:dyDescent="0.25">
      <c r="B5" s="292" t="s">
        <v>318</v>
      </c>
      <c r="C5" s="445" t="s">
        <v>317</v>
      </c>
      <c r="D5" s="445"/>
      <c r="E5" s="445"/>
      <c r="F5" s="445"/>
    </row>
    <row r="6" spans="2:6" ht="15.75" x14ac:dyDescent="0.25">
      <c r="B6" s="291" t="s">
        <v>316</v>
      </c>
      <c r="C6" s="444" t="s">
        <v>315</v>
      </c>
      <c r="D6" s="444"/>
      <c r="E6" s="444"/>
      <c r="F6" s="444"/>
    </row>
    <row r="7" spans="2:6" ht="15.75" x14ac:dyDescent="0.25">
      <c r="B7" s="291" t="s">
        <v>314</v>
      </c>
      <c r="C7" s="444" t="s">
        <v>635</v>
      </c>
      <c r="D7" s="444"/>
      <c r="E7" s="444"/>
      <c r="F7" s="444"/>
    </row>
    <row r="8" spans="2:6" ht="15.75" x14ac:dyDescent="0.25">
      <c r="B8" s="291" t="s">
        <v>348</v>
      </c>
      <c r="C8" s="444" t="s">
        <v>699</v>
      </c>
      <c r="D8" s="444"/>
      <c r="E8" s="444"/>
      <c r="F8" s="444"/>
    </row>
    <row r="9" spans="2:6" ht="15.75" x14ac:dyDescent="0.25">
      <c r="B9" s="291" t="s">
        <v>310</v>
      </c>
      <c r="C9" s="444">
        <v>5</v>
      </c>
      <c r="D9" s="444"/>
      <c r="E9" s="444"/>
      <c r="F9" s="444"/>
    </row>
    <row r="10" spans="2:6" ht="15.75" x14ac:dyDescent="0.25">
      <c r="B10" s="280"/>
      <c r="C10" s="280"/>
      <c r="D10" s="280"/>
      <c r="E10" s="280"/>
      <c r="F10" s="28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53">
        <v>43012</v>
      </c>
      <c r="C13" s="453"/>
      <c r="D13" s="444" t="s">
        <v>345</v>
      </c>
      <c r="E13" s="444"/>
      <c r="F13" s="444"/>
    </row>
    <row r="14" spans="2:6" ht="15.75" x14ac:dyDescent="0.25">
      <c r="B14" s="280"/>
      <c r="C14" s="280"/>
      <c r="D14" s="280"/>
      <c r="E14" s="280"/>
      <c r="F14" s="280"/>
    </row>
    <row r="15" spans="2:6" ht="15.75" x14ac:dyDescent="0.25">
      <c r="B15" s="290" t="s">
        <v>300</v>
      </c>
      <c r="C15" s="290" t="s">
        <v>299</v>
      </c>
      <c r="D15" s="290" t="s">
        <v>298</v>
      </c>
      <c r="E15" s="290" t="s">
        <v>297</v>
      </c>
      <c r="F15" s="290" t="s">
        <v>296</v>
      </c>
    </row>
    <row r="16" spans="2:6" ht="15.75" x14ac:dyDescent="0.25">
      <c r="B16" s="289" t="s">
        <v>185</v>
      </c>
      <c r="C16" s="288" t="s">
        <v>526</v>
      </c>
      <c r="D16" s="233">
        <v>3</v>
      </c>
      <c r="E16" s="233">
        <v>3</v>
      </c>
      <c r="F16" s="233" t="s">
        <v>440</v>
      </c>
    </row>
    <row r="17" spans="2:6" ht="15.75" x14ac:dyDescent="0.25">
      <c r="B17" s="287"/>
      <c r="C17" s="286"/>
      <c r="D17" s="286"/>
      <c r="E17" s="286"/>
      <c r="F17" s="286"/>
    </row>
    <row r="18" spans="2:6" ht="15.75" x14ac:dyDescent="0.25">
      <c r="B18" s="446" t="s">
        <v>293</v>
      </c>
      <c r="C18" s="447"/>
      <c r="D18" s="447"/>
      <c r="E18" s="447"/>
      <c r="F18" s="448"/>
    </row>
    <row r="19" spans="2:6" ht="90.6" customHeight="1" x14ac:dyDescent="0.25">
      <c r="B19" s="449" t="s">
        <v>655</v>
      </c>
      <c r="C19" s="450"/>
      <c r="D19" s="450"/>
      <c r="E19" s="450"/>
      <c r="F19" s="451"/>
    </row>
    <row r="20" spans="2:6" ht="15.75" x14ac:dyDescent="0.25">
      <c r="B20" s="446" t="s">
        <v>292</v>
      </c>
      <c r="C20" s="447"/>
      <c r="D20" s="447"/>
      <c r="E20" s="447"/>
      <c r="F20" s="448"/>
    </row>
    <row r="21" spans="2:6" ht="138.6" customHeight="1" x14ac:dyDescent="0.25">
      <c r="B21" s="449" t="s">
        <v>656</v>
      </c>
      <c r="C21" s="450"/>
      <c r="D21" s="450"/>
      <c r="E21" s="450"/>
      <c r="F21" s="451"/>
    </row>
    <row r="22" spans="2:6" ht="15.75" x14ac:dyDescent="0.25">
      <c r="B22" s="280"/>
      <c r="C22" s="280"/>
      <c r="D22" s="280"/>
      <c r="E22" s="280"/>
      <c r="F22" s="280"/>
    </row>
    <row r="23" spans="2:6" ht="15.75" x14ac:dyDescent="0.25">
      <c r="B23" s="446" t="s">
        <v>353</v>
      </c>
      <c r="C23" s="447"/>
      <c r="D23" s="447"/>
      <c r="E23" s="447"/>
      <c r="F23" s="448"/>
    </row>
    <row r="24" spans="2:6" ht="15.75" x14ac:dyDescent="0.25">
      <c r="B24" s="464" t="s">
        <v>614</v>
      </c>
      <c r="C24" s="450"/>
      <c r="D24" s="450"/>
      <c r="E24" s="450"/>
      <c r="F24" s="451"/>
    </row>
    <row r="25" spans="2:6" ht="15.75" x14ac:dyDescent="0.25">
      <c r="B25" s="280"/>
      <c r="C25" s="280"/>
      <c r="D25" s="280"/>
      <c r="E25" s="280"/>
      <c r="F25" s="280"/>
    </row>
    <row r="26" spans="2:6" ht="15.75" x14ac:dyDescent="0.25">
      <c r="B26" s="446" t="s">
        <v>355</v>
      </c>
      <c r="C26" s="447"/>
      <c r="D26" s="447"/>
      <c r="E26" s="447"/>
      <c r="F26" s="448"/>
    </row>
    <row r="27" spans="2:6" ht="15.75" x14ac:dyDescent="0.25">
      <c r="B27" s="494" t="s">
        <v>556</v>
      </c>
      <c r="C27" s="495"/>
      <c r="D27" s="495"/>
      <c r="E27" s="495"/>
      <c r="F27" s="496"/>
    </row>
    <row r="28" spans="2:6" ht="15.75" x14ac:dyDescent="0.25">
      <c r="B28" s="494" t="s">
        <v>9</v>
      </c>
      <c r="C28" s="495"/>
      <c r="D28" s="495"/>
      <c r="E28" s="495"/>
      <c r="F28" s="496"/>
    </row>
    <row r="29" spans="2:6" ht="15.75" x14ac:dyDescent="0.25">
      <c r="B29" s="460" t="s">
        <v>289</v>
      </c>
      <c r="C29" s="460"/>
      <c r="D29" s="460"/>
      <c r="E29" s="460"/>
      <c r="F29" s="460"/>
    </row>
    <row r="30" spans="2:6" ht="15.75" x14ac:dyDescent="0.25">
      <c r="B30" s="280"/>
      <c r="C30" s="280"/>
      <c r="D30" s="280"/>
      <c r="E30" s="280"/>
      <c r="F30" s="280"/>
    </row>
    <row r="31" spans="2:6" ht="15.75" x14ac:dyDescent="0.25">
      <c r="B31" s="291" t="s">
        <v>282</v>
      </c>
      <c r="C31" s="235"/>
      <c r="D31" s="235"/>
      <c r="E31" s="235"/>
      <c r="F31" s="236"/>
    </row>
    <row r="32" spans="2:6" ht="186" customHeight="1" x14ac:dyDescent="0.25">
      <c r="B32" s="542" t="s">
        <v>615</v>
      </c>
      <c r="C32" s="497"/>
      <c r="D32" s="497"/>
      <c r="E32" s="497"/>
      <c r="F32" s="497"/>
    </row>
    <row r="33" spans="2:6" ht="15.75" x14ac:dyDescent="0.25">
      <c r="B33" s="276"/>
      <c r="C33" s="279"/>
      <c r="D33" s="279"/>
      <c r="E33" s="279"/>
      <c r="F33" s="279"/>
    </row>
    <row r="34" spans="2:6" ht="15.75" x14ac:dyDescent="0.25">
      <c r="B34" s="504" t="s">
        <v>435</v>
      </c>
      <c r="C34" s="504"/>
      <c r="D34" s="504"/>
      <c r="E34" s="504"/>
      <c r="F34" s="504"/>
    </row>
    <row r="35" spans="2:6" ht="15.75" x14ac:dyDescent="0.25">
      <c r="B35" s="284" t="s">
        <v>279</v>
      </c>
      <c r="C35" s="468"/>
      <c r="D35" s="468"/>
      <c r="E35" s="468"/>
      <c r="F35" s="468"/>
    </row>
    <row r="36" spans="2:6" ht="15.75" x14ac:dyDescent="0.25">
      <c r="B36" s="284" t="s">
        <v>278</v>
      </c>
    </row>
    <row r="37" spans="2:6" ht="15.75" x14ac:dyDescent="0.25">
      <c r="B37" s="284" t="s">
        <v>277</v>
      </c>
      <c r="C37" s="468" t="s">
        <v>447</v>
      </c>
      <c r="D37" s="468"/>
      <c r="E37" s="468"/>
      <c r="F37" s="468"/>
    </row>
    <row r="38" spans="2:6" ht="15.75" x14ac:dyDescent="0.25">
      <c r="B38" s="284" t="s">
        <v>448</v>
      </c>
      <c r="C38" s="468" t="s">
        <v>447</v>
      </c>
      <c r="D38" s="468"/>
      <c r="E38" s="468"/>
      <c r="F38" s="468"/>
    </row>
    <row r="39" spans="2:6" ht="15.75" x14ac:dyDescent="0.25">
      <c r="B39" s="284" t="s">
        <v>372</v>
      </c>
      <c r="C39" s="468" t="s">
        <v>600</v>
      </c>
      <c r="D39" s="468"/>
      <c r="E39" s="468"/>
      <c r="F39" s="468"/>
    </row>
    <row r="40" spans="2:6" ht="15.75" x14ac:dyDescent="0.25">
      <c r="B40" s="280"/>
      <c r="C40" s="280"/>
      <c r="D40" s="280"/>
      <c r="E40" s="280"/>
      <c r="F40" s="280"/>
    </row>
    <row r="41" spans="2:6" ht="15.75" x14ac:dyDescent="0.25">
      <c r="B41" s="446" t="s">
        <v>276</v>
      </c>
      <c r="C41" s="447"/>
      <c r="D41" s="447"/>
      <c r="E41" s="447"/>
      <c r="F41" s="448"/>
    </row>
    <row r="42" spans="2:6" ht="15.75" x14ac:dyDescent="0.25">
      <c r="B42" s="464" t="s">
        <v>616</v>
      </c>
      <c r="C42" s="450"/>
      <c r="D42" s="450"/>
      <c r="E42" s="450"/>
      <c r="F42" s="451"/>
    </row>
    <row r="43" spans="2:6" ht="15.75" x14ac:dyDescent="0.25">
      <c r="B43" s="280"/>
      <c r="C43" s="280"/>
      <c r="D43" s="280"/>
      <c r="E43" s="280"/>
      <c r="F43" s="280"/>
    </row>
    <row r="44" spans="2:6" ht="15.75" x14ac:dyDescent="0.25">
      <c r="B44" s="446" t="s">
        <v>274</v>
      </c>
      <c r="C44" s="447"/>
      <c r="D44" s="447"/>
      <c r="E44" s="447"/>
      <c r="F44" s="448"/>
    </row>
    <row r="45" spans="2:6" ht="15.75" x14ac:dyDescent="0.25">
      <c r="B45" s="283" t="s">
        <v>273</v>
      </c>
      <c r="C45" s="283" t="s">
        <v>272</v>
      </c>
      <c r="D45" s="446" t="s">
        <v>271</v>
      </c>
      <c r="E45" s="447"/>
      <c r="F45" s="448"/>
    </row>
    <row r="46" spans="2:6" ht="15.75" x14ac:dyDescent="0.25">
      <c r="B46" s="282"/>
      <c r="C46" s="282"/>
      <c r="D46" s="491"/>
      <c r="E46" s="492"/>
      <c r="F46" s="493"/>
    </row>
    <row r="47" spans="2:6" ht="15.75" x14ac:dyDescent="0.25">
      <c r="B47" s="282"/>
      <c r="C47" s="282"/>
      <c r="D47" s="491"/>
      <c r="E47" s="492"/>
      <c r="F47" s="493"/>
    </row>
    <row r="48" spans="2:6" ht="15.75" x14ac:dyDescent="0.25">
      <c r="B48" s="281"/>
      <c r="C48" s="281"/>
      <c r="D48" s="491"/>
      <c r="E48" s="492"/>
      <c r="F48" s="493"/>
    </row>
    <row r="49" spans="2:6" ht="15.75" x14ac:dyDescent="0.25">
      <c r="B49" s="280"/>
      <c r="C49" s="280"/>
      <c r="D49" s="280"/>
      <c r="E49" s="280"/>
      <c r="F49" s="280"/>
    </row>
    <row r="50" spans="2:6" ht="15.75" x14ac:dyDescent="0.25">
      <c r="B50" s="446" t="s">
        <v>266</v>
      </c>
      <c r="C50" s="447"/>
      <c r="D50" s="447"/>
      <c r="E50" s="447"/>
      <c r="F50" s="448"/>
    </row>
    <row r="51" spans="2:6" ht="87.95" customHeight="1" x14ac:dyDescent="0.25">
      <c r="B51" s="570" t="s">
        <v>617</v>
      </c>
      <c r="C51" s="489"/>
      <c r="D51" s="489"/>
      <c r="E51" s="489"/>
      <c r="F51" s="490"/>
    </row>
  </sheetData>
  <mergeCells count="36">
    <mergeCell ref="B51:F51"/>
    <mergeCell ref="D45:F45"/>
    <mergeCell ref="D46:F46"/>
    <mergeCell ref="D47:F47"/>
    <mergeCell ref="D48:F48"/>
    <mergeCell ref="B50:F50"/>
    <mergeCell ref="C9:F9"/>
    <mergeCell ref="C4:F4"/>
    <mergeCell ref="C5:F5"/>
    <mergeCell ref="C6:F6"/>
    <mergeCell ref="C7:F7"/>
    <mergeCell ref="C8:F8"/>
    <mergeCell ref="B26:F26"/>
    <mergeCell ref="B11:F11"/>
    <mergeCell ref="B12:C12"/>
    <mergeCell ref="D12:F12"/>
    <mergeCell ref="B13:C13"/>
    <mergeCell ref="D13:F13"/>
    <mergeCell ref="B18:F18"/>
    <mergeCell ref="B19:F19"/>
    <mergeCell ref="B20:F20"/>
    <mergeCell ref="B21:F21"/>
    <mergeCell ref="B23:F23"/>
    <mergeCell ref="B24:F24"/>
    <mergeCell ref="B27:F27"/>
    <mergeCell ref="B28:F28"/>
    <mergeCell ref="B29:F29"/>
    <mergeCell ref="B32:F32"/>
    <mergeCell ref="C35:F35"/>
    <mergeCell ref="B34:F34"/>
    <mergeCell ref="B44:F44"/>
    <mergeCell ref="C37:F37"/>
    <mergeCell ref="C38:F38"/>
    <mergeCell ref="C39:F39"/>
    <mergeCell ref="B41:F41"/>
    <mergeCell ref="B42:F42"/>
  </mergeCells>
  <dataValidations count="2">
    <dataValidation type="list" allowBlank="1" showInputMessage="1" showErrorMessage="1" sqref="C46:C48">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33" display="Schéma d'enseignement"/>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7"/>
  <sheetViews>
    <sheetView workbookViewId="0">
      <selection activeCell="B1" sqref="B1"/>
    </sheetView>
  </sheetViews>
  <sheetFormatPr baseColWidth="10" defaultColWidth="8.85546875" defaultRowHeight="15" x14ac:dyDescent="0.25"/>
  <cols>
    <col min="1" max="1" width="4.5703125" style="1" customWidth="1"/>
    <col min="2" max="2" width="37.140625" style="1" bestFit="1" customWidth="1"/>
    <col min="3" max="3" width="16.5703125" style="1" bestFit="1" customWidth="1"/>
    <col min="4" max="4" width="11.85546875" style="1" bestFit="1" customWidth="1"/>
    <col min="5" max="5" width="7.140625" style="1" bestFit="1" customWidth="1"/>
    <col min="6" max="6" width="29.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8.95"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191</v>
      </c>
      <c r="D8" s="444"/>
      <c r="E8" s="444"/>
      <c r="F8" s="444"/>
    </row>
    <row r="9" spans="2:6" ht="15.75" x14ac:dyDescent="0.25">
      <c r="B9" s="187" t="s">
        <v>310</v>
      </c>
      <c r="C9" s="444">
        <v>5</v>
      </c>
      <c r="D9" s="444"/>
      <c r="E9" s="444"/>
      <c r="F9" s="444"/>
    </row>
    <row r="10" spans="2:6" ht="15.75" x14ac:dyDescent="0.25">
      <c r="B10" s="150"/>
      <c r="C10" s="150"/>
      <c r="D10" s="150"/>
      <c r="E10" s="150"/>
      <c r="F10" s="150"/>
    </row>
    <row r="11" spans="2:6" ht="15.75" x14ac:dyDescent="0.25">
      <c r="B11" s="452" t="s">
        <v>309</v>
      </c>
      <c r="C11" s="452"/>
      <c r="D11" s="452"/>
      <c r="E11" s="452"/>
      <c r="F11" s="452"/>
    </row>
    <row r="12" spans="2:6" ht="15.75" x14ac:dyDescent="0.25">
      <c r="B12" s="452" t="s">
        <v>304</v>
      </c>
      <c r="C12" s="452"/>
      <c r="D12" s="452" t="s">
        <v>308</v>
      </c>
      <c r="E12" s="452"/>
      <c r="F12" s="452"/>
    </row>
    <row r="13" spans="2:6" ht="15.75" x14ac:dyDescent="0.25">
      <c r="B13" s="453">
        <v>43012</v>
      </c>
      <c r="C13" s="453"/>
      <c r="D13" s="444" t="s">
        <v>437</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15.75" x14ac:dyDescent="0.25">
      <c r="B16" s="35" t="s">
        <v>545</v>
      </c>
      <c r="C16" s="24" t="s">
        <v>439</v>
      </c>
      <c r="D16" s="233">
        <v>2</v>
      </c>
      <c r="E16" s="233">
        <v>2</v>
      </c>
      <c r="F16" s="233" t="s">
        <v>440</v>
      </c>
    </row>
    <row r="17" spans="2:6" ht="15.75" x14ac:dyDescent="0.25">
      <c r="B17" s="150"/>
      <c r="C17" s="150"/>
      <c r="D17" s="150"/>
      <c r="E17" s="150"/>
      <c r="F17" s="150"/>
    </row>
    <row r="18" spans="2:6" ht="15.75" x14ac:dyDescent="0.25">
      <c r="B18" s="446" t="s">
        <v>293</v>
      </c>
      <c r="C18" s="447"/>
      <c r="D18" s="447"/>
      <c r="E18" s="447"/>
      <c r="F18" s="448"/>
    </row>
    <row r="19" spans="2:6" ht="66.95" customHeight="1" x14ac:dyDescent="0.25">
      <c r="B19" s="449" t="s">
        <v>441</v>
      </c>
      <c r="C19" s="450"/>
      <c r="D19" s="450"/>
      <c r="E19" s="450"/>
      <c r="F19" s="451"/>
    </row>
    <row r="20" spans="2:6" ht="15.75" x14ac:dyDescent="0.25">
      <c r="B20" s="150"/>
      <c r="C20" s="150"/>
      <c r="D20" s="150"/>
      <c r="E20" s="150"/>
      <c r="F20" s="150"/>
    </row>
    <row r="21" spans="2:6" ht="15.75" x14ac:dyDescent="0.25">
      <c r="B21" s="446" t="s">
        <v>292</v>
      </c>
      <c r="C21" s="447"/>
      <c r="D21" s="447"/>
      <c r="E21" s="447"/>
      <c r="F21" s="448"/>
    </row>
    <row r="22" spans="2:6" ht="85.5" customHeight="1" x14ac:dyDescent="0.25">
      <c r="B22" s="454" t="s">
        <v>442</v>
      </c>
      <c r="C22" s="450"/>
      <c r="D22" s="450"/>
      <c r="E22" s="450"/>
      <c r="F22" s="451"/>
    </row>
    <row r="23" spans="2:6" ht="15.75" x14ac:dyDescent="0.25">
      <c r="B23" s="150"/>
      <c r="C23" s="150"/>
      <c r="D23" s="150"/>
      <c r="E23" s="150"/>
      <c r="F23" s="150"/>
    </row>
    <row r="24" spans="2:6" ht="15.75" x14ac:dyDescent="0.25">
      <c r="B24" s="446" t="s">
        <v>430</v>
      </c>
      <c r="C24" s="447"/>
      <c r="D24" s="447"/>
      <c r="E24" s="447"/>
      <c r="F24" s="448"/>
    </row>
    <row r="25" spans="2:6" ht="15.75" x14ac:dyDescent="0.25">
      <c r="B25" s="464" t="s">
        <v>548</v>
      </c>
      <c r="C25" s="450"/>
      <c r="D25" s="450"/>
      <c r="E25" s="450"/>
      <c r="F25" s="451"/>
    </row>
    <row r="26" spans="2:6" ht="15.75" x14ac:dyDescent="0.25">
      <c r="B26" s="199"/>
      <c r="C26" s="213"/>
      <c r="D26" s="213"/>
      <c r="E26" s="213"/>
      <c r="F26" s="213"/>
    </row>
    <row r="27" spans="2:6" ht="15.75" x14ac:dyDescent="0.25">
      <c r="B27" s="446" t="s">
        <v>282</v>
      </c>
      <c r="C27" s="447"/>
      <c r="D27" s="447"/>
      <c r="E27" s="447"/>
      <c r="F27" s="448"/>
    </row>
    <row r="28" spans="2:6" ht="159" customHeight="1" x14ac:dyDescent="0.25">
      <c r="B28" s="454" t="s">
        <v>546</v>
      </c>
      <c r="C28" s="450"/>
      <c r="D28" s="450"/>
      <c r="E28" s="450"/>
      <c r="F28" s="451"/>
    </row>
    <row r="29" spans="2:6" ht="15.75" x14ac:dyDescent="0.25">
      <c r="B29" s="213"/>
      <c r="C29" s="199"/>
      <c r="D29" s="199"/>
      <c r="E29" s="199"/>
      <c r="F29" s="199"/>
    </row>
    <row r="30" spans="2:6" ht="15.75" x14ac:dyDescent="0.25">
      <c r="B30" s="446" t="s">
        <v>435</v>
      </c>
      <c r="C30" s="447"/>
      <c r="D30" s="447"/>
      <c r="E30" s="447"/>
      <c r="F30" s="448"/>
    </row>
    <row r="31" spans="2:6" ht="15.75" x14ac:dyDescent="0.25">
      <c r="B31" s="192" t="s">
        <v>279</v>
      </c>
      <c r="C31" s="468" t="s">
        <v>451</v>
      </c>
      <c r="D31" s="468"/>
      <c r="E31" s="468"/>
      <c r="F31" s="468"/>
    </row>
    <row r="32" spans="2:6" ht="15.75" x14ac:dyDescent="0.25">
      <c r="B32" s="192" t="s">
        <v>278</v>
      </c>
      <c r="C32" s="468" t="s">
        <v>447</v>
      </c>
      <c r="D32" s="468"/>
      <c r="E32" s="468"/>
      <c r="F32" s="468"/>
    </row>
    <row r="33" spans="2:6" ht="15.75" x14ac:dyDescent="0.25">
      <c r="B33" s="192" t="s">
        <v>277</v>
      </c>
      <c r="C33" s="464"/>
      <c r="D33" s="450"/>
      <c r="E33" s="450"/>
      <c r="F33" s="451"/>
    </row>
    <row r="34" spans="2:6" ht="15.75" x14ac:dyDescent="0.25">
      <c r="B34" s="192" t="s">
        <v>448</v>
      </c>
      <c r="C34" s="468" t="s">
        <v>447</v>
      </c>
      <c r="D34" s="468"/>
      <c r="E34" s="468"/>
      <c r="F34" s="468"/>
    </row>
    <row r="35" spans="2:6" ht="15.75" x14ac:dyDescent="0.25">
      <c r="B35" s="192" t="s">
        <v>372</v>
      </c>
      <c r="C35" s="468" t="s">
        <v>449</v>
      </c>
      <c r="D35" s="468"/>
      <c r="E35" s="468"/>
      <c r="F35" s="468"/>
    </row>
    <row r="36" spans="2:6" ht="15.75" x14ac:dyDescent="0.25">
      <c r="B36" s="201"/>
      <c r="C36" s="201"/>
      <c r="D36" s="201"/>
      <c r="E36" s="201"/>
      <c r="F36" s="201"/>
    </row>
    <row r="37" spans="2:6" ht="15.75" x14ac:dyDescent="0.25">
      <c r="B37" s="446" t="s">
        <v>276</v>
      </c>
      <c r="C37" s="447"/>
      <c r="D37" s="447"/>
      <c r="E37" s="447"/>
      <c r="F37" s="448"/>
    </row>
    <row r="38" spans="2:6" ht="15.75" x14ac:dyDescent="0.25">
      <c r="B38" s="464"/>
      <c r="C38" s="450"/>
      <c r="D38" s="450"/>
      <c r="E38" s="450"/>
      <c r="F38" s="451"/>
    </row>
    <row r="39" spans="2:6" ht="15.75" x14ac:dyDescent="0.25">
      <c r="B39" s="201"/>
      <c r="C39" s="201"/>
      <c r="D39" s="201"/>
      <c r="E39" s="201"/>
      <c r="F39" s="201"/>
    </row>
    <row r="40" spans="2:6" ht="18.600000000000001" customHeight="1" x14ac:dyDescent="0.25">
      <c r="B40" s="501" t="s">
        <v>274</v>
      </c>
      <c r="C40" s="502"/>
      <c r="D40" s="502"/>
      <c r="E40" s="502"/>
      <c r="F40" s="503"/>
    </row>
    <row r="41" spans="2:6" ht="15.75" x14ac:dyDescent="0.25">
      <c r="B41" s="234" t="s">
        <v>273</v>
      </c>
      <c r="C41" s="234" t="s">
        <v>272</v>
      </c>
      <c r="D41" s="457" t="s">
        <v>271</v>
      </c>
      <c r="E41" s="458"/>
      <c r="F41" s="459"/>
    </row>
    <row r="42" spans="2:6" ht="15.75" x14ac:dyDescent="0.25">
      <c r="B42" s="192"/>
      <c r="C42" s="192" t="s">
        <v>268</v>
      </c>
      <c r="D42" s="461"/>
      <c r="E42" s="462"/>
      <c r="F42" s="463"/>
    </row>
    <row r="43" spans="2:6" ht="15.75" x14ac:dyDescent="0.25">
      <c r="B43" s="192"/>
      <c r="C43" s="192" t="s">
        <v>268</v>
      </c>
      <c r="D43" s="461"/>
      <c r="E43" s="462"/>
      <c r="F43" s="463"/>
    </row>
    <row r="44" spans="2:6" ht="15.75" x14ac:dyDescent="0.25">
      <c r="B44" s="192"/>
      <c r="C44" s="192"/>
      <c r="D44" s="461"/>
      <c r="E44" s="462"/>
      <c r="F44" s="463"/>
    </row>
    <row r="45" spans="2:6" ht="15.75" x14ac:dyDescent="0.25">
      <c r="B45" s="201"/>
      <c r="C45" s="201"/>
      <c r="D45" s="201"/>
      <c r="E45" s="201"/>
      <c r="F45" s="201"/>
    </row>
    <row r="46" spans="2:6" ht="15.75" x14ac:dyDescent="0.25">
      <c r="B46" s="446" t="s">
        <v>266</v>
      </c>
      <c r="C46" s="447"/>
      <c r="D46" s="447"/>
      <c r="E46" s="447"/>
      <c r="F46" s="448"/>
    </row>
    <row r="47" spans="2:6" ht="65.099999999999994" customHeight="1" x14ac:dyDescent="0.25">
      <c r="B47" s="449" t="s">
        <v>547</v>
      </c>
      <c r="C47" s="450"/>
      <c r="D47" s="450"/>
      <c r="E47" s="450"/>
      <c r="F47" s="451"/>
    </row>
  </sheetData>
  <mergeCells count="34">
    <mergeCell ref="B46:F46"/>
    <mergeCell ref="B47:F47"/>
    <mergeCell ref="D44:F44"/>
    <mergeCell ref="B37:F37"/>
    <mergeCell ref="B38:F38"/>
    <mergeCell ref="B40:F40"/>
    <mergeCell ref="D41:F41"/>
    <mergeCell ref="D42:F42"/>
    <mergeCell ref="D43:F43"/>
    <mergeCell ref="C35:F35"/>
    <mergeCell ref="B27:F27"/>
    <mergeCell ref="B28:F28"/>
    <mergeCell ref="B21:F21"/>
    <mergeCell ref="B22:F22"/>
    <mergeCell ref="B24:F24"/>
    <mergeCell ref="B25:F25"/>
    <mergeCell ref="B30:F30"/>
    <mergeCell ref="C31:F31"/>
    <mergeCell ref="C32:F32"/>
    <mergeCell ref="C33:F33"/>
    <mergeCell ref="C34:F34"/>
    <mergeCell ref="B18:F18"/>
    <mergeCell ref="B19:F19"/>
    <mergeCell ref="B11:F11"/>
    <mergeCell ref="B12:C12"/>
    <mergeCell ref="D12:F12"/>
    <mergeCell ref="B13:C13"/>
    <mergeCell ref="D13:F13"/>
    <mergeCell ref="C9:F9"/>
    <mergeCell ref="C4:F4"/>
    <mergeCell ref="C5:F5"/>
    <mergeCell ref="C6:F6"/>
    <mergeCell ref="C7:F7"/>
    <mergeCell ref="C8:F8"/>
  </mergeCells>
  <dataValidations count="2">
    <dataValidation type="list" allowBlank="1" showInputMessage="1" showErrorMessage="1" sqref="C4">
      <formula1>"Mise à jour à partir du plan d'études, Nouvelle création"</formula1>
    </dataValidation>
    <dataValidation type="list" allowBlank="1" showInputMessage="1" showErrorMessage="1" sqref="C42:C44">
      <formula1>"Académique, Professionnel, Associatif, Autre"</formula1>
    </dataValidation>
  </dataValidations>
  <hyperlinks>
    <hyperlink ref="B1" location="'Schéma d''enseignement'!G36" display="Schéma d'enseignement"/>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50"/>
  <sheetViews>
    <sheetView workbookViewId="0">
      <selection activeCell="B1" sqref="B1"/>
    </sheetView>
  </sheetViews>
  <sheetFormatPr baseColWidth="10" defaultColWidth="8.85546875" defaultRowHeight="15" x14ac:dyDescent="0.25"/>
  <cols>
    <col min="1" max="1" width="3.85546875" style="1" customWidth="1"/>
    <col min="2" max="2" width="37.140625" style="1" bestFit="1" customWidth="1"/>
    <col min="3" max="3" width="16.5703125" style="1" bestFit="1" customWidth="1"/>
    <col min="4" max="4" width="11.85546875" style="1" bestFit="1" customWidth="1"/>
    <col min="5" max="5" width="7.140625" style="1" bestFit="1" customWidth="1"/>
    <col min="6" max="6" width="26.4257812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8.600000000000001" customHeight="1" x14ac:dyDescent="0.25">
      <c r="B5" s="188" t="s">
        <v>318</v>
      </c>
      <c r="C5" s="445" t="s">
        <v>317</v>
      </c>
      <c r="D5" s="445"/>
      <c r="E5" s="445"/>
      <c r="F5" s="445"/>
    </row>
    <row r="6" spans="2:6" ht="15.75" x14ac:dyDescent="0.25">
      <c r="B6" s="187" t="s">
        <v>316</v>
      </c>
      <c r="C6" s="444" t="s">
        <v>315</v>
      </c>
      <c r="D6" s="444"/>
      <c r="E6" s="444"/>
      <c r="F6" s="444"/>
    </row>
    <row r="7" spans="2:6" ht="15.75" x14ac:dyDescent="0.25">
      <c r="B7" s="187" t="s">
        <v>314</v>
      </c>
      <c r="C7" s="444" t="s">
        <v>635</v>
      </c>
      <c r="D7" s="444"/>
      <c r="E7" s="444"/>
      <c r="F7" s="444"/>
    </row>
    <row r="8" spans="2:6" ht="15.75" x14ac:dyDescent="0.25">
      <c r="B8" s="187" t="s">
        <v>348</v>
      </c>
      <c r="C8" s="444" t="s">
        <v>191</v>
      </c>
      <c r="D8" s="444"/>
      <c r="E8" s="444"/>
      <c r="F8" s="444"/>
    </row>
    <row r="9" spans="2:6" ht="15.75" x14ac:dyDescent="0.25">
      <c r="B9" s="187" t="s">
        <v>310</v>
      </c>
      <c r="C9" s="444">
        <v>5</v>
      </c>
      <c r="D9" s="444"/>
      <c r="E9" s="444"/>
      <c r="F9" s="444"/>
    </row>
    <row r="10" spans="2:6" ht="15.75" x14ac:dyDescent="0.25">
      <c r="B10" s="150"/>
      <c r="C10" s="150"/>
      <c r="D10" s="150"/>
      <c r="E10" s="150"/>
      <c r="F10" s="150"/>
    </row>
    <row r="11" spans="2:6" ht="15.75" x14ac:dyDescent="0.25">
      <c r="B11" s="452" t="s">
        <v>309</v>
      </c>
      <c r="C11" s="452"/>
      <c r="D11" s="452"/>
      <c r="E11" s="452"/>
      <c r="F11" s="452"/>
    </row>
    <row r="12" spans="2:6" ht="15.75" x14ac:dyDescent="0.25">
      <c r="B12" s="452" t="s">
        <v>304</v>
      </c>
      <c r="C12" s="452"/>
      <c r="D12" s="452" t="s">
        <v>308</v>
      </c>
      <c r="E12" s="452"/>
      <c r="F12" s="452"/>
    </row>
    <row r="13" spans="2:6" ht="15.75" x14ac:dyDescent="0.25">
      <c r="B13" s="453">
        <v>43012</v>
      </c>
      <c r="C13" s="453"/>
      <c r="D13" s="444" t="s">
        <v>437</v>
      </c>
      <c r="E13" s="444"/>
      <c r="F13" s="444"/>
    </row>
    <row r="14" spans="2:6" ht="15.75" x14ac:dyDescent="0.25">
      <c r="B14" s="150"/>
      <c r="C14" s="150"/>
      <c r="D14" s="150"/>
      <c r="E14" s="150"/>
      <c r="F14" s="150"/>
    </row>
    <row r="15" spans="2:6" ht="15.75" x14ac:dyDescent="0.25">
      <c r="B15" s="150"/>
      <c r="C15" s="150"/>
      <c r="D15" s="150"/>
      <c r="E15" s="150"/>
      <c r="F15" s="150"/>
    </row>
    <row r="16" spans="2:6" ht="15.75" x14ac:dyDescent="0.25">
      <c r="B16" s="162" t="s">
        <v>300</v>
      </c>
      <c r="C16" s="162" t="s">
        <v>299</v>
      </c>
      <c r="D16" s="162" t="s">
        <v>298</v>
      </c>
      <c r="E16" s="162" t="s">
        <v>297</v>
      </c>
      <c r="F16" s="162" t="s">
        <v>296</v>
      </c>
    </row>
    <row r="17" spans="2:6" ht="15.75" x14ac:dyDescent="0.25">
      <c r="B17" s="35" t="s">
        <v>184</v>
      </c>
      <c r="C17" s="24">
        <v>42</v>
      </c>
      <c r="D17" s="233">
        <v>3</v>
      </c>
      <c r="E17" s="233">
        <v>3</v>
      </c>
      <c r="F17" s="233" t="s">
        <v>440</v>
      </c>
    </row>
    <row r="18" spans="2:6" ht="15.75" x14ac:dyDescent="0.25">
      <c r="B18" s="150"/>
      <c r="C18" s="150"/>
      <c r="D18" s="150"/>
      <c r="E18" s="150"/>
      <c r="F18" s="150"/>
    </row>
    <row r="19" spans="2:6" ht="15.75" x14ac:dyDescent="0.25">
      <c r="B19" s="446" t="s">
        <v>293</v>
      </c>
      <c r="C19" s="447"/>
      <c r="D19" s="447"/>
      <c r="E19" s="447"/>
      <c r="F19" s="448"/>
    </row>
    <row r="20" spans="2:6" ht="68.099999999999994" customHeight="1" x14ac:dyDescent="0.25">
      <c r="B20" s="449" t="s">
        <v>441</v>
      </c>
      <c r="C20" s="450"/>
      <c r="D20" s="450"/>
      <c r="E20" s="450"/>
      <c r="F20" s="451"/>
    </row>
    <row r="21" spans="2:6" ht="15.75" x14ac:dyDescent="0.25">
      <c r="B21" s="150"/>
      <c r="C21" s="150"/>
      <c r="D21" s="150"/>
      <c r="E21" s="150"/>
      <c r="F21" s="150"/>
    </row>
    <row r="22" spans="2:6" ht="15.75" x14ac:dyDescent="0.25">
      <c r="B22" s="446" t="s">
        <v>292</v>
      </c>
      <c r="C22" s="447"/>
      <c r="D22" s="447"/>
      <c r="E22" s="447"/>
      <c r="F22" s="448"/>
    </row>
    <row r="23" spans="2:6" ht="75" customHeight="1" x14ac:dyDescent="0.25">
      <c r="B23" s="454" t="s">
        <v>442</v>
      </c>
      <c r="C23" s="450"/>
      <c r="D23" s="450"/>
      <c r="E23" s="450"/>
      <c r="F23" s="451"/>
    </row>
    <row r="24" spans="2:6" ht="15.75" x14ac:dyDescent="0.25">
      <c r="B24" s="150"/>
      <c r="C24" s="150"/>
      <c r="D24" s="150"/>
      <c r="E24" s="150"/>
      <c r="F24" s="150"/>
    </row>
    <row r="25" spans="2:6" ht="15.75" x14ac:dyDescent="0.25">
      <c r="B25" s="446" t="s">
        <v>353</v>
      </c>
      <c r="C25" s="447"/>
      <c r="D25" s="447"/>
      <c r="E25" s="447"/>
      <c r="F25" s="448"/>
    </row>
    <row r="26" spans="2:6" ht="15.75" x14ac:dyDescent="0.25">
      <c r="B26" s="464" t="s">
        <v>548</v>
      </c>
      <c r="C26" s="450"/>
      <c r="D26" s="450"/>
      <c r="E26" s="450"/>
      <c r="F26" s="451"/>
    </row>
    <row r="27" spans="2:6" ht="15.75" x14ac:dyDescent="0.25">
      <c r="B27" s="201"/>
      <c r="C27" s="201"/>
      <c r="D27" s="201"/>
      <c r="E27" s="201"/>
      <c r="F27" s="201"/>
    </row>
    <row r="28" spans="2:6" ht="15.75" x14ac:dyDescent="0.25">
      <c r="B28" s="446" t="s">
        <v>355</v>
      </c>
      <c r="C28" s="447"/>
      <c r="D28" s="447"/>
      <c r="E28" s="447"/>
      <c r="F28" s="448"/>
    </row>
    <row r="29" spans="2:6" ht="15.75" x14ac:dyDescent="0.25">
      <c r="B29" s="571"/>
      <c r="C29" s="571"/>
      <c r="D29" s="571"/>
      <c r="E29" s="571"/>
      <c r="F29" s="571"/>
    </row>
    <row r="30" spans="2:6" ht="15.75" x14ac:dyDescent="0.25">
      <c r="B30" s="199"/>
      <c r="C30" s="213"/>
      <c r="D30" s="213"/>
      <c r="E30" s="213"/>
      <c r="F30" s="213"/>
    </row>
    <row r="31" spans="2:6" ht="15.75" x14ac:dyDescent="0.25">
      <c r="B31" s="446" t="s">
        <v>282</v>
      </c>
      <c r="C31" s="447"/>
      <c r="D31" s="447"/>
      <c r="E31" s="447"/>
      <c r="F31" s="448"/>
    </row>
    <row r="32" spans="2:6" ht="111.6" customHeight="1" x14ac:dyDescent="0.25">
      <c r="B32" s="454" t="s">
        <v>549</v>
      </c>
      <c r="C32" s="450"/>
      <c r="D32" s="450"/>
      <c r="E32" s="450"/>
      <c r="F32" s="451"/>
    </row>
    <row r="33" spans="2:6" ht="15.75" x14ac:dyDescent="0.25">
      <c r="B33" s="213"/>
      <c r="C33" s="199"/>
      <c r="D33" s="199"/>
      <c r="E33" s="199"/>
      <c r="F33" s="199"/>
    </row>
    <row r="34" spans="2:6" ht="15.75" x14ac:dyDescent="0.25">
      <c r="B34" s="446" t="s">
        <v>436</v>
      </c>
      <c r="C34" s="447"/>
      <c r="D34" s="447"/>
      <c r="E34" s="447"/>
      <c r="F34" s="448"/>
    </row>
    <row r="35" spans="2:6" ht="15.75" x14ac:dyDescent="0.25">
      <c r="B35" s="192" t="s">
        <v>278</v>
      </c>
    </row>
    <row r="36" spans="2:6" ht="15.75" x14ac:dyDescent="0.25">
      <c r="B36" s="192" t="s">
        <v>277</v>
      </c>
      <c r="C36" s="468" t="s">
        <v>550</v>
      </c>
      <c r="D36" s="468"/>
      <c r="E36" s="468"/>
      <c r="F36" s="468"/>
    </row>
    <row r="37" spans="2:6" ht="15.75" x14ac:dyDescent="0.25">
      <c r="B37" s="192" t="s">
        <v>448</v>
      </c>
      <c r="C37" s="468" t="s">
        <v>447</v>
      </c>
      <c r="D37" s="468"/>
      <c r="E37" s="468"/>
      <c r="F37" s="468"/>
    </row>
    <row r="38" spans="2:6" ht="15.75" x14ac:dyDescent="0.25">
      <c r="B38" s="192" t="s">
        <v>372</v>
      </c>
      <c r="C38" s="468" t="s">
        <v>449</v>
      </c>
      <c r="D38" s="468"/>
      <c r="E38" s="468"/>
      <c r="F38" s="468"/>
    </row>
    <row r="39" spans="2:6" ht="15.75" x14ac:dyDescent="0.25">
      <c r="B39" s="201"/>
      <c r="C39" s="201"/>
      <c r="D39" s="201"/>
      <c r="E39" s="201"/>
      <c r="F39" s="201"/>
    </row>
    <row r="40" spans="2:6" ht="15.75" x14ac:dyDescent="0.25">
      <c r="B40" s="446" t="s">
        <v>276</v>
      </c>
      <c r="C40" s="447"/>
      <c r="D40" s="447"/>
      <c r="E40" s="447"/>
      <c r="F40" s="448"/>
    </row>
    <row r="41" spans="2:6" ht="15.75" x14ac:dyDescent="0.25">
      <c r="B41" s="464" t="s">
        <v>551</v>
      </c>
      <c r="C41" s="450"/>
      <c r="D41" s="450"/>
      <c r="E41" s="450"/>
      <c r="F41" s="451"/>
    </row>
    <row r="42" spans="2:6" ht="15.75" x14ac:dyDescent="0.25">
      <c r="B42" s="201"/>
      <c r="C42" s="201"/>
      <c r="D42" s="201"/>
      <c r="E42" s="201"/>
      <c r="F42" s="201"/>
    </row>
    <row r="43" spans="2:6" ht="18" customHeight="1" x14ac:dyDescent="0.25">
      <c r="B43" s="501" t="s">
        <v>274</v>
      </c>
      <c r="C43" s="502"/>
      <c r="D43" s="502"/>
      <c r="E43" s="502"/>
      <c r="F43" s="503"/>
    </row>
    <row r="44" spans="2:6" ht="15.75" x14ac:dyDescent="0.25">
      <c r="B44" s="234" t="s">
        <v>273</v>
      </c>
      <c r="C44" s="234" t="s">
        <v>272</v>
      </c>
      <c r="D44" s="457" t="s">
        <v>271</v>
      </c>
      <c r="E44" s="458"/>
      <c r="F44" s="459"/>
    </row>
    <row r="45" spans="2:6" ht="15.75" x14ac:dyDescent="0.25">
      <c r="B45" s="192"/>
      <c r="C45" s="192" t="s">
        <v>268</v>
      </c>
      <c r="D45" s="461"/>
      <c r="E45" s="462"/>
      <c r="F45" s="463"/>
    </row>
    <row r="46" spans="2:6" ht="15.75" x14ac:dyDescent="0.25">
      <c r="B46" s="192"/>
      <c r="C46" s="192" t="s">
        <v>268</v>
      </c>
      <c r="D46" s="461"/>
      <c r="E46" s="462"/>
      <c r="F46" s="463"/>
    </row>
    <row r="47" spans="2:6" ht="15.75" x14ac:dyDescent="0.25">
      <c r="B47" s="192"/>
      <c r="C47" s="192"/>
      <c r="D47" s="461"/>
      <c r="E47" s="462"/>
      <c r="F47" s="463"/>
    </row>
    <row r="48" spans="2:6" ht="15.75" x14ac:dyDescent="0.25">
      <c r="B48" s="201"/>
      <c r="C48" s="201"/>
      <c r="D48" s="201"/>
      <c r="E48" s="201"/>
      <c r="F48" s="201"/>
    </row>
    <row r="49" spans="2:6" ht="15.75" x14ac:dyDescent="0.25">
      <c r="B49" s="446" t="s">
        <v>266</v>
      </c>
      <c r="C49" s="447"/>
      <c r="D49" s="447"/>
      <c r="E49" s="447"/>
      <c r="F49" s="448"/>
    </row>
    <row r="50" spans="2:6" ht="15.75" x14ac:dyDescent="0.25">
      <c r="B50" s="449"/>
      <c r="C50" s="450"/>
      <c r="D50" s="450"/>
      <c r="E50" s="450"/>
      <c r="F50" s="451"/>
    </row>
  </sheetData>
  <mergeCells count="34">
    <mergeCell ref="B49:F49"/>
    <mergeCell ref="B50:F50"/>
    <mergeCell ref="B29:F29"/>
    <mergeCell ref="D46:F46"/>
    <mergeCell ref="D47:F47"/>
    <mergeCell ref="C38:F38"/>
    <mergeCell ref="B40:F40"/>
    <mergeCell ref="B41:F41"/>
    <mergeCell ref="B43:F43"/>
    <mergeCell ref="D44:F44"/>
    <mergeCell ref="D45:F45"/>
    <mergeCell ref="B31:F31"/>
    <mergeCell ref="B32:F32"/>
    <mergeCell ref="B34:F34"/>
    <mergeCell ref="C36:F36"/>
    <mergeCell ref="C37:F37"/>
    <mergeCell ref="B28:F28"/>
    <mergeCell ref="B22:F22"/>
    <mergeCell ref="B23:F23"/>
    <mergeCell ref="B25:F25"/>
    <mergeCell ref="B26:F26"/>
    <mergeCell ref="B19:F19"/>
    <mergeCell ref="B20:F20"/>
    <mergeCell ref="B11:F11"/>
    <mergeCell ref="B12:C12"/>
    <mergeCell ref="D12:F12"/>
    <mergeCell ref="B13:C13"/>
    <mergeCell ref="D13:F13"/>
    <mergeCell ref="C9:F9"/>
    <mergeCell ref="C4:F4"/>
    <mergeCell ref="C5:F5"/>
    <mergeCell ref="C6:F6"/>
    <mergeCell ref="C7:F7"/>
    <mergeCell ref="C8:F8"/>
  </mergeCells>
  <dataValidations count="2">
    <dataValidation type="list" allowBlank="1" showInputMessage="1" showErrorMessage="1" sqref="C45:C47">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37" display="Schéma d'enseignement"/>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9"/>
  <sheetViews>
    <sheetView workbookViewId="0">
      <selection activeCell="B1" sqref="B1"/>
    </sheetView>
  </sheetViews>
  <sheetFormatPr baseColWidth="10" defaultColWidth="8.85546875" defaultRowHeight="15" x14ac:dyDescent="0.25"/>
  <cols>
    <col min="1" max="1" width="3.42578125" style="1" customWidth="1"/>
    <col min="2" max="2" width="28.85546875" style="1" customWidth="1"/>
    <col min="3" max="3" width="20.140625" style="1" customWidth="1"/>
    <col min="4" max="4" width="15" style="1" customWidth="1"/>
    <col min="5" max="5" width="8.85546875" style="1"/>
    <col min="6" max="6" width="27.5703125" style="1" customWidth="1"/>
    <col min="7" max="16384" width="8.85546875" style="1"/>
  </cols>
  <sheetData>
    <row r="1" spans="2:6" x14ac:dyDescent="0.25">
      <c r="B1" s="326" t="s">
        <v>692</v>
      </c>
    </row>
    <row r="2" spans="2:6" ht="15.75" x14ac:dyDescent="0.25">
      <c r="B2" s="315" t="s">
        <v>344</v>
      </c>
      <c r="C2" s="314"/>
      <c r="D2" s="314"/>
      <c r="E2" s="314"/>
      <c r="F2" s="314"/>
    </row>
    <row r="3" spans="2:6" ht="15.75" x14ac:dyDescent="0.25">
      <c r="B3" s="300"/>
      <c r="C3" s="300"/>
      <c r="D3" s="300"/>
      <c r="E3" s="300"/>
      <c r="F3" s="300"/>
    </row>
    <row r="4" spans="2:6" ht="15.75" x14ac:dyDescent="0.25">
      <c r="B4" s="312" t="s">
        <v>320</v>
      </c>
      <c r="C4" s="444" t="s">
        <v>345</v>
      </c>
      <c r="D4" s="444"/>
      <c r="E4" s="444"/>
      <c r="F4" s="444"/>
    </row>
    <row r="5" spans="2:6" ht="18.600000000000001" customHeight="1" x14ac:dyDescent="0.25">
      <c r="B5" s="313" t="s">
        <v>318</v>
      </c>
      <c r="C5" s="445" t="s">
        <v>457</v>
      </c>
      <c r="D5" s="445"/>
      <c r="E5" s="445"/>
      <c r="F5" s="445"/>
    </row>
    <row r="6" spans="2:6" ht="15.75" x14ac:dyDescent="0.25">
      <c r="B6" s="312" t="s">
        <v>316</v>
      </c>
      <c r="C6" s="444" t="s">
        <v>552</v>
      </c>
      <c r="D6" s="444"/>
      <c r="E6" s="444"/>
      <c r="F6" s="444"/>
    </row>
    <row r="7" spans="2:6" ht="15.75" x14ac:dyDescent="0.25">
      <c r="B7" s="312" t="s">
        <v>314</v>
      </c>
      <c r="C7" s="444" t="s">
        <v>635</v>
      </c>
      <c r="D7" s="444"/>
      <c r="E7" s="444"/>
      <c r="F7" s="444"/>
    </row>
    <row r="8" spans="2:6" ht="15.75" x14ac:dyDescent="0.25">
      <c r="B8" s="312" t="s">
        <v>348</v>
      </c>
      <c r="C8" s="444" t="s">
        <v>193</v>
      </c>
      <c r="D8" s="444"/>
      <c r="E8" s="444"/>
      <c r="F8" s="444"/>
    </row>
    <row r="9" spans="2:6" ht="15.75" x14ac:dyDescent="0.25">
      <c r="B9" s="312" t="s">
        <v>310</v>
      </c>
      <c r="C9" s="444" t="s">
        <v>674</v>
      </c>
      <c r="D9" s="444"/>
      <c r="E9" s="444"/>
      <c r="F9" s="444"/>
    </row>
    <row r="10" spans="2:6" ht="15.75" x14ac:dyDescent="0.25">
      <c r="B10" s="300"/>
      <c r="C10" s="300"/>
      <c r="D10" s="300"/>
      <c r="E10" s="300"/>
      <c r="F10" s="30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43194</v>
      </c>
      <c r="C13" s="484"/>
      <c r="D13" s="444" t="s">
        <v>437</v>
      </c>
      <c r="E13" s="444"/>
      <c r="F13" s="444"/>
    </row>
    <row r="14" spans="2:6" ht="15.75" x14ac:dyDescent="0.25">
      <c r="B14" s="300"/>
      <c r="C14" s="300"/>
      <c r="D14" s="300"/>
      <c r="E14" s="300"/>
      <c r="F14" s="300"/>
    </row>
    <row r="15" spans="2:6" ht="15.75" x14ac:dyDescent="0.25">
      <c r="B15" s="311" t="s">
        <v>300</v>
      </c>
      <c r="C15" s="311" t="s">
        <v>299</v>
      </c>
      <c r="D15" s="311" t="s">
        <v>298</v>
      </c>
      <c r="E15" s="311" t="s">
        <v>297</v>
      </c>
      <c r="F15" s="311" t="s">
        <v>296</v>
      </c>
    </row>
    <row r="16" spans="2:6" ht="27.6" customHeight="1" x14ac:dyDescent="0.25">
      <c r="B16" s="310" t="s">
        <v>675</v>
      </c>
      <c r="C16" s="309">
        <v>21</v>
      </c>
      <c r="D16" s="309">
        <v>2</v>
      </c>
      <c r="E16" s="309">
        <v>2</v>
      </c>
      <c r="F16" s="309" t="s">
        <v>440</v>
      </c>
    </row>
    <row r="17" spans="2:6" ht="15.75" x14ac:dyDescent="0.25">
      <c r="B17" s="308"/>
      <c r="C17" s="307"/>
      <c r="D17" s="307"/>
      <c r="E17" s="307"/>
      <c r="F17" s="307"/>
    </row>
    <row r="18" spans="2:6" ht="15.75" x14ac:dyDescent="0.25">
      <c r="B18" s="446" t="s">
        <v>293</v>
      </c>
      <c r="C18" s="447"/>
      <c r="D18" s="447"/>
      <c r="E18" s="447"/>
      <c r="F18" s="448"/>
    </row>
    <row r="19" spans="2:6" ht="15.75" x14ac:dyDescent="0.25">
      <c r="B19" s="449" t="s">
        <v>553</v>
      </c>
      <c r="C19" s="450"/>
      <c r="D19" s="450"/>
      <c r="E19" s="450"/>
      <c r="F19" s="451"/>
    </row>
    <row r="20" spans="2:6" ht="15.75" x14ac:dyDescent="0.25">
      <c r="B20" s="446" t="s">
        <v>292</v>
      </c>
      <c r="C20" s="447"/>
      <c r="D20" s="447"/>
      <c r="E20" s="447"/>
      <c r="F20" s="448"/>
    </row>
    <row r="21" spans="2:6" ht="45" customHeight="1" x14ac:dyDescent="0.25">
      <c r="B21" s="449" t="s">
        <v>554</v>
      </c>
      <c r="C21" s="450"/>
      <c r="D21" s="450"/>
      <c r="E21" s="450"/>
      <c r="F21" s="451"/>
    </row>
    <row r="22" spans="2:6" ht="15.75" x14ac:dyDescent="0.25">
      <c r="B22" s="300"/>
      <c r="C22" s="300"/>
      <c r="D22" s="300"/>
      <c r="E22" s="300"/>
      <c r="F22" s="300"/>
    </row>
    <row r="23" spans="2:6" ht="15.75" x14ac:dyDescent="0.25">
      <c r="B23" s="446" t="s">
        <v>353</v>
      </c>
      <c r="C23" s="447"/>
      <c r="D23" s="447"/>
      <c r="E23" s="447"/>
      <c r="F23" s="448"/>
    </row>
    <row r="24" spans="2:6" ht="15.75" x14ac:dyDescent="0.25">
      <c r="B24" s="464" t="s">
        <v>555</v>
      </c>
      <c r="C24" s="506"/>
      <c r="D24" s="506"/>
      <c r="E24" s="506"/>
      <c r="F24" s="507"/>
    </row>
    <row r="25" spans="2:6" ht="15.75" x14ac:dyDescent="0.25">
      <c r="B25" s="300"/>
      <c r="C25" s="300"/>
      <c r="D25" s="300"/>
      <c r="E25" s="300"/>
      <c r="F25" s="300"/>
    </row>
    <row r="26" spans="2:6" ht="15.75" x14ac:dyDescent="0.25">
      <c r="B26" s="446" t="s">
        <v>355</v>
      </c>
      <c r="C26" s="447"/>
      <c r="D26" s="447"/>
      <c r="E26" s="447"/>
      <c r="F26" s="448"/>
    </row>
    <row r="27" spans="2:6" ht="15.75" x14ac:dyDescent="0.25">
      <c r="B27" s="460" t="s">
        <v>556</v>
      </c>
      <c r="C27" s="460"/>
      <c r="D27" s="460"/>
      <c r="E27" s="460"/>
      <c r="F27" s="460"/>
    </row>
    <row r="28" spans="2:6" ht="15.75" x14ac:dyDescent="0.25">
      <c r="B28" s="460" t="s">
        <v>9</v>
      </c>
      <c r="C28" s="460"/>
      <c r="D28" s="460"/>
      <c r="E28" s="460"/>
      <c r="F28" s="460"/>
    </row>
    <row r="29" spans="2:6" ht="15.75" x14ac:dyDescent="0.25">
      <c r="B29" s="460" t="s">
        <v>289</v>
      </c>
      <c r="C29" s="460"/>
      <c r="D29" s="460"/>
      <c r="E29" s="460"/>
      <c r="F29" s="460"/>
    </row>
    <row r="30" spans="2:6" ht="15.75" x14ac:dyDescent="0.25">
      <c r="B30" s="300"/>
      <c r="C30" s="300"/>
      <c r="D30" s="300"/>
      <c r="E30" s="300"/>
      <c r="F30" s="300"/>
    </row>
    <row r="31" spans="2:6" ht="15.75" x14ac:dyDescent="0.25">
      <c r="B31" s="446" t="s">
        <v>282</v>
      </c>
      <c r="C31" s="447"/>
      <c r="D31" s="447"/>
      <c r="E31" s="447"/>
      <c r="F31" s="448"/>
    </row>
    <row r="32" spans="2:6" ht="78.95" customHeight="1" x14ac:dyDescent="0.25">
      <c r="B32" s="449" t="s">
        <v>557</v>
      </c>
      <c r="C32" s="450"/>
      <c r="D32" s="450"/>
      <c r="E32" s="450"/>
      <c r="F32" s="451"/>
    </row>
    <row r="33" spans="2:6" ht="15.75" x14ac:dyDescent="0.25">
      <c r="B33" s="306"/>
      <c r="C33" s="299"/>
      <c r="D33" s="299"/>
      <c r="E33" s="299"/>
      <c r="F33" s="299"/>
    </row>
    <row r="34" spans="2:6" ht="15.75" x14ac:dyDescent="0.25">
      <c r="B34" s="446" t="s">
        <v>436</v>
      </c>
      <c r="C34" s="447"/>
      <c r="D34" s="447"/>
      <c r="E34" s="447"/>
      <c r="F34" s="448"/>
    </row>
    <row r="35" spans="2:6" ht="15.75" x14ac:dyDescent="0.25">
      <c r="B35" s="304" t="s">
        <v>558</v>
      </c>
      <c r="C35" s="468"/>
      <c r="D35" s="468"/>
      <c r="E35" s="468"/>
      <c r="F35" s="468"/>
    </row>
    <row r="36" spans="2:6" ht="15.75" x14ac:dyDescent="0.25">
      <c r="B36" s="304" t="s">
        <v>559</v>
      </c>
      <c r="C36" s="468"/>
      <c r="D36" s="468"/>
      <c r="E36" s="468"/>
      <c r="F36" s="468"/>
    </row>
    <row r="37" spans="2:6" ht="31.5" x14ac:dyDescent="0.25">
      <c r="B37" s="305" t="s">
        <v>560</v>
      </c>
      <c r="C37" s="464"/>
      <c r="D37" s="450"/>
      <c r="E37" s="450"/>
      <c r="F37" s="451"/>
    </row>
    <row r="38" spans="2:6" ht="15.75" x14ac:dyDescent="0.25">
      <c r="B38" s="300"/>
      <c r="C38" s="300"/>
      <c r="D38" s="300"/>
      <c r="E38" s="300"/>
      <c r="F38" s="300"/>
    </row>
    <row r="39" spans="2:6" ht="15.75" x14ac:dyDescent="0.25">
      <c r="B39" s="446" t="s">
        <v>276</v>
      </c>
      <c r="C39" s="447"/>
      <c r="D39" s="447"/>
      <c r="E39" s="447"/>
      <c r="F39" s="448"/>
    </row>
    <row r="40" spans="2:6" ht="15.75" x14ac:dyDescent="0.25">
      <c r="B40" s="464" t="s">
        <v>561</v>
      </c>
      <c r="C40" s="450"/>
      <c r="D40" s="450"/>
      <c r="E40" s="450"/>
      <c r="F40" s="451"/>
    </row>
    <row r="41" spans="2:6" ht="15.75" x14ac:dyDescent="0.25">
      <c r="B41" s="300"/>
      <c r="C41" s="300"/>
      <c r="D41" s="300"/>
      <c r="E41" s="300"/>
      <c r="F41" s="300"/>
    </row>
    <row r="42" spans="2:6" ht="15.75" x14ac:dyDescent="0.25">
      <c r="B42" s="446" t="s">
        <v>274</v>
      </c>
      <c r="C42" s="447"/>
      <c r="D42" s="447"/>
      <c r="E42" s="447"/>
      <c r="F42" s="448"/>
    </row>
    <row r="43" spans="2:6" ht="15.75" x14ac:dyDescent="0.25">
      <c r="B43" s="303" t="s">
        <v>273</v>
      </c>
      <c r="C43" s="303" t="s">
        <v>272</v>
      </c>
      <c r="D43" s="446" t="s">
        <v>271</v>
      </c>
      <c r="E43" s="447"/>
      <c r="F43" s="448"/>
    </row>
    <row r="44" spans="2:6" ht="15.75" x14ac:dyDescent="0.25">
      <c r="B44" s="302"/>
      <c r="C44" s="302"/>
      <c r="D44" s="491"/>
      <c r="E44" s="492"/>
      <c r="F44" s="493"/>
    </row>
    <row r="45" spans="2:6" ht="15.75" x14ac:dyDescent="0.25">
      <c r="B45" s="302"/>
      <c r="C45" s="302"/>
      <c r="D45" s="491"/>
      <c r="E45" s="492"/>
      <c r="F45" s="493"/>
    </row>
    <row r="46" spans="2:6" ht="15.75" x14ac:dyDescent="0.25">
      <c r="B46" s="301"/>
      <c r="C46" s="301"/>
      <c r="D46" s="491"/>
      <c r="E46" s="492"/>
      <c r="F46" s="493"/>
    </row>
    <row r="47" spans="2:6" ht="15.75" x14ac:dyDescent="0.25">
      <c r="B47" s="300"/>
      <c r="C47" s="300"/>
      <c r="D47" s="300"/>
      <c r="E47" s="300"/>
      <c r="F47" s="300"/>
    </row>
    <row r="48" spans="2:6" ht="15.75" x14ac:dyDescent="0.25">
      <c r="B48" s="446" t="s">
        <v>266</v>
      </c>
      <c r="C48" s="447"/>
      <c r="D48" s="447"/>
      <c r="E48" s="447"/>
      <c r="F48" s="448"/>
    </row>
    <row r="49" spans="2:6" ht="107.1" customHeight="1" x14ac:dyDescent="0.25">
      <c r="B49" s="449" t="s">
        <v>562</v>
      </c>
      <c r="C49" s="450"/>
      <c r="D49" s="450"/>
      <c r="E49" s="450"/>
      <c r="F49" s="451"/>
    </row>
  </sheetData>
  <mergeCells count="36">
    <mergeCell ref="B18:F18"/>
    <mergeCell ref="B19:F19"/>
    <mergeCell ref="B20:F20"/>
    <mergeCell ref="C8:F8"/>
    <mergeCell ref="C4:F4"/>
    <mergeCell ref="C5:F5"/>
    <mergeCell ref="C6:F6"/>
    <mergeCell ref="C7:F7"/>
    <mergeCell ref="C9:F9"/>
    <mergeCell ref="B11:F11"/>
    <mergeCell ref="B12:C12"/>
    <mergeCell ref="D12:F12"/>
    <mergeCell ref="B13:C13"/>
    <mergeCell ref="D13:F13"/>
    <mergeCell ref="B21:F21"/>
    <mergeCell ref="B23:F23"/>
    <mergeCell ref="B32:F32"/>
    <mergeCell ref="B26:F26"/>
    <mergeCell ref="B27:F27"/>
    <mergeCell ref="B28:F28"/>
    <mergeCell ref="B29:F29"/>
    <mergeCell ref="B24:F24"/>
    <mergeCell ref="B31:F31"/>
    <mergeCell ref="D46:F46"/>
    <mergeCell ref="B48:F48"/>
    <mergeCell ref="B49:F49"/>
    <mergeCell ref="D45:F45"/>
    <mergeCell ref="B34:F34"/>
    <mergeCell ref="C35:F35"/>
    <mergeCell ref="C36:F36"/>
    <mergeCell ref="C37:F37"/>
    <mergeCell ref="D44:F44"/>
    <mergeCell ref="B39:F39"/>
    <mergeCell ref="B40:F40"/>
    <mergeCell ref="B42:F42"/>
    <mergeCell ref="D43:F43"/>
  </mergeCells>
  <dataValidations count="1">
    <dataValidation type="list" allowBlank="1" showInputMessage="1" showErrorMessage="1" sqref="C4">
      <formula1>"Mise à jour à partir du plan d'études, Nouvelle création"</formula1>
    </dataValidation>
  </dataValidations>
  <hyperlinks>
    <hyperlink ref="B1" location="'Schéma d''enseignement'!G38" display="Schéma d'enseignement"/>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F49"/>
  <sheetViews>
    <sheetView workbookViewId="0">
      <selection activeCell="B1" sqref="B1"/>
    </sheetView>
  </sheetViews>
  <sheetFormatPr baseColWidth="10" defaultColWidth="8.85546875" defaultRowHeight="15" x14ac:dyDescent="0.25"/>
  <cols>
    <col min="1" max="1" width="8.85546875" style="1"/>
    <col min="2" max="2" width="29.42578125" style="1" customWidth="1"/>
    <col min="3" max="3" width="15.5703125" style="1" customWidth="1"/>
    <col min="4" max="4" width="11.85546875" style="1" customWidth="1"/>
    <col min="5" max="5" width="7" style="1" customWidth="1"/>
    <col min="6" max="6" width="35.85546875" style="1" customWidth="1"/>
    <col min="7" max="16384" width="8.85546875" style="1"/>
  </cols>
  <sheetData>
    <row r="1" spans="2:6" x14ac:dyDescent="0.25">
      <c r="B1" s="326" t="s">
        <v>692</v>
      </c>
    </row>
    <row r="2" spans="2:6" ht="15.75" x14ac:dyDescent="0.25">
      <c r="B2" s="166" t="s">
        <v>344</v>
      </c>
      <c r="C2" s="165"/>
      <c r="D2" s="165"/>
      <c r="E2" s="165"/>
      <c r="F2" s="165"/>
    </row>
    <row r="3" spans="2:6" ht="15.75" x14ac:dyDescent="0.25">
      <c r="B3" s="150"/>
      <c r="C3" s="150"/>
      <c r="D3" s="150"/>
      <c r="E3" s="150"/>
      <c r="F3" s="150"/>
    </row>
    <row r="4" spans="2:6" ht="15.75" x14ac:dyDescent="0.25">
      <c r="B4" s="187" t="s">
        <v>320</v>
      </c>
      <c r="C4" s="444" t="s">
        <v>345</v>
      </c>
      <c r="D4" s="444"/>
      <c r="E4" s="444"/>
      <c r="F4" s="444"/>
    </row>
    <row r="5" spans="2:6" ht="17.100000000000001" customHeight="1" x14ac:dyDescent="0.25">
      <c r="B5" s="188" t="s">
        <v>318</v>
      </c>
      <c r="C5" s="445" t="s">
        <v>457</v>
      </c>
      <c r="D5" s="445"/>
      <c r="E5" s="445"/>
      <c r="F5" s="445"/>
    </row>
    <row r="6" spans="2:6" ht="15.75" x14ac:dyDescent="0.25">
      <c r="B6" s="187" t="s">
        <v>316</v>
      </c>
      <c r="C6" s="444" t="s">
        <v>552</v>
      </c>
      <c r="D6" s="444"/>
      <c r="E6" s="444"/>
      <c r="F6" s="444"/>
    </row>
    <row r="7" spans="2:6" ht="15.75" x14ac:dyDescent="0.25">
      <c r="B7" s="187" t="s">
        <v>314</v>
      </c>
      <c r="C7" s="444" t="s">
        <v>635</v>
      </c>
      <c r="D7" s="444"/>
      <c r="E7" s="444"/>
      <c r="F7" s="444"/>
    </row>
    <row r="8" spans="2:6" ht="15.75" x14ac:dyDescent="0.25">
      <c r="B8" s="187" t="s">
        <v>348</v>
      </c>
      <c r="C8" s="444" t="s">
        <v>234</v>
      </c>
      <c r="D8" s="444"/>
      <c r="E8" s="444"/>
      <c r="F8" s="444"/>
    </row>
    <row r="9" spans="2:6" ht="15.75" x14ac:dyDescent="0.25">
      <c r="B9" s="187" t="s">
        <v>310</v>
      </c>
      <c r="C9" s="444">
        <v>5</v>
      </c>
      <c r="D9" s="444"/>
      <c r="E9" s="444"/>
      <c r="F9" s="444"/>
    </row>
    <row r="10" spans="2:6" ht="15.75" x14ac:dyDescent="0.25">
      <c r="B10" s="150"/>
      <c r="C10" s="150"/>
      <c r="D10" s="150"/>
      <c r="E10" s="150"/>
      <c r="F10" s="150"/>
    </row>
    <row r="11" spans="2:6" ht="15.75" x14ac:dyDescent="0.25">
      <c r="B11" s="452" t="s">
        <v>350</v>
      </c>
      <c r="C11" s="452"/>
      <c r="D11" s="452"/>
      <c r="E11" s="452"/>
      <c r="F11" s="452"/>
    </row>
    <row r="12" spans="2:6" ht="15.75" x14ac:dyDescent="0.25">
      <c r="B12" s="475" t="s">
        <v>304</v>
      </c>
      <c r="C12" s="477"/>
      <c r="D12" s="452" t="s">
        <v>308</v>
      </c>
      <c r="E12" s="452"/>
      <c r="F12" s="452"/>
    </row>
    <row r="13" spans="2:6" ht="15.75" x14ac:dyDescent="0.25">
      <c r="B13" s="483">
        <v>43194</v>
      </c>
      <c r="C13" s="484"/>
      <c r="D13" s="444" t="s">
        <v>437</v>
      </c>
      <c r="E13" s="444"/>
      <c r="F13" s="444"/>
    </row>
    <row r="14" spans="2:6" ht="15.75" x14ac:dyDescent="0.25">
      <c r="B14" s="150"/>
      <c r="C14" s="150"/>
      <c r="D14" s="150"/>
      <c r="E14" s="150"/>
      <c r="F14" s="150"/>
    </row>
    <row r="15" spans="2:6" ht="15.75" x14ac:dyDescent="0.25">
      <c r="B15" s="162" t="s">
        <v>300</v>
      </c>
      <c r="C15" s="162" t="s">
        <v>299</v>
      </c>
      <c r="D15" s="162" t="s">
        <v>298</v>
      </c>
      <c r="E15" s="162" t="s">
        <v>297</v>
      </c>
      <c r="F15" s="162" t="s">
        <v>296</v>
      </c>
    </row>
    <row r="16" spans="2:6" ht="31.5" x14ac:dyDescent="0.25">
      <c r="B16" s="35" t="s">
        <v>563</v>
      </c>
      <c r="C16" s="24">
        <v>21</v>
      </c>
      <c r="D16" s="24">
        <v>2</v>
      </c>
      <c r="E16" s="24">
        <v>2</v>
      </c>
      <c r="F16" s="24" t="s">
        <v>440</v>
      </c>
    </row>
    <row r="17" spans="2:6" ht="15.75" x14ac:dyDescent="0.25">
      <c r="B17" s="189"/>
      <c r="C17" s="190"/>
      <c r="D17" s="190"/>
      <c r="E17" s="190"/>
      <c r="F17" s="190"/>
    </row>
    <row r="18" spans="2:6" ht="15.75" x14ac:dyDescent="0.25">
      <c r="B18" s="446" t="s">
        <v>293</v>
      </c>
      <c r="C18" s="447"/>
      <c r="D18" s="447"/>
      <c r="E18" s="447"/>
      <c r="F18" s="448"/>
    </row>
    <row r="19" spans="2:6" ht="18.95" customHeight="1" x14ac:dyDescent="0.25">
      <c r="B19" s="449" t="s">
        <v>553</v>
      </c>
      <c r="C19" s="450"/>
      <c r="D19" s="450"/>
      <c r="E19" s="450"/>
      <c r="F19" s="451"/>
    </row>
    <row r="20" spans="2:6" ht="15.75" x14ac:dyDescent="0.25">
      <c r="B20" s="446" t="s">
        <v>292</v>
      </c>
      <c r="C20" s="447"/>
      <c r="D20" s="447"/>
      <c r="E20" s="447"/>
      <c r="F20" s="448"/>
    </row>
    <row r="21" spans="2:6" ht="48" customHeight="1" x14ac:dyDescent="0.25">
      <c r="B21" s="449" t="s">
        <v>554</v>
      </c>
      <c r="C21" s="450"/>
      <c r="D21" s="450"/>
      <c r="E21" s="450"/>
      <c r="F21" s="451"/>
    </row>
    <row r="22" spans="2:6" ht="15.75" x14ac:dyDescent="0.25">
      <c r="B22" s="150"/>
      <c r="C22" s="150"/>
      <c r="D22" s="150"/>
      <c r="E22" s="150"/>
      <c r="F22" s="150"/>
    </row>
    <row r="23" spans="2:6" ht="15.75" x14ac:dyDescent="0.25">
      <c r="B23" s="446" t="s">
        <v>353</v>
      </c>
      <c r="C23" s="447"/>
      <c r="D23" s="447"/>
      <c r="E23" s="447"/>
      <c r="F23" s="448"/>
    </row>
    <row r="24" spans="2:6" ht="15.75" x14ac:dyDescent="0.25">
      <c r="B24" s="464" t="s">
        <v>555</v>
      </c>
      <c r="C24" s="506"/>
      <c r="D24" s="506"/>
      <c r="E24" s="506"/>
      <c r="F24" s="507"/>
    </row>
    <row r="25" spans="2:6" ht="15.75" x14ac:dyDescent="0.25">
      <c r="B25" s="150"/>
      <c r="C25" s="150"/>
      <c r="D25" s="150"/>
      <c r="E25" s="150"/>
      <c r="F25" s="150"/>
    </row>
    <row r="26" spans="2:6" ht="15.75" x14ac:dyDescent="0.25">
      <c r="B26" s="446" t="s">
        <v>355</v>
      </c>
      <c r="C26" s="447"/>
      <c r="D26" s="447"/>
      <c r="E26" s="447"/>
      <c r="F26" s="448"/>
    </row>
    <row r="27" spans="2:6" ht="15.75" x14ac:dyDescent="0.25">
      <c r="B27" s="572" t="s">
        <v>556</v>
      </c>
      <c r="C27" s="573"/>
      <c r="D27" s="573"/>
      <c r="E27" s="573"/>
      <c r="F27" s="574"/>
    </row>
    <row r="28" spans="2:6" ht="15.75" x14ac:dyDescent="0.25">
      <c r="B28" s="572" t="s">
        <v>9</v>
      </c>
      <c r="C28" s="573"/>
      <c r="D28" s="573"/>
      <c r="E28" s="573"/>
      <c r="F28" s="574"/>
    </row>
    <row r="29" spans="2:6" ht="15.75" x14ac:dyDescent="0.25">
      <c r="B29" s="575" t="s">
        <v>289</v>
      </c>
      <c r="C29" s="575"/>
      <c r="D29" s="575"/>
      <c r="E29" s="575"/>
      <c r="F29" s="575"/>
    </row>
    <row r="30" spans="2:6" ht="15.75" x14ac:dyDescent="0.25">
      <c r="B30" s="150"/>
      <c r="C30" s="150"/>
      <c r="D30" s="150"/>
      <c r="E30" s="150"/>
      <c r="F30" s="150"/>
    </row>
    <row r="31" spans="2:6" ht="15.75" x14ac:dyDescent="0.25">
      <c r="B31" s="446" t="s">
        <v>282</v>
      </c>
      <c r="C31" s="447"/>
      <c r="D31" s="447"/>
      <c r="E31" s="447"/>
      <c r="F31" s="448"/>
    </row>
    <row r="32" spans="2:6" ht="80.099999999999994" customHeight="1" x14ac:dyDescent="0.25">
      <c r="B32" s="449" t="s">
        <v>557</v>
      </c>
      <c r="C32" s="450"/>
      <c r="D32" s="450"/>
      <c r="E32" s="450"/>
      <c r="F32" s="451"/>
    </row>
    <row r="33" spans="2:6" ht="15.75" x14ac:dyDescent="0.25">
      <c r="B33" s="160"/>
      <c r="C33" s="191"/>
      <c r="D33" s="191"/>
      <c r="E33" s="191"/>
      <c r="F33" s="191"/>
    </row>
    <row r="34" spans="2:6" ht="15.75" x14ac:dyDescent="0.25">
      <c r="B34" s="446" t="s">
        <v>436</v>
      </c>
      <c r="C34" s="447"/>
      <c r="D34" s="447"/>
      <c r="E34" s="447"/>
      <c r="F34" s="448"/>
    </row>
    <row r="35" spans="2:6" ht="15.75" x14ac:dyDescent="0.25">
      <c r="B35" s="192" t="s">
        <v>558</v>
      </c>
      <c r="C35" s="468"/>
      <c r="D35" s="468"/>
      <c r="E35" s="468"/>
      <c r="F35" s="468"/>
    </row>
    <row r="36" spans="2:6" ht="15.75" x14ac:dyDescent="0.25">
      <c r="B36" s="192" t="s">
        <v>559</v>
      </c>
      <c r="C36" s="468"/>
      <c r="D36" s="468"/>
      <c r="E36" s="468"/>
      <c r="F36" s="468"/>
    </row>
    <row r="37" spans="2:6" ht="35.450000000000003" customHeight="1" x14ac:dyDescent="0.25">
      <c r="B37" s="218" t="s">
        <v>560</v>
      </c>
      <c r="C37" s="464"/>
      <c r="D37" s="450"/>
      <c r="E37" s="450"/>
      <c r="F37" s="451"/>
    </row>
    <row r="38" spans="2:6" ht="15.75" x14ac:dyDescent="0.25">
      <c r="B38" s="150"/>
      <c r="C38" s="150"/>
      <c r="D38" s="150"/>
      <c r="E38" s="150"/>
      <c r="F38" s="150"/>
    </row>
    <row r="39" spans="2:6" ht="15.75" x14ac:dyDescent="0.25">
      <c r="B39" s="446" t="s">
        <v>276</v>
      </c>
      <c r="C39" s="447"/>
      <c r="D39" s="447"/>
      <c r="E39" s="447"/>
      <c r="F39" s="448"/>
    </row>
    <row r="40" spans="2:6" ht="15.75" x14ac:dyDescent="0.25">
      <c r="B40" s="464" t="s">
        <v>561</v>
      </c>
      <c r="C40" s="450"/>
      <c r="D40" s="450"/>
      <c r="E40" s="450"/>
      <c r="F40" s="451"/>
    </row>
    <row r="41" spans="2:6" ht="15.75" x14ac:dyDescent="0.25">
      <c r="B41" s="150"/>
      <c r="C41" s="150"/>
      <c r="D41" s="150"/>
      <c r="E41" s="150"/>
      <c r="F41" s="150"/>
    </row>
    <row r="42" spans="2:6" ht="20.45" customHeight="1" x14ac:dyDescent="0.25">
      <c r="B42" s="501" t="s">
        <v>274</v>
      </c>
      <c r="C42" s="502"/>
      <c r="D42" s="502"/>
      <c r="E42" s="502"/>
      <c r="F42" s="503"/>
    </row>
    <row r="43" spans="2:6" ht="15.75" x14ac:dyDescent="0.25">
      <c r="B43" s="155" t="s">
        <v>273</v>
      </c>
      <c r="C43" s="155" t="s">
        <v>272</v>
      </c>
      <c r="D43" s="446" t="s">
        <v>271</v>
      </c>
      <c r="E43" s="447"/>
      <c r="F43" s="448"/>
    </row>
    <row r="44" spans="2:6" ht="15.75" x14ac:dyDescent="0.25">
      <c r="B44" s="156"/>
      <c r="C44" s="156"/>
      <c r="D44" s="491"/>
      <c r="E44" s="492"/>
      <c r="F44" s="493"/>
    </row>
    <row r="45" spans="2:6" ht="15.75" x14ac:dyDescent="0.25">
      <c r="B45" s="156"/>
      <c r="C45" s="156"/>
      <c r="D45" s="491"/>
      <c r="E45" s="492"/>
      <c r="F45" s="493"/>
    </row>
    <row r="46" spans="2:6" ht="15.75" x14ac:dyDescent="0.25">
      <c r="B46" s="185"/>
      <c r="C46" s="185"/>
      <c r="D46" s="491"/>
      <c r="E46" s="492"/>
      <c r="F46" s="493"/>
    </row>
    <row r="47" spans="2:6" ht="15.75" x14ac:dyDescent="0.25">
      <c r="B47" s="150"/>
      <c r="C47" s="150"/>
      <c r="D47" s="150"/>
      <c r="E47" s="150"/>
      <c r="F47" s="150"/>
    </row>
    <row r="48" spans="2:6" ht="15.75" x14ac:dyDescent="0.25">
      <c r="B48" s="446" t="s">
        <v>266</v>
      </c>
      <c r="C48" s="447"/>
      <c r="D48" s="447"/>
      <c r="E48" s="447"/>
      <c r="F48" s="448"/>
    </row>
    <row r="49" spans="2:6" ht="97.5" customHeight="1" x14ac:dyDescent="0.25">
      <c r="B49" s="449" t="s">
        <v>562</v>
      </c>
      <c r="C49" s="450"/>
      <c r="D49" s="450"/>
      <c r="E49" s="450"/>
      <c r="F49" s="451"/>
    </row>
  </sheetData>
  <mergeCells count="36">
    <mergeCell ref="B48:F48"/>
    <mergeCell ref="B49:F49"/>
    <mergeCell ref="B40:F40"/>
    <mergeCell ref="B42:F42"/>
    <mergeCell ref="D43:F43"/>
    <mergeCell ref="D44:F44"/>
    <mergeCell ref="D45:F45"/>
    <mergeCell ref="D46:F46"/>
    <mergeCell ref="C35:F35"/>
    <mergeCell ref="C36:F36"/>
    <mergeCell ref="C37:F37"/>
    <mergeCell ref="B39:F39"/>
    <mergeCell ref="B31:F31"/>
    <mergeCell ref="B32:F32"/>
    <mergeCell ref="B34:F34"/>
    <mergeCell ref="B27:F27"/>
    <mergeCell ref="B28:F28"/>
    <mergeCell ref="B29:F29"/>
    <mergeCell ref="B19:F19"/>
    <mergeCell ref="B20:F20"/>
    <mergeCell ref="B21:F21"/>
    <mergeCell ref="B23:F23"/>
    <mergeCell ref="B24:F24"/>
    <mergeCell ref="B26:F26"/>
    <mergeCell ref="B18:F18"/>
    <mergeCell ref="C4:F4"/>
    <mergeCell ref="C5:F5"/>
    <mergeCell ref="C6:F6"/>
    <mergeCell ref="C7:F7"/>
    <mergeCell ref="C8:F8"/>
    <mergeCell ref="C9:F9"/>
    <mergeCell ref="B11:F11"/>
    <mergeCell ref="B12:C12"/>
    <mergeCell ref="D12:F12"/>
    <mergeCell ref="B13:C13"/>
    <mergeCell ref="D13:F13"/>
  </mergeCells>
  <dataValidations count="2">
    <dataValidation type="list" allowBlank="1" showInputMessage="1" showErrorMessage="1" sqref="C44:C46">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39" display="Schéma d'enseignement"/>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G56"/>
  <sheetViews>
    <sheetView zoomScale="99" zoomScaleNormal="99" zoomScaleSheetLayoutView="85" zoomScalePageLayoutView="85" workbookViewId="0">
      <selection activeCell="B1" sqref="B1"/>
    </sheetView>
  </sheetViews>
  <sheetFormatPr baseColWidth="10" defaultColWidth="8.85546875" defaultRowHeight="15.75" x14ac:dyDescent="0.25"/>
  <cols>
    <col min="1" max="1" width="1.140625" style="149" customWidth="1"/>
    <col min="2" max="2" width="29.42578125" style="149" customWidth="1"/>
    <col min="3" max="3" width="15.5703125" style="149" customWidth="1"/>
    <col min="4" max="4" width="11.85546875" style="149" customWidth="1"/>
    <col min="5" max="5" width="7" style="149" customWidth="1"/>
    <col min="6" max="6" width="21.85546875" style="149" customWidth="1"/>
    <col min="7" max="7" width="8.140625" style="149" customWidth="1"/>
    <col min="8" max="8" width="20.140625" style="149" customWidth="1"/>
    <col min="9" max="9" width="119.85546875" style="149" customWidth="1"/>
    <col min="10" max="10" width="8.85546875" style="149"/>
    <col min="11" max="11" width="128.140625" style="149" customWidth="1"/>
    <col min="12" max="256" width="8.85546875" style="149"/>
    <col min="257" max="257" width="1.140625" style="149" customWidth="1"/>
    <col min="258" max="258" width="29.42578125" style="149" customWidth="1"/>
    <col min="259" max="259" width="15.5703125" style="149" customWidth="1"/>
    <col min="260" max="260" width="11.85546875" style="149" customWidth="1"/>
    <col min="261" max="261" width="7" style="149" customWidth="1"/>
    <col min="262" max="262" width="21.85546875" style="149" customWidth="1"/>
    <col min="263" max="263" width="8.140625" style="149" customWidth="1"/>
    <col min="264" max="264" width="20.140625" style="149" customWidth="1"/>
    <col min="265" max="265" width="119.85546875" style="149" customWidth="1"/>
    <col min="266" max="266" width="8.85546875" style="149"/>
    <col min="267" max="267" width="128.140625" style="149" customWidth="1"/>
    <col min="268" max="512" width="8.85546875" style="149"/>
    <col min="513" max="513" width="1.140625" style="149" customWidth="1"/>
    <col min="514" max="514" width="29.42578125" style="149" customWidth="1"/>
    <col min="515" max="515" width="15.5703125" style="149" customWidth="1"/>
    <col min="516" max="516" width="11.85546875" style="149" customWidth="1"/>
    <col min="517" max="517" width="7" style="149" customWidth="1"/>
    <col min="518" max="518" width="21.85546875" style="149" customWidth="1"/>
    <col min="519" max="519" width="8.140625" style="149" customWidth="1"/>
    <col min="520" max="520" width="20.140625" style="149" customWidth="1"/>
    <col min="521" max="521" width="119.85546875" style="149" customWidth="1"/>
    <col min="522" max="522" width="8.85546875" style="149"/>
    <col min="523" max="523" width="128.140625" style="149" customWidth="1"/>
    <col min="524" max="768" width="8.85546875" style="149"/>
    <col min="769" max="769" width="1.140625" style="149" customWidth="1"/>
    <col min="770" max="770" width="29.42578125" style="149" customWidth="1"/>
    <col min="771" max="771" width="15.5703125" style="149" customWidth="1"/>
    <col min="772" max="772" width="11.85546875" style="149" customWidth="1"/>
    <col min="773" max="773" width="7" style="149" customWidth="1"/>
    <col min="774" max="774" width="21.85546875" style="149" customWidth="1"/>
    <col min="775" max="775" width="8.140625" style="149" customWidth="1"/>
    <col min="776" max="776" width="20.140625" style="149" customWidth="1"/>
    <col min="777" max="777" width="119.85546875" style="149" customWidth="1"/>
    <col min="778" max="778" width="8.85546875" style="149"/>
    <col min="779" max="779" width="128.140625" style="149" customWidth="1"/>
    <col min="780" max="1024" width="8.85546875" style="149"/>
    <col min="1025" max="1025" width="1.140625" style="149" customWidth="1"/>
    <col min="1026" max="1026" width="29.42578125" style="149" customWidth="1"/>
    <col min="1027" max="1027" width="15.5703125" style="149" customWidth="1"/>
    <col min="1028" max="1028" width="11.85546875" style="149" customWidth="1"/>
    <col min="1029" max="1029" width="7" style="149" customWidth="1"/>
    <col min="1030" max="1030" width="21.85546875" style="149" customWidth="1"/>
    <col min="1031" max="1031" width="8.140625" style="149" customWidth="1"/>
    <col min="1032" max="1032" width="20.140625" style="149" customWidth="1"/>
    <col min="1033" max="1033" width="119.85546875" style="149" customWidth="1"/>
    <col min="1034" max="1034" width="8.85546875" style="149"/>
    <col min="1035" max="1035" width="128.140625" style="149" customWidth="1"/>
    <col min="1036" max="1280" width="8.85546875" style="149"/>
    <col min="1281" max="1281" width="1.140625" style="149" customWidth="1"/>
    <col min="1282" max="1282" width="29.42578125" style="149" customWidth="1"/>
    <col min="1283" max="1283" width="15.5703125" style="149" customWidth="1"/>
    <col min="1284" max="1284" width="11.85546875" style="149" customWidth="1"/>
    <col min="1285" max="1285" width="7" style="149" customWidth="1"/>
    <col min="1286" max="1286" width="21.85546875" style="149" customWidth="1"/>
    <col min="1287" max="1287" width="8.140625" style="149" customWidth="1"/>
    <col min="1288" max="1288" width="20.140625" style="149" customWidth="1"/>
    <col min="1289" max="1289" width="119.85546875" style="149" customWidth="1"/>
    <col min="1290" max="1290" width="8.85546875" style="149"/>
    <col min="1291" max="1291" width="128.140625" style="149" customWidth="1"/>
    <col min="1292" max="1536" width="8.85546875" style="149"/>
    <col min="1537" max="1537" width="1.140625" style="149" customWidth="1"/>
    <col min="1538" max="1538" width="29.42578125" style="149" customWidth="1"/>
    <col min="1539" max="1539" width="15.5703125" style="149" customWidth="1"/>
    <col min="1540" max="1540" width="11.85546875" style="149" customWidth="1"/>
    <col min="1541" max="1541" width="7" style="149" customWidth="1"/>
    <col min="1542" max="1542" width="21.85546875" style="149" customWidth="1"/>
    <col min="1543" max="1543" width="8.140625" style="149" customWidth="1"/>
    <col min="1544" max="1544" width="20.140625" style="149" customWidth="1"/>
    <col min="1545" max="1545" width="119.85546875" style="149" customWidth="1"/>
    <col min="1546" max="1546" width="8.85546875" style="149"/>
    <col min="1547" max="1547" width="128.140625" style="149" customWidth="1"/>
    <col min="1548" max="1792" width="8.85546875" style="149"/>
    <col min="1793" max="1793" width="1.140625" style="149" customWidth="1"/>
    <col min="1794" max="1794" width="29.42578125" style="149" customWidth="1"/>
    <col min="1795" max="1795" width="15.5703125" style="149" customWidth="1"/>
    <col min="1796" max="1796" width="11.85546875" style="149" customWidth="1"/>
    <col min="1797" max="1797" width="7" style="149" customWidth="1"/>
    <col min="1798" max="1798" width="21.85546875" style="149" customWidth="1"/>
    <col min="1799" max="1799" width="8.140625" style="149" customWidth="1"/>
    <col min="1800" max="1800" width="20.140625" style="149" customWidth="1"/>
    <col min="1801" max="1801" width="119.85546875" style="149" customWidth="1"/>
    <col min="1802" max="1802" width="8.85546875" style="149"/>
    <col min="1803" max="1803" width="128.140625" style="149" customWidth="1"/>
    <col min="1804" max="2048" width="8.85546875" style="149"/>
    <col min="2049" max="2049" width="1.140625" style="149" customWidth="1"/>
    <col min="2050" max="2050" width="29.42578125" style="149" customWidth="1"/>
    <col min="2051" max="2051" width="15.5703125" style="149" customWidth="1"/>
    <col min="2052" max="2052" width="11.85546875" style="149" customWidth="1"/>
    <col min="2053" max="2053" width="7" style="149" customWidth="1"/>
    <col min="2054" max="2054" width="21.85546875" style="149" customWidth="1"/>
    <col min="2055" max="2055" width="8.140625" style="149" customWidth="1"/>
    <col min="2056" max="2056" width="20.140625" style="149" customWidth="1"/>
    <col min="2057" max="2057" width="119.85546875" style="149" customWidth="1"/>
    <col min="2058" max="2058" width="8.85546875" style="149"/>
    <col min="2059" max="2059" width="128.140625" style="149" customWidth="1"/>
    <col min="2060" max="2304" width="8.85546875" style="149"/>
    <col min="2305" max="2305" width="1.140625" style="149" customWidth="1"/>
    <col min="2306" max="2306" width="29.42578125" style="149" customWidth="1"/>
    <col min="2307" max="2307" width="15.5703125" style="149" customWidth="1"/>
    <col min="2308" max="2308" width="11.85546875" style="149" customWidth="1"/>
    <col min="2309" max="2309" width="7" style="149" customWidth="1"/>
    <col min="2310" max="2310" width="21.85546875" style="149" customWidth="1"/>
    <col min="2311" max="2311" width="8.140625" style="149" customWidth="1"/>
    <col min="2312" max="2312" width="20.140625" style="149" customWidth="1"/>
    <col min="2313" max="2313" width="119.85546875" style="149" customWidth="1"/>
    <col min="2314" max="2314" width="8.85546875" style="149"/>
    <col min="2315" max="2315" width="128.140625" style="149" customWidth="1"/>
    <col min="2316" max="2560" width="8.85546875" style="149"/>
    <col min="2561" max="2561" width="1.140625" style="149" customWidth="1"/>
    <col min="2562" max="2562" width="29.42578125" style="149" customWidth="1"/>
    <col min="2563" max="2563" width="15.5703125" style="149" customWidth="1"/>
    <col min="2564" max="2564" width="11.85546875" style="149" customWidth="1"/>
    <col min="2565" max="2565" width="7" style="149" customWidth="1"/>
    <col min="2566" max="2566" width="21.85546875" style="149" customWidth="1"/>
    <col min="2567" max="2567" width="8.140625" style="149" customWidth="1"/>
    <col min="2568" max="2568" width="20.140625" style="149" customWidth="1"/>
    <col min="2569" max="2569" width="119.85546875" style="149" customWidth="1"/>
    <col min="2570" max="2570" width="8.85546875" style="149"/>
    <col min="2571" max="2571" width="128.140625" style="149" customWidth="1"/>
    <col min="2572" max="2816" width="8.85546875" style="149"/>
    <col min="2817" max="2817" width="1.140625" style="149" customWidth="1"/>
    <col min="2818" max="2818" width="29.42578125" style="149" customWidth="1"/>
    <col min="2819" max="2819" width="15.5703125" style="149" customWidth="1"/>
    <col min="2820" max="2820" width="11.85546875" style="149" customWidth="1"/>
    <col min="2821" max="2821" width="7" style="149" customWidth="1"/>
    <col min="2822" max="2822" width="21.85546875" style="149" customWidth="1"/>
    <col min="2823" max="2823" width="8.140625" style="149" customWidth="1"/>
    <col min="2824" max="2824" width="20.140625" style="149" customWidth="1"/>
    <col min="2825" max="2825" width="119.85546875" style="149" customWidth="1"/>
    <col min="2826" max="2826" width="8.85546875" style="149"/>
    <col min="2827" max="2827" width="128.140625" style="149" customWidth="1"/>
    <col min="2828" max="3072" width="8.85546875" style="149"/>
    <col min="3073" max="3073" width="1.140625" style="149" customWidth="1"/>
    <col min="3074" max="3074" width="29.42578125" style="149" customWidth="1"/>
    <col min="3075" max="3075" width="15.5703125" style="149" customWidth="1"/>
    <col min="3076" max="3076" width="11.85546875" style="149" customWidth="1"/>
    <col min="3077" max="3077" width="7" style="149" customWidth="1"/>
    <col min="3078" max="3078" width="21.85546875" style="149" customWidth="1"/>
    <col min="3079" max="3079" width="8.140625" style="149" customWidth="1"/>
    <col min="3080" max="3080" width="20.140625" style="149" customWidth="1"/>
    <col min="3081" max="3081" width="119.85546875" style="149" customWidth="1"/>
    <col min="3082" max="3082" width="8.85546875" style="149"/>
    <col min="3083" max="3083" width="128.140625" style="149" customWidth="1"/>
    <col min="3084" max="3328" width="8.85546875" style="149"/>
    <col min="3329" max="3329" width="1.140625" style="149" customWidth="1"/>
    <col min="3330" max="3330" width="29.42578125" style="149" customWidth="1"/>
    <col min="3331" max="3331" width="15.5703125" style="149" customWidth="1"/>
    <col min="3332" max="3332" width="11.85546875" style="149" customWidth="1"/>
    <col min="3333" max="3333" width="7" style="149" customWidth="1"/>
    <col min="3334" max="3334" width="21.85546875" style="149" customWidth="1"/>
    <col min="3335" max="3335" width="8.140625" style="149" customWidth="1"/>
    <col min="3336" max="3336" width="20.140625" style="149" customWidth="1"/>
    <col min="3337" max="3337" width="119.85546875" style="149" customWidth="1"/>
    <col min="3338" max="3338" width="8.85546875" style="149"/>
    <col min="3339" max="3339" width="128.140625" style="149" customWidth="1"/>
    <col min="3340" max="3584" width="8.85546875" style="149"/>
    <col min="3585" max="3585" width="1.140625" style="149" customWidth="1"/>
    <col min="3586" max="3586" width="29.42578125" style="149" customWidth="1"/>
    <col min="3587" max="3587" width="15.5703125" style="149" customWidth="1"/>
    <col min="3588" max="3588" width="11.85546875" style="149" customWidth="1"/>
    <col min="3589" max="3589" width="7" style="149" customWidth="1"/>
    <col min="3590" max="3590" width="21.85546875" style="149" customWidth="1"/>
    <col min="3591" max="3591" width="8.140625" style="149" customWidth="1"/>
    <col min="3592" max="3592" width="20.140625" style="149" customWidth="1"/>
    <col min="3593" max="3593" width="119.85546875" style="149" customWidth="1"/>
    <col min="3594" max="3594" width="8.85546875" style="149"/>
    <col min="3595" max="3595" width="128.140625" style="149" customWidth="1"/>
    <col min="3596" max="3840" width="8.85546875" style="149"/>
    <col min="3841" max="3841" width="1.140625" style="149" customWidth="1"/>
    <col min="3842" max="3842" width="29.42578125" style="149" customWidth="1"/>
    <col min="3843" max="3843" width="15.5703125" style="149" customWidth="1"/>
    <col min="3844" max="3844" width="11.85546875" style="149" customWidth="1"/>
    <col min="3845" max="3845" width="7" style="149" customWidth="1"/>
    <col min="3846" max="3846" width="21.85546875" style="149" customWidth="1"/>
    <col min="3847" max="3847" width="8.140625" style="149" customWidth="1"/>
    <col min="3848" max="3848" width="20.140625" style="149" customWidth="1"/>
    <col min="3849" max="3849" width="119.85546875" style="149" customWidth="1"/>
    <col min="3850" max="3850" width="8.85546875" style="149"/>
    <col min="3851" max="3851" width="128.140625" style="149" customWidth="1"/>
    <col min="3852" max="4096" width="8.85546875" style="149"/>
    <col min="4097" max="4097" width="1.140625" style="149" customWidth="1"/>
    <col min="4098" max="4098" width="29.42578125" style="149" customWidth="1"/>
    <col min="4099" max="4099" width="15.5703125" style="149" customWidth="1"/>
    <col min="4100" max="4100" width="11.85546875" style="149" customWidth="1"/>
    <col min="4101" max="4101" width="7" style="149" customWidth="1"/>
    <col min="4102" max="4102" width="21.85546875" style="149" customWidth="1"/>
    <col min="4103" max="4103" width="8.140625" style="149" customWidth="1"/>
    <col min="4104" max="4104" width="20.140625" style="149" customWidth="1"/>
    <col min="4105" max="4105" width="119.85546875" style="149" customWidth="1"/>
    <col min="4106" max="4106" width="8.85546875" style="149"/>
    <col min="4107" max="4107" width="128.140625" style="149" customWidth="1"/>
    <col min="4108" max="4352" width="8.85546875" style="149"/>
    <col min="4353" max="4353" width="1.140625" style="149" customWidth="1"/>
    <col min="4354" max="4354" width="29.42578125" style="149" customWidth="1"/>
    <col min="4355" max="4355" width="15.5703125" style="149" customWidth="1"/>
    <col min="4356" max="4356" width="11.85546875" style="149" customWidth="1"/>
    <col min="4357" max="4357" width="7" style="149" customWidth="1"/>
    <col min="4358" max="4358" width="21.85546875" style="149" customWidth="1"/>
    <col min="4359" max="4359" width="8.140625" style="149" customWidth="1"/>
    <col min="4360" max="4360" width="20.140625" style="149" customWidth="1"/>
    <col min="4361" max="4361" width="119.85546875" style="149" customWidth="1"/>
    <col min="4362" max="4362" width="8.85546875" style="149"/>
    <col min="4363" max="4363" width="128.140625" style="149" customWidth="1"/>
    <col min="4364" max="4608" width="8.85546875" style="149"/>
    <col min="4609" max="4609" width="1.140625" style="149" customWidth="1"/>
    <col min="4610" max="4610" width="29.42578125" style="149" customWidth="1"/>
    <col min="4611" max="4611" width="15.5703125" style="149" customWidth="1"/>
    <col min="4612" max="4612" width="11.85546875" style="149" customWidth="1"/>
    <col min="4613" max="4613" width="7" style="149" customWidth="1"/>
    <col min="4614" max="4614" width="21.85546875" style="149" customWidth="1"/>
    <col min="4615" max="4615" width="8.140625" style="149" customWidth="1"/>
    <col min="4616" max="4616" width="20.140625" style="149" customWidth="1"/>
    <col min="4617" max="4617" width="119.85546875" style="149" customWidth="1"/>
    <col min="4618" max="4618" width="8.85546875" style="149"/>
    <col min="4619" max="4619" width="128.140625" style="149" customWidth="1"/>
    <col min="4620" max="4864" width="8.85546875" style="149"/>
    <col min="4865" max="4865" width="1.140625" style="149" customWidth="1"/>
    <col min="4866" max="4866" width="29.42578125" style="149" customWidth="1"/>
    <col min="4867" max="4867" width="15.5703125" style="149" customWidth="1"/>
    <col min="4868" max="4868" width="11.85546875" style="149" customWidth="1"/>
    <col min="4869" max="4869" width="7" style="149" customWidth="1"/>
    <col min="4870" max="4870" width="21.85546875" style="149" customWidth="1"/>
    <col min="4871" max="4871" width="8.140625" style="149" customWidth="1"/>
    <col min="4872" max="4872" width="20.140625" style="149" customWidth="1"/>
    <col min="4873" max="4873" width="119.85546875" style="149" customWidth="1"/>
    <col min="4874" max="4874" width="8.85546875" style="149"/>
    <col min="4875" max="4875" width="128.140625" style="149" customWidth="1"/>
    <col min="4876" max="5120" width="8.85546875" style="149"/>
    <col min="5121" max="5121" width="1.140625" style="149" customWidth="1"/>
    <col min="5122" max="5122" width="29.42578125" style="149" customWidth="1"/>
    <col min="5123" max="5123" width="15.5703125" style="149" customWidth="1"/>
    <col min="5124" max="5124" width="11.85546875" style="149" customWidth="1"/>
    <col min="5125" max="5125" width="7" style="149" customWidth="1"/>
    <col min="5126" max="5126" width="21.85546875" style="149" customWidth="1"/>
    <col min="5127" max="5127" width="8.140625" style="149" customWidth="1"/>
    <col min="5128" max="5128" width="20.140625" style="149" customWidth="1"/>
    <col min="5129" max="5129" width="119.85546875" style="149" customWidth="1"/>
    <col min="5130" max="5130" width="8.85546875" style="149"/>
    <col min="5131" max="5131" width="128.140625" style="149" customWidth="1"/>
    <col min="5132" max="5376" width="8.85546875" style="149"/>
    <col min="5377" max="5377" width="1.140625" style="149" customWidth="1"/>
    <col min="5378" max="5378" width="29.42578125" style="149" customWidth="1"/>
    <col min="5379" max="5379" width="15.5703125" style="149" customWidth="1"/>
    <col min="5380" max="5380" width="11.85546875" style="149" customWidth="1"/>
    <col min="5381" max="5381" width="7" style="149" customWidth="1"/>
    <col min="5382" max="5382" width="21.85546875" style="149" customWidth="1"/>
    <col min="5383" max="5383" width="8.140625" style="149" customWidth="1"/>
    <col min="5384" max="5384" width="20.140625" style="149" customWidth="1"/>
    <col min="5385" max="5385" width="119.85546875" style="149" customWidth="1"/>
    <col min="5386" max="5386" width="8.85546875" style="149"/>
    <col min="5387" max="5387" width="128.140625" style="149" customWidth="1"/>
    <col min="5388" max="5632" width="8.85546875" style="149"/>
    <col min="5633" max="5633" width="1.140625" style="149" customWidth="1"/>
    <col min="5634" max="5634" width="29.42578125" style="149" customWidth="1"/>
    <col min="5635" max="5635" width="15.5703125" style="149" customWidth="1"/>
    <col min="5636" max="5636" width="11.85546875" style="149" customWidth="1"/>
    <col min="5637" max="5637" width="7" style="149" customWidth="1"/>
    <col min="5638" max="5638" width="21.85546875" style="149" customWidth="1"/>
    <col min="5639" max="5639" width="8.140625" style="149" customWidth="1"/>
    <col min="5640" max="5640" width="20.140625" style="149" customWidth="1"/>
    <col min="5641" max="5641" width="119.85546875" style="149" customWidth="1"/>
    <col min="5642" max="5642" width="8.85546875" style="149"/>
    <col min="5643" max="5643" width="128.140625" style="149" customWidth="1"/>
    <col min="5644" max="5888" width="8.85546875" style="149"/>
    <col min="5889" max="5889" width="1.140625" style="149" customWidth="1"/>
    <col min="5890" max="5890" width="29.42578125" style="149" customWidth="1"/>
    <col min="5891" max="5891" width="15.5703125" style="149" customWidth="1"/>
    <col min="5892" max="5892" width="11.85546875" style="149" customWidth="1"/>
    <col min="5893" max="5893" width="7" style="149" customWidth="1"/>
    <col min="5894" max="5894" width="21.85546875" style="149" customWidth="1"/>
    <col min="5895" max="5895" width="8.140625" style="149" customWidth="1"/>
    <col min="5896" max="5896" width="20.140625" style="149" customWidth="1"/>
    <col min="5897" max="5897" width="119.85546875" style="149" customWidth="1"/>
    <col min="5898" max="5898" width="8.85546875" style="149"/>
    <col min="5899" max="5899" width="128.140625" style="149" customWidth="1"/>
    <col min="5900" max="6144" width="8.85546875" style="149"/>
    <col min="6145" max="6145" width="1.140625" style="149" customWidth="1"/>
    <col min="6146" max="6146" width="29.42578125" style="149" customWidth="1"/>
    <col min="6147" max="6147" width="15.5703125" style="149" customWidth="1"/>
    <col min="6148" max="6148" width="11.85546875" style="149" customWidth="1"/>
    <col min="6149" max="6149" width="7" style="149" customWidth="1"/>
    <col min="6150" max="6150" width="21.85546875" style="149" customWidth="1"/>
    <col min="6151" max="6151" width="8.140625" style="149" customWidth="1"/>
    <col min="6152" max="6152" width="20.140625" style="149" customWidth="1"/>
    <col min="6153" max="6153" width="119.85546875" style="149" customWidth="1"/>
    <col min="6154" max="6154" width="8.85546875" style="149"/>
    <col min="6155" max="6155" width="128.140625" style="149" customWidth="1"/>
    <col min="6156" max="6400" width="8.85546875" style="149"/>
    <col min="6401" max="6401" width="1.140625" style="149" customWidth="1"/>
    <col min="6402" max="6402" width="29.42578125" style="149" customWidth="1"/>
    <col min="6403" max="6403" width="15.5703125" style="149" customWidth="1"/>
    <col min="6404" max="6404" width="11.85546875" style="149" customWidth="1"/>
    <col min="6405" max="6405" width="7" style="149" customWidth="1"/>
    <col min="6406" max="6406" width="21.85546875" style="149" customWidth="1"/>
    <col min="6407" max="6407" width="8.140625" style="149" customWidth="1"/>
    <col min="6408" max="6408" width="20.140625" style="149" customWidth="1"/>
    <col min="6409" max="6409" width="119.85546875" style="149" customWidth="1"/>
    <col min="6410" max="6410" width="8.85546875" style="149"/>
    <col min="6411" max="6411" width="128.140625" style="149" customWidth="1"/>
    <col min="6412" max="6656" width="8.85546875" style="149"/>
    <col min="6657" max="6657" width="1.140625" style="149" customWidth="1"/>
    <col min="6658" max="6658" width="29.42578125" style="149" customWidth="1"/>
    <col min="6659" max="6659" width="15.5703125" style="149" customWidth="1"/>
    <col min="6660" max="6660" width="11.85546875" style="149" customWidth="1"/>
    <col min="6661" max="6661" width="7" style="149" customWidth="1"/>
    <col min="6662" max="6662" width="21.85546875" style="149" customWidth="1"/>
    <col min="6663" max="6663" width="8.140625" style="149" customWidth="1"/>
    <col min="6664" max="6664" width="20.140625" style="149" customWidth="1"/>
    <col min="6665" max="6665" width="119.85546875" style="149" customWidth="1"/>
    <col min="6666" max="6666" width="8.85546875" style="149"/>
    <col min="6667" max="6667" width="128.140625" style="149" customWidth="1"/>
    <col min="6668" max="6912" width="8.85546875" style="149"/>
    <col min="6913" max="6913" width="1.140625" style="149" customWidth="1"/>
    <col min="6914" max="6914" width="29.42578125" style="149" customWidth="1"/>
    <col min="6915" max="6915" width="15.5703125" style="149" customWidth="1"/>
    <col min="6916" max="6916" width="11.85546875" style="149" customWidth="1"/>
    <col min="6917" max="6917" width="7" style="149" customWidth="1"/>
    <col min="6918" max="6918" width="21.85546875" style="149" customWidth="1"/>
    <col min="6919" max="6919" width="8.140625" style="149" customWidth="1"/>
    <col min="6920" max="6920" width="20.140625" style="149" customWidth="1"/>
    <col min="6921" max="6921" width="119.85546875" style="149" customWidth="1"/>
    <col min="6922" max="6922" width="8.85546875" style="149"/>
    <col min="6923" max="6923" width="128.140625" style="149" customWidth="1"/>
    <col min="6924" max="7168" width="8.85546875" style="149"/>
    <col min="7169" max="7169" width="1.140625" style="149" customWidth="1"/>
    <col min="7170" max="7170" width="29.42578125" style="149" customWidth="1"/>
    <col min="7171" max="7171" width="15.5703125" style="149" customWidth="1"/>
    <col min="7172" max="7172" width="11.85546875" style="149" customWidth="1"/>
    <col min="7173" max="7173" width="7" style="149" customWidth="1"/>
    <col min="7174" max="7174" width="21.85546875" style="149" customWidth="1"/>
    <col min="7175" max="7175" width="8.140625" style="149" customWidth="1"/>
    <col min="7176" max="7176" width="20.140625" style="149" customWidth="1"/>
    <col min="7177" max="7177" width="119.85546875" style="149" customWidth="1"/>
    <col min="7178" max="7178" width="8.85546875" style="149"/>
    <col min="7179" max="7179" width="128.140625" style="149" customWidth="1"/>
    <col min="7180" max="7424" width="8.85546875" style="149"/>
    <col min="7425" max="7425" width="1.140625" style="149" customWidth="1"/>
    <col min="7426" max="7426" width="29.42578125" style="149" customWidth="1"/>
    <col min="7427" max="7427" width="15.5703125" style="149" customWidth="1"/>
    <col min="7428" max="7428" width="11.85546875" style="149" customWidth="1"/>
    <col min="7429" max="7429" width="7" style="149" customWidth="1"/>
    <col min="7430" max="7430" width="21.85546875" style="149" customWidth="1"/>
    <col min="7431" max="7431" width="8.140625" style="149" customWidth="1"/>
    <col min="7432" max="7432" width="20.140625" style="149" customWidth="1"/>
    <col min="7433" max="7433" width="119.85546875" style="149" customWidth="1"/>
    <col min="7434" max="7434" width="8.85546875" style="149"/>
    <col min="7435" max="7435" width="128.140625" style="149" customWidth="1"/>
    <col min="7436" max="7680" width="8.85546875" style="149"/>
    <col min="7681" max="7681" width="1.140625" style="149" customWidth="1"/>
    <col min="7682" max="7682" width="29.42578125" style="149" customWidth="1"/>
    <col min="7683" max="7683" width="15.5703125" style="149" customWidth="1"/>
    <col min="7684" max="7684" width="11.85546875" style="149" customWidth="1"/>
    <col min="7685" max="7685" width="7" style="149" customWidth="1"/>
    <col min="7686" max="7686" width="21.85546875" style="149" customWidth="1"/>
    <col min="7687" max="7687" width="8.140625" style="149" customWidth="1"/>
    <col min="7688" max="7688" width="20.140625" style="149" customWidth="1"/>
    <col min="7689" max="7689" width="119.85546875" style="149" customWidth="1"/>
    <col min="7690" max="7690" width="8.85546875" style="149"/>
    <col min="7691" max="7691" width="128.140625" style="149" customWidth="1"/>
    <col min="7692" max="7936" width="8.85546875" style="149"/>
    <col min="7937" max="7937" width="1.140625" style="149" customWidth="1"/>
    <col min="7938" max="7938" width="29.42578125" style="149" customWidth="1"/>
    <col min="7939" max="7939" width="15.5703125" style="149" customWidth="1"/>
    <col min="7940" max="7940" width="11.85546875" style="149" customWidth="1"/>
    <col min="7941" max="7941" width="7" style="149" customWidth="1"/>
    <col min="7942" max="7942" width="21.85546875" style="149" customWidth="1"/>
    <col min="7943" max="7943" width="8.140625" style="149" customWidth="1"/>
    <col min="7944" max="7944" width="20.140625" style="149" customWidth="1"/>
    <col min="7945" max="7945" width="119.85546875" style="149" customWidth="1"/>
    <col min="7946" max="7946" width="8.85546875" style="149"/>
    <col min="7947" max="7947" width="128.140625" style="149" customWidth="1"/>
    <col min="7948" max="8192" width="8.85546875" style="149"/>
    <col min="8193" max="8193" width="1.140625" style="149" customWidth="1"/>
    <col min="8194" max="8194" width="29.42578125" style="149" customWidth="1"/>
    <col min="8195" max="8195" width="15.5703125" style="149" customWidth="1"/>
    <col min="8196" max="8196" width="11.85546875" style="149" customWidth="1"/>
    <col min="8197" max="8197" width="7" style="149" customWidth="1"/>
    <col min="8198" max="8198" width="21.85546875" style="149" customWidth="1"/>
    <col min="8199" max="8199" width="8.140625" style="149" customWidth="1"/>
    <col min="8200" max="8200" width="20.140625" style="149" customWidth="1"/>
    <col min="8201" max="8201" width="119.85546875" style="149" customWidth="1"/>
    <col min="8202" max="8202" width="8.85546875" style="149"/>
    <col min="8203" max="8203" width="128.140625" style="149" customWidth="1"/>
    <col min="8204" max="8448" width="8.85546875" style="149"/>
    <col min="8449" max="8449" width="1.140625" style="149" customWidth="1"/>
    <col min="8450" max="8450" width="29.42578125" style="149" customWidth="1"/>
    <col min="8451" max="8451" width="15.5703125" style="149" customWidth="1"/>
    <col min="8452" max="8452" width="11.85546875" style="149" customWidth="1"/>
    <col min="8453" max="8453" width="7" style="149" customWidth="1"/>
    <col min="8454" max="8454" width="21.85546875" style="149" customWidth="1"/>
    <col min="8455" max="8455" width="8.140625" style="149" customWidth="1"/>
    <col min="8456" max="8456" width="20.140625" style="149" customWidth="1"/>
    <col min="8457" max="8457" width="119.85546875" style="149" customWidth="1"/>
    <col min="8458" max="8458" width="8.85546875" style="149"/>
    <col min="8459" max="8459" width="128.140625" style="149" customWidth="1"/>
    <col min="8460" max="8704" width="8.85546875" style="149"/>
    <col min="8705" max="8705" width="1.140625" style="149" customWidth="1"/>
    <col min="8706" max="8706" width="29.42578125" style="149" customWidth="1"/>
    <col min="8707" max="8707" width="15.5703125" style="149" customWidth="1"/>
    <col min="8708" max="8708" width="11.85546875" style="149" customWidth="1"/>
    <col min="8709" max="8709" width="7" style="149" customWidth="1"/>
    <col min="8710" max="8710" width="21.85546875" style="149" customWidth="1"/>
    <col min="8711" max="8711" width="8.140625" style="149" customWidth="1"/>
    <col min="8712" max="8712" width="20.140625" style="149" customWidth="1"/>
    <col min="8713" max="8713" width="119.85546875" style="149" customWidth="1"/>
    <col min="8714" max="8714" width="8.85546875" style="149"/>
    <col min="8715" max="8715" width="128.140625" style="149" customWidth="1"/>
    <col min="8716" max="8960" width="8.85546875" style="149"/>
    <col min="8961" max="8961" width="1.140625" style="149" customWidth="1"/>
    <col min="8962" max="8962" width="29.42578125" style="149" customWidth="1"/>
    <col min="8963" max="8963" width="15.5703125" style="149" customWidth="1"/>
    <col min="8964" max="8964" width="11.85546875" style="149" customWidth="1"/>
    <col min="8965" max="8965" width="7" style="149" customWidth="1"/>
    <col min="8966" max="8966" width="21.85546875" style="149" customWidth="1"/>
    <col min="8967" max="8967" width="8.140625" style="149" customWidth="1"/>
    <col min="8968" max="8968" width="20.140625" style="149" customWidth="1"/>
    <col min="8969" max="8969" width="119.85546875" style="149" customWidth="1"/>
    <col min="8970" max="8970" width="8.85546875" style="149"/>
    <col min="8971" max="8971" width="128.140625" style="149" customWidth="1"/>
    <col min="8972" max="9216" width="8.85546875" style="149"/>
    <col min="9217" max="9217" width="1.140625" style="149" customWidth="1"/>
    <col min="9218" max="9218" width="29.42578125" style="149" customWidth="1"/>
    <col min="9219" max="9219" width="15.5703125" style="149" customWidth="1"/>
    <col min="9220" max="9220" width="11.85546875" style="149" customWidth="1"/>
    <col min="9221" max="9221" width="7" style="149" customWidth="1"/>
    <col min="9222" max="9222" width="21.85546875" style="149" customWidth="1"/>
    <col min="9223" max="9223" width="8.140625" style="149" customWidth="1"/>
    <col min="9224" max="9224" width="20.140625" style="149" customWidth="1"/>
    <col min="9225" max="9225" width="119.85546875" style="149" customWidth="1"/>
    <col min="9226" max="9226" width="8.85546875" style="149"/>
    <col min="9227" max="9227" width="128.140625" style="149" customWidth="1"/>
    <col min="9228" max="9472" width="8.85546875" style="149"/>
    <col min="9473" max="9473" width="1.140625" style="149" customWidth="1"/>
    <col min="9474" max="9474" width="29.42578125" style="149" customWidth="1"/>
    <col min="9475" max="9475" width="15.5703125" style="149" customWidth="1"/>
    <col min="9476" max="9476" width="11.85546875" style="149" customWidth="1"/>
    <col min="9477" max="9477" width="7" style="149" customWidth="1"/>
    <col min="9478" max="9478" width="21.85546875" style="149" customWidth="1"/>
    <col min="9479" max="9479" width="8.140625" style="149" customWidth="1"/>
    <col min="9480" max="9480" width="20.140625" style="149" customWidth="1"/>
    <col min="9481" max="9481" width="119.85546875" style="149" customWidth="1"/>
    <col min="9482" max="9482" width="8.85546875" style="149"/>
    <col min="9483" max="9483" width="128.140625" style="149" customWidth="1"/>
    <col min="9484" max="9728" width="8.85546875" style="149"/>
    <col min="9729" max="9729" width="1.140625" style="149" customWidth="1"/>
    <col min="9730" max="9730" width="29.42578125" style="149" customWidth="1"/>
    <col min="9731" max="9731" width="15.5703125" style="149" customWidth="1"/>
    <col min="9732" max="9732" width="11.85546875" style="149" customWidth="1"/>
    <col min="9733" max="9733" width="7" style="149" customWidth="1"/>
    <col min="9734" max="9734" width="21.85546875" style="149" customWidth="1"/>
    <col min="9735" max="9735" width="8.140625" style="149" customWidth="1"/>
    <col min="9736" max="9736" width="20.140625" style="149" customWidth="1"/>
    <col min="9737" max="9737" width="119.85546875" style="149" customWidth="1"/>
    <col min="9738" max="9738" width="8.85546875" style="149"/>
    <col min="9739" max="9739" width="128.140625" style="149" customWidth="1"/>
    <col min="9740" max="9984" width="8.85546875" style="149"/>
    <col min="9985" max="9985" width="1.140625" style="149" customWidth="1"/>
    <col min="9986" max="9986" width="29.42578125" style="149" customWidth="1"/>
    <col min="9987" max="9987" width="15.5703125" style="149" customWidth="1"/>
    <col min="9988" max="9988" width="11.85546875" style="149" customWidth="1"/>
    <col min="9989" max="9989" width="7" style="149" customWidth="1"/>
    <col min="9990" max="9990" width="21.85546875" style="149" customWidth="1"/>
    <col min="9991" max="9991" width="8.140625" style="149" customWidth="1"/>
    <col min="9992" max="9992" width="20.140625" style="149" customWidth="1"/>
    <col min="9993" max="9993" width="119.85546875" style="149" customWidth="1"/>
    <col min="9994" max="9994" width="8.85546875" style="149"/>
    <col min="9995" max="9995" width="128.140625" style="149" customWidth="1"/>
    <col min="9996" max="10240" width="8.85546875" style="149"/>
    <col min="10241" max="10241" width="1.140625" style="149" customWidth="1"/>
    <col min="10242" max="10242" width="29.42578125" style="149" customWidth="1"/>
    <col min="10243" max="10243" width="15.5703125" style="149" customWidth="1"/>
    <col min="10244" max="10244" width="11.85546875" style="149" customWidth="1"/>
    <col min="10245" max="10245" width="7" style="149" customWidth="1"/>
    <col min="10246" max="10246" width="21.85546875" style="149" customWidth="1"/>
    <col min="10247" max="10247" width="8.140625" style="149" customWidth="1"/>
    <col min="10248" max="10248" width="20.140625" style="149" customWidth="1"/>
    <col min="10249" max="10249" width="119.85546875" style="149" customWidth="1"/>
    <col min="10250" max="10250" width="8.85546875" style="149"/>
    <col min="10251" max="10251" width="128.140625" style="149" customWidth="1"/>
    <col min="10252" max="10496" width="8.85546875" style="149"/>
    <col min="10497" max="10497" width="1.140625" style="149" customWidth="1"/>
    <col min="10498" max="10498" width="29.42578125" style="149" customWidth="1"/>
    <col min="10499" max="10499" width="15.5703125" style="149" customWidth="1"/>
    <col min="10500" max="10500" width="11.85546875" style="149" customWidth="1"/>
    <col min="10501" max="10501" width="7" style="149" customWidth="1"/>
    <col min="10502" max="10502" width="21.85546875" style="149" customWidth="1"/>
    <col min="10503" max="10503" width="8.140625" style="149" customWidth="1"/>
    <col min="10504" max="10504" width="20.140625" style="149" customWidth="1"/>
    <col min="10505" max="10505" width="119.85546875" style="149" customWidth="1"/>
    <col min="10506" max="10506" width="8.85546875" style="149"/>
    <col min="10507" max="10507" width="128.140625" style="149" customWidth="1"/>
    <col min="10508" max="10752" width="8.85546875" style="149"/>
    <col min="10753" max="10753" width="1.140625" style="149" customWidth="1"/>
    <col min="10754" max="10754" width="29.42578125" style="149" customWidth="1"/>
    <col min="10755" max="10755" width="15.5703125" style="149" customWidth="1"/>
    <col min="10756" max="10756" width="11.85546875" style="149" customWidth="1"/>
    <col min="10757" max="10757" width="7" style="149" customWidth="1"/>
    <col min="10758" max="10758" width="21.85546875" style="149" customWidth="1"/>
    <col min="10759" max="10759" width="8.140625" style="149" customWidth="1"/>
    <col min="10760" max="10760" width="20.140625" style="149" customWidth="1"/>
    <col min="10761" max="10761" width="119.85546875" style="149" customWidth="1"/>
    <col min="10762" max="10762" width="8.85546875" style="149"/>
    <col min="10763" max="10763" width="128.140625" style="149" customWidth="1"/>
    <col min="10764" max="11008" width="8.85546875" style="149"/>
    <col min="11009" max="11009" width="1.140625" style="149" customWidth="1"/>
    <col min="11010" max="11010" width="29.42578125" style="149" customWidth="1"/>
    <col min="11011" max="11011" width="15.5703125" style="149" customWidth="1"/>
    <col min="11012" max="11012" width="11.85546875" style="149" customWidth="1"/>
    <col min="11013" max="11013" width="7" style="149" customWidth="1"/>
    <col min="11014" max="11014" width="21.85546875" style="149" customWidth="1"/>
    <col min="11015" max="11015" width="8.140625" style="149" customWidth="1"/>
    <col min="11016" max="11016" width="20.140625" style="149" customWidth="1"/>
    <col min="11017" max="11017" width="119.85546875" style="149" customWidth="1"/>
    <col min="11018" max="11018" width="8.85546875" style="149"/>
    <col min="11019" max="11019" width="128.140625" style="149" customWidth="1"/>
    <col min="11020" max="11264" width="8.85546875" style="149"/>
    <col min="11265" max="11265" width="1.140625" style="149" customWidth="1"/>
    <col min="11266" max="11266" width="29.42578125" style="149" customWidth="1"/>
    <col min="11267" max="11267" width="15.5703125" style="149" customWidth="1"/>
    <col min="11268" max="11268" width="11.85546875" style="149" customWidth="1"/>
    <col min="11269" max="11269" width="7" style="149" customWidth="1"/>
    <col min="11270" max="11270" width="21.85546875" style="149" customWidth="1"/>
    <col min="11271" max="11271" width="8.140625" style="149" customWidth="1"/>
    <col min="11272" max="11272" width="20.140625" style="149" customWidth="1"/>
    <col min="11273" max="11273" width="119.85546875" style="149" customWidth="1"/>
    <col min="11274" max="11274" width="8.85546875" style="149"/>
    <col min="11275" max="11275" width="128.140625" style="149" customWidth="1"/>
    <col min="11276" max="11520" width="8.85546875" style="149"/>
    <col min="11521" max="11521" width="1.140625" style="149" customWidth="1"/>
    <col min="11522" max="11522" width="29.42578125" style="149" customWidth="1"/>
    <col min="11523" max="11523" width="15.5703125" style="149" customWidth="1"/>
    <col min="11524" max="11524" width="11.85546875" style="149" customWidth="1"/>
    <col min="11525" max="11525" width="7" style="149" customWidth="1"/>
    <col min="11526" max="11526" width="21.85546875" style="149" customWidth="1"/>
    <col min="11527" max="11527" width="8.140625" style="149" customWidth="1"/>
    <col min="11528" max="11528" width="20.140625" style="149" customWidth="1"/>
    <col min="11529" max="11529" width="119.85546875" style="149" customWidth="1"/>
    <col min="11530" max="11530" width="8.85546875" style="149"/>
    <col min="11531" max="11531" width="128.140625" style="149" customWidth="1"/>
    <col min="11532" max="11776" width="8.85546875" style="149"/>
    <col min="11777" max="11777" width="1.140625" style="149" customWidth="1"/>
    <col min="11778" max="11778" width="29.42578125" style="149" customWidth="1"/>
    <col min="11779" max="11779" width="15.5703125" style="149" customWidth="1"/>
    <col min="11780" max="11780" width="11.85546875" style="149" customWidth="1"/>
    <col min="11781" max="11781" width="7" style="149" customWidth="1"/>
    <col min="11782" max="11782" width="21.85546875" style="149" customWidth="1"/>
    <col min="11783" max="11783" width="8.140625" style="149" customWidth="1"/>
    <col min="11784" max="11784" width="20.140625" style="149" customWidth="1"/>
    <col min="11785" max="11785" width="119.85546875" style="149" customWidth="1"/>
    <col min="11786" max="11786" width="8.85546875" style="149"/>
    <col min="11787" max="11787" width="128.140625" style="149" customWidth="1"/>
    <col min="11788" max="12032" width="8.85546875" style="149"/>
    <col min="12033" max="12033" width="1.140625" style="149" customWidth="1"/>
    <col min="12034" max="12034" width="29.42578125" style="149" customWidth="1"/>
    <col min="12035" max="12035" width="15.5703125" style="149" customWidth="1"/>
    <col min="12036" max="12036" width="11.85546875" style="149" customWidth="1"/>
    <col min="12037" max="12037" width="7" style="149" customWidth="1"/>
    <col min="12038" max="12038" width="21.85546875" style="149" customWidth="1"/>
    <col min="12039" max="12039" width="8.140625" style="149" customWidth="1"/>
    <col min="12040" max="12040" width="20.140625" style="149" customWidth="1"/>
    <col min="12041" max="12041" width="119.85546875" style="149" customWidth="1"/>
    <col min="12042" max="12042" width="8.85546875" style="149"/>
    <col min="12043" max="12043" width="128.140625" style="149" customWidth="1"/>
    <col min="12044" max="12288" width="8.85546875" style="149"/>
    <col min="12289" max="12289" width="1.140625" style="149" customWidth="1"/>
    <col min="12290" max="12290" width="29.42578125" style="149" customWidth="1"/>
    <col min="12291" max="12291" width="15.5703125" style="149" customWidth="1"/>
    <col min="12292" max="12292" width="11.85546875" style="149" customWidth="1"/>
    <col min="12293" max="12293" width="7" style="149" customWidth="1"/>
    <col min="12294" max="12294" width="21.85546875" style="149" customWidth="1"/>
    <col min="12295" max="12295" width="8.140625" style="149" customWidth="1"/>
    <col min="12296" max="12296" width="20.140625" style="149" customWidth="1"/>
    <col min="12297" max="12297" width="119.85546875" style="149" customWidth="1"/>
    <col min="12298" max="12298" width="8.85546875" style="149"/>
    <col min="12299" max="12299" width="128.140625" style="149" customWidth="1"/>
    <col min="12300" max="12544" width="8.85546875" style="149"/>
    <col min="12545" max="12545" width="1.140625" style="149" customWidth="1"/>
    <col min="12546" max="12546" width="29.42578125" style="149" customWidth="1"/>
    <col min="12547" max="12547" width="15.5703125" style="149" customWidth="1"/>
    <col min="12548" max="12548" width="11.85546875" style="149" customWidth="1"/>
    <col min="12549" max="12549" width="7" style="149" customWidth="1"/>
    <col min="12550" max="12550" width="21.85546875" style="149" customWidth="1"/>
    <col min="12551" max="12551" width="8.140625" style="149" customWidth="1"/>
    <col min="12552" max="12552" width="20.140625" style="149" customWidth="1"/>
    <col min="12553" max="12553" width="119.85546875" style="149" customWidth="1"/>
    <col min="12554" max="12554" width="8.85546875" style="149"/>
    <col min="12555" max="12555" width="128.140625" style="149" customWidth="1"/>
    <col min="12556" max="12800" width="8.85546875" style="149"/>
    <col min="12801" max="12801" width="1.140625" style="149" customWidth="1"/>
    <col min="12802" max="12802" width="29.42578125" style="149" customWidth="1"/>
    <col min="12803" max="12803" width="15.5703125" style="149" customWidth="1"/>
    <col min="12804" max="12804" width="11.85546875" style="149" customWidth="1"/>
    <col min="12805" max="12805" width="7" style="149" customWidth="1"/>
    <col min="12806" max="12806" width="21.85546875" style="149" customWidth="1"/>
    <col min="12807" max="12807" width="8.140625" style="149" customWidth="1"/>
    <col min="12808" max="12808" width="20.140625" style="149" customWidth="1"/>
    <col min="12809" max="12809" width="119.85546875" style="149" customWidth="1"/>
    <col min="12810" max="12810" width="8.85546875" style="149"/>
    <col min="12811" max="12811" width="128.140625" style="149" customWidth="1"/>
    <col min="12812" max="13056" width="8.85546875" style="149"/>
    <col min="13057" max="13057" width="1.140625" style="149" customWidth="1"/>
    <col min="13058" max="13058" width="29.42578125" style="149" customWidth="1"/>
    <col min="13059" max="13059" width="15.5703125" style="149" customWidth="1"/>
    <col min="13060" max="13060" width="11.85546875" style="149" customWidth="1"/>
    <col min="13061" max="13061" width="7" style="149" customWidth="1"/>
    <col min="13062" max="13062" width="21.85546875" style="149" customWidth="1"/>
    <col min="13063" max="13063" width="8.140625" style="149" customWidth="1"/>
    <col min="13064" max="13064" width="20.140625" style="149" customWidth="1"/>
    <col min="13065" max="13065" width="119.85546875" style="149" customWidth="1"/>
    <col min="13066" max="13066" width="8.85546875" style="149"/>
    <col min="13067" max="13067" width="128.140625" style="149" customWidth="1"/>
    <col min="13068" max="13312" width="8.85546875" style="149"/>
    <col min="13313" max="13313" width="1.140625" style="149" customWidth="1"/>
    <col min="13314" max="13314" width="29.42578125" style="149" customWidth="1"/>
    <col min="13315" max="13315" width="15.5703125" style="149" customWidth="1"/>
    <col min="13316" max="13316" width="11.85546875" style="149" customWidth="1"/>
    <col min="13317" max="13317" width="7" style="149" customWidth="1"/>
    <col min="13318" max="13318" width="21.85546875" style="149" customWidth="1"/>
    <col min="13319" max="13319" width="8.140625" style="149" customWidth="1"/>
    <col min="13320" max="13320" width="20.140625" style="149" customWidth="1"/>
    <col min="13321" max="13321" width="119.85546875" style="149" customWidth="1"/>
    <col min="13322" max="13322" width="8.85546875" style="149"/>
    <col min="13323" max="13323" width="128.140625" style="149" customWidth="1"/>
    <col min="13324" max="13568" width="8.85546875" style="149"/>
    <col min="13569" max="13569" width="1.140625" style="149" customWidth="1"/>
    <col min="13570" max="13570" width="29.42578125" style="149" customWidth="1"/>
    <col min="13571" max="13571" width="15.5703125" style="149" customWidth="1"/>
    <col min="13572" max="13572" width="11.85546875" style="149" customWidth="1"/>
    <col min="13573" max="13573" width="7" style="149" customWidth="1"/>
    <col min="13574" max="13574" width="21.85546875" style="149" customWidth="1"/>
    <col min="13575" max="13575" width="8.140625" style="149" customWidth="1"/>
    <col min="13576" max="13576" width="20.140625" style="149" customWidth="1"/>
    <col min="13577" max="13577" width="119.85546875" style="149" customWidth="1"/>
    <col min="13578" max="13578" width="8.85546875" style="149"/>
    <col min="13579" max="13579" width="128.140625" style="149" customWidth="1"/>
    <col min="13580" max="13824" width="8.85546875" style="149"/>
    <col min="13825" max="13825" width="1.140625" style="149" customWidth="1"/>
    <col min="13826" max="13826" width="29.42578125" style="149" customWidth="1"/>
    <col min="13827" max="13827" width="15.5703125" style="149" customWidth="1"/>
    <col min="13828" max="13828" width="11.85546875" style="149" customWidth="1"/>
    <col min="13829" max="13829" width="7" style="149" customWidth="1"/>
    <col min="13830" max="13830" width="21.85546875" style="149" customWidth="1"/>
    <col min="13831" max="13831" width="8.140625" style="149" customWidth="1"/>
    <col min="13832" max="13832" width="20.140625" style="149" customWidth="1"/>
    <col min="13833" max="13833" width="119.85546875" style="149" customWidth="1"/>
    <col min="13834" max="13834" width="8.85546875" style="149"/>
    <col min="13835" max="13835" width="128.140625" style="149" customWidth="1"/>
    <col min="13836" max="14080" width="8.85546875" style="149"/>
    <col min="14081" max="14081" width="1.140625" style="149" customWidth="1"/>
    <col min="14082" max="14082" width="29.42578125" style="149" customWidth="1"/>
    <col min="14083" max="14083" width="15.5703125" style="149" customWidth="1"/>
    <col min="14084" max="14084" width="11.85546875" style="149" customWidth="1"/>
    <col min="14085" max="14085" width="7" style="149" customWidth="1"/>
    <col min="14086" max="14086" width="21.85546875" style="149" customWidth="1"/>
    <col min="14087" max="14087" width="8.140625" style="149" customWidth="1"/>
    <col min="14088" max="14088" width="20.140625" style="149" customWidth="1"/>
    <col min="14089" max="14089" width="119.85546875" style="149" customWidth="1"/>
    <col min="14090" max="14090" width="8.85546875" style="149"/>
    <col min="14091" max="14091" width="128.140625" style="149" customWidth="1"/>
    <col min="14092" max="14336" width="8.85546875" style="149"/>
    <col min="14337" max="14337" width="1.140625" style="149" customWidth="1"/>
    <col min="14338" max="14338" width="29.42578125" style="149" customWidth="1"/>
    <col min="14339" max="14339" width="15.5703125" style="149" customWidth="1"/>
    <col min="14340" max="14340" width="11.85546875" style="149" customWidth="1"/>
    <col min="14341" max="14341" width="7" style="149" customWidth="1"/>
    <col min="14342" max="14342" width="21.85546875" style="149" customWidth="1"/>
    <col min="14343" max="14343" width="8.140625" style="149" customWidth="1"/>
    <col min="14344" max="14344" width="20.140625" style="149" customWidth="1"/>
    <col min="14345" max="14345" width="119.85546875" style="149" customWidth="1"/>
    <col min="14346" max="14346" width="8.85546875" style="149"/>
    <col min="14347" max="14347" width="128.140625" style="149" customWidth="1"/>
    <col min="14348" max="14592" width="8.85546875" style="149"/>
    <col min="14593" max="14593" width="1.140625" style="149" customWidth="1"/>
    <col min="14594" max="14594" width="29.42578125" style="149" customWidth="1"/>
    <col min="14595" max="14595" width="15.5703125" style="149" customWidth="1"/>
    <col min="14596" max="14596" width="11.85546875" style="149" customWidth="1"/>
    <col min="14597" max="14597" width="7" style="149" customWidth="1"/>
    <col min="14598" max="14598" width="21.85546875" style="149" customWidth="1"/>
    <col min="14599" max="14599" width="8.140625" style="149" customWidth="1"/>
    <col min="14600" max="14600" width="20.140625" style="149" customWidth="1"/>
    <col min="14601" max="14601" width="119.85546875" style="149" customWidth="1"/>
    <col min="14602" max="14602" width="8.85546875" style="149"/>
    <col min="14603" max="14603" width="128.140625" style="149" customWidth="1"/>
    <col min="14604" max="14848" width="8.85546875" style="149"/>
    <col min="14849" max="14849" width="1.140625" style="149" customWidth="1"/>
    <col min="14850" max="14850" width="29.42578125" style="149" customWidth="1"/>
    <col min="14851" max="14851" width="15.5703125" style="149" customWidth="1"/>
    <col min="14852" max="14852" width="11.85546875" style="149" customWidth="1"/>
    <col min="14853" max="14853" width="7" style="149" customWidth="1"/>
    <col min="14854" max="14854" width="21.85546875" style="149" customWidth="1"/>
    <col min="14855" max="14855" width="8.140625" style="149" customWidth="1"/>
    <col min="14856" max="14856" width="20.140625" style="149" customWidth="1"/>
    <col min="14857" max="14857" width="119.85546875" style="149" customWidth="1"/>
    <col min="14858" max="14858" width="8.85546875" style="149"/>
    <col min="14859" max="14859" width="128.140625" style="149" customWidth="1"/>
    <col min="14860" max="15104" width="8.85546875" style="149"/>
    <col min="15105" max="15105" width="1.140625" style="149" customWidth="1"/>
    <col min="15106" max="15106" width="29.42578125" style="149" customWidth="1"/>
    <col min="15107" max="15107" width="15.5703125" style="149" customWidth="1"/>
    <col min="15108" max="15108" width="11.85546875" style="149" customWidth="1"/>
    <col min="15109" max="15109" width="7" style="149" customWidth="1"/>
    <col min="15110" max="15110" width="21.85546875" style="149" customWidth="1"/>
    <col min="15111" max="15111" width="8.140625" style="149" customWidth="1"/>
    <col min="15112" max="15112" width="20.140625" style="149" customWidth="1"/>
    <col min="15113" max="15113" width="119.85546875" style="149" customWidth="1"/>
    <col min="15114" max="15114" width="8.85546875" style="149"/>
    <col min="15115" max="15115" width="128.140625" style="149" customWidth="1"/>
    <col min="15116" max="15360" width="8.85546875" style="149"/>
    <col min="15361" max="15361" width="1.140625" style="149" customWidth="1"/>
    <col min="15362" max="15362" width="29.42578125" style="149" customWidth="1"/>
    <col min="15363" max="15363" width="15.5703125" style="149" customWidth="1"/>
    <col min="15364" max="15364" width="11.85546875" style="149" customWidth="1"/>
    <col min="15365" max="15365" width="7" style="149" customWidth="1"/>
    <col min="15366" max="15366" width="21.85546875" style="149" customWidth="1"/>
    <col min="15367" max="15367" width="8.140625" style="149" customWidth="1"/>
    <col min="15368" max="15368" width="20.140625" style="149" customWidth="1"/>
    <col min="15369" max="15369" width="119.85546875" style="149" customWidth="1"/>
    <col min="15370" max="15370" width="8.85546875" style="149"/>
    <col min="15371" max="15371" width="128.140625" style="149" customWidth="1"/>
    <col min="15372" max="15616" width="8.85546875" style="149"/>
    <col min="15617" max="15617" width="1.140625" style="149" customWidth="1"/>
    <col min="15618" max="15618" width="29.42578125" style="149" customWidth="1"/>
    <col min="15619" max="15619" width="15.5703125" style="149" customWidth="1"/>
    <col min="15620" max="15620" width="11.85546875" style="149" customWidth="1"/>
    <col min="15621" max="15621" width="7" style="149" customWidth="1"/>
    <col min="15622" max="15622" width="21.85546875" style="149" customWidth="1"/>
    <col min="15623" max="15623" width="8.140625" style="149" customWidth="1"/>
    <col min="15624" max="15624" width="20.140625" style="149" customWidth="1"/>
    <col min="15625" max="15625" width="119.85546875" style="149" customWidth="1"/>
    <col min="15626" max="15626" width="8.85546875" style="149"/>
    <col min="15627" max="15627" width="128.140625" style="149" customWidth="1"/>
    <col min="15628" max="15872" width="8.85546875" style="149"/>
    <col min="15873" max="15873" width="1.140625" style="149" customWidth="1"/>
    <col min="15874" max="15874" width="29.42578125" style="149" customWidth="1"/>
    <col min="15875" max="15875" width="15.5703125" style="149" customWidth="1"/>
    <col min="15876" max="15876" width="11.85546875" style="149" customWidth="1"/>
    <col min="15877" max="15877" width="7" style="149" customWidth="1"/>
    <col min="15878" max="15878" width="21.85546875" style="149" customWidth="1"/>
    <col min="15879" max="15879" width="8.140625" style="149" customWidth="1"/>
    <col min="15880" max="15880" width="20.140625" style="149" customWidth="1"/>
    <col min="15881" max="15881" width="119.85546875" style="149" customWidth="1"/>
    <col min="15882" max="15882" width="8.85546875" style="149"/>
    <col min="15883" max="15883" width="128.140625" style="149" customWidth="1"/>
    <col min="15884" max="16128" width="8.85546875" style="149"/>
    <col min="16129" max="16129" width="1.140625" style="149" customWidth="1"/>
    <col min="16130" max="16130" width="29.42578125" style="149" customWidth="1"/>
    <col min="16131" max="16131" width="15.5703125" style="149" customWidth="1"/>
    <col min="16132" max="16132" width="11.85546875" style="149" customWidth="1"/>
    <col min="16133" max="16133" width="7" style="149" customWidth="1"/>
    <col min="16134" max="16134" width="21.85546875" style="149" customWidth="1"/>
    <col min="16135" max="16135" width="8.140625" style="149" customWidth="1"/>
    <col min="16136" max="16136" width="20.140625" style="149" customWidth="1"/>
    <col min="16137" max="16137" width="119.85546875" style="149" customWidth="1"/>
    <col min="16138" max="16138" width="8.85546875" style="149"/>
    <col min="16139" max="16139" width="128.140625" style="149" customWidth="1"/>
    <col min="16140" max="16384" width="8.85546875" style="149"/>
  </cols>
  <sheetData>
    <row r="1" spans="2:7" x14ac:dyDescent="0.25">
      <c r="B1" s="326" t="s">
        <v>692</v>
      </c>
    </row>
    <row r="3" spans="2:7" ht="22.35" customHeight="1" x14ac:dyDescent="0.25">
      <c r="B3" s="166" t="s">
        <v>344</v>
      </c>
      <c r="C3" s="165"/>
      <c r="D3" s="165"/>
      <c r="E3" s="165"/>
      <c r="F3" s="165"/>
      <c r="G3" s="194"/>
    </row>
    <row r="4" spans="2:7" s="150" customFormat="1" x14ac:dyDescent="0.25"/>
    <row r="5" spans="2:7" s="150" customFormat="1" x14ac:dyDescent="0.25">
      <c r="B5" s="187" t="s">
        <v>320</v>
      </c>
      <c r="C5" s="444" t="s">
        <v>345</v>
      </c>
      <c r="D5" s="444"/>
      <c r="E5" s="444"/>
      <c r="F5" s="444"/>
      <c r="G5" s="195"/>
    </row>
    <row r="6" spans="2:7" s="150" customFormat="1" x14ac:dyDescent="0.25">
      <c r="B6" s="188" t="s">
        <v>318</v>
      </c>
      <c r="C6" s="445" t="s">
        <v>317</v>
      </c>
      <c r="D6" s="445"/>
      <c r="E6" s="445"/>
      <c r="F6" s="445"/>
      <c r="G6" s="190"/>
    </row>
    <row r="7" spans="2:7" s="150" customFormat="1" x14ac:dyDescent="0.25">
      <c r="B7" s="187" t="s">
        <v>316</v>
      </c>
      <c r="C7" s="444" t="s">
        <v>346</v>
      </c>
      <c r="D7" s="444"/>
      <c r="E7" s="444"/>
      <c r="F7" s="444"/>
      <c r="G7" s="195"/>
    </row>
    <row r="8" spans="2:7" s="150" customFormat="1" x14ac:dyDescent="0.25">
      <c r="B8" s="187" t="s">
        <v>314</v>
      </c>
      <c r="C8" s="444" t="s">
        <v>347</v>
      </c>
      <c r="D8" s="444"/>
      <c r="E8" s="444"/>
      <c r="F8" s="444"/>
      <c r="G8" s="195"/>
    </row>
    <row r="9" spans="2:7" s="150" customFormat="1" x14ac:dyDescent="0.25">
      <c r="B9" s="187" t="s">
        <v>348</v>
      </c>
      <c r="C9" s="444" t="s">
        <v>349</v>
      </c>
      <c r="D9" s="444"/>
      <c r="E9" s="444"/>
      <c r="F9" s="444"/>
      <c r="G9" s="195"/>
    </row>
    <row r="10" spans="2:7" s="150" customFormat="1" x14ac:dyDescent="0.25">
      <c r="B10" s="187" t="s">
        <v>310</v>
      </c>
      <c r="C10" s="444">
        <v>5</v>
      </c>
      <c r="D10" s="444"/>
      <c r="E10" s="444"/>
      <c r="F10" s="444"/>
      <c r="G10" s="195"/>
    </row>
    <row r="11" spans="2:7" s="150" customFormat="1" x14ac:dyDescent="0.25"/>
    <row r="12" spans="2:7" s="150" customFormat="1" x14ac:dyDescent="0.25">
      <c r="B12" s="452" t="s">
        <v>350</v>
      </c>
      <c r="C12" s="452"/>
      <c r="D12" s="452"/>
      <c r="E12" s="452"/>
      <c r="F12" s="452"/>
      <c r="G12" s="196"/>
    </row>
    <row r="13" spans="2:7" s="150" customFormat="1" x14ac:dyDescent="0.25">
      <c r="B13" s="475" t="s">
        <v>304</v>
      </c>
      <c r="C13" s="477"/>
      <c r="D13" s="452" t="s">
        <v>308</v>
      </c>
      <c r="E13" s="452"/>
      <c r="F13" s="452"/>
      <c r="G13" s="196"/>
    </row>
    <row r="14" spans="2:7" s="150" customFormat="1" x14ac:dyDescent="0.25">
      <c r="B14" s="483"/>
      <c r="C14" s="484"/>
      <c r="D14" s="444" t="s">
        <v>345</v>
      </c>
      <c r="E14" s="444"/>
      <c r="F14" s="444"/>
      <c r="G14" s="195"/>
    </row>
    <row r="15" spans="2:7" s="150" customFormat="1" x14ac:dyDescent="0.25"/>
    <row r="16" spans="2:7" s="150" customFormat="1" x14ac:dyDescent="0.25">
      <c r="B16" s="162" t="s">
        <v>300</v>
      </c>
      <c r="C16" s="162" t="s">
        <v>299</v>
      </c>
      <c r="D16" s="162" t="s">
        <v>298</v>
      </c>
      <c r="E16" s="162" t="s">
        <v>297</v>
      </c>
      <c r="F16" s="162" t="s">
        <v>296</v>
      </c>
      <c r="G16" s="196"/>
    </row>
    <row r="17" spans="2:7" s="150" customFormat="1" ht="42.75" customHeight="1" x14ac:dyDescent="0.25">
      <c r="B17" s="35" t="s">
        <v>700</v>
      </c>
      <c r="C17" s="24">
        <v>42</v>
      </c>
      <c r="D17" s="24">
        <v>2</v>
      </c>
      <c r="E17" s="24">
        <v>2</v>
      </c>
      <c r="F17" s="24" t="s">
        <v>440</v>
      </c>
      <c r="G17" s="190"/>
    </row>
    <row r="18" spans="2:7" s="150" customFormat="1" ht="23.25" customHeight="1" x14ac:dyDescent="0.25">
      <c r="B18" s="189"/>
      <c r="C18" s="190"/>
      <c r="D18" s="190"/>
      <c r="E18" s="190"/>
      <c r="F18" s="190"/>
      <c r="G18" s="190"/>
    </row>
    <row r="19" spans="2:7" s="150" customFormat="1" x14ac:dyDescent="0.25">
      <c r="B19" s="446" t="s">
        <v>293</v>
      </c>
      <c r="C19" s="447"/>
      <c r="D19" s="447"/>
      <c r="E19" s="447"/>
      <c r="F19" s="448"/>
      <c r="G19" s="197"/>
    </row>
    <row r="20" spans="2:7" s="150" customFormat="1" ht="21.6" customHeight="1" x14ac:dyDescent="0.25">
      <c r="B20" s="449" t="s">
        <v>410</v>
      </c>
      <c r="C20" s="506"/>
      <c r="D20" s="506"/>
      <c r="E20" s="506"/>
      <c r="F20" s="507"/>
      <c r="G20" s="198"/>
    </row>
    <row r="21" spans="2:7" s="150" customFormat="1" x14ac:dyDescent="0.25">
      <c r="B21" s="446" t="s">
        <v>292</v>
      </c>
      <c r="C21" s="447"/>
      <c r="D21" s="447"/>
      <c r="E21" s="447"/>
      <c r="F21" s="448"/>
      <c r="G21" s="197"/>
    </row>
    <row r="22" spans="2:7" s="150" customFormat="1" ht="47.1" customHeight="1" x14ac:dyDescent="0.25">
      <c r="B22" s="454" t="s">
        <v>411</v>
      </c>
      <c r="C22" s="450"/>
      <c r="D22" s="450"/>
      <c r="E22" s="450"/>
      <c r="F22" s="451"/>
      <c r="G22" s="199"/>
    </row>
    <row r="23" spans="2:7" s="150" customFormat="1" x14ac:dyDescent="0.25"/>
    <row r="24" spans="2:7" s="150" customFormat="1" x14ac:dyDescent="0.25">
      <c r="B24" s="446" t="s">
        <v>353</v>
      </c>
      <c r="C24" s="447"/>
      <c r="D24" s="447"/>
      <c r="E24" s="447"/>
      <c r="F24" s="448"/>
      <c r="G24" s="197"/>
    </row>
    <row r="25" spans="2:7" s="150" customFormat="1" ht="17.45" customHeight="1" x14ac:dyDescent="0.25">
      <c r="B25" s="464" t="s">
        <v>412</v>
      </c>
      <c r="C25" s="506"/>
      <c r="D25" s="506"/>
      <c r="E25" s="506"/>
      <c r="F25" s="507"/>
      <c r="G25" s="198"/>
    </row>
    <row r="26" spans="2:7" s="150" customFormat="1" x14ac:dyDescent="0.25"/>
    <row r="27" spans="2:7" s="150" customFormat="1" x14ac:dyDescent="0.25">
      <c r="B27" s="446" t="s">
        <v>355</v>
      </c>
      <c r="C27" s="447"/>
      <c r="D27" s="447"/>
      <c r="E27" s="447"/>
      <c r="F27" s="448"/>
      <c r="G27" s="196"/>
    </row>
    <row r="28" spans="2:7" s="150" customFormat="1" x14ac:dyDescent="0.25">
      <c r="B28" s="494" t="s">
        <v>413</v>
      </c>
      <c r="C28" s="495"/>
      <c r="D28" s="495"/>
      <c r="E28" s="495"/>
      <c r="F28" s="496"/>
      <c r="G28" s="200"/>
    </row>
    <row r="29" spans="2:7" s="150" customFormat="1" x14ac:dyDescent="0.25">
      <c r="B29" s="494" t="s">
        <v>147</v>
      </c>
      <c r="C29" s="495"/>
      <c r="D29" s="495"/>
      <c r="E29" s="495"/>
      <c r="F29" s="496"/>
      <c r="G29" s="200"/>
    </row>
    <row r="30" spans="2:7" s="150" customFormat="1" x14ac:dyDescent="0.25">
      <c r="B30" s="494" t="s">
        <v>414</v>
      </c>
      <c r="C30" s="495"/>
      <c r="D30" s="495"/>
      <c r="E30" s="495"/>
      <c r="F30" s="496"/>
      <c r="G30" s="200"/>
    </row>
    <row r="31" spans="2:7" s="150" customFormat="1" x14ac:dyDescent="0.25">
      <c r="B31" s="494" t="s">
        <v>18</v>
      </c>
      <c r="C31" s="495"/>
      <c r="D31" s="495"/>
      <c r="E31" s="495"/>
      <c r="F31" s="496"/>
      <c r="G31" s="200"/>
    </row>
    <row r="32" spans="2:7" s="150" customFormat="1" x14ac:dyDescent="0.25">
      <c r="B32" s="494" t="s">
        <v>415</v>
      </c>
      <c r="C32" s="495"/>
      <c r="D32" s="495"/>
      <c r="E32" s="495"/>
      <c r="F32" s="496"/>
      <c r="G32" s="200"/>
    </row>
    <row r="33" spans="2:7" s="150" customFormat="1" x14ac:dyDescent="0.25">
      <c r="B33" s="460" t="s">
        <v>416</v>
      </c>
      <c r="C33" s="460"/>
      <c r="D33" s="460"/>
      <c r="E33" s="460"/>
      <c r="F33" s="460"/>
      <c r="G33" s="200"/>
    </row>
    <row r="34" spans="2:7" s="150" customFormat="1" x14ac:dyDescent="0.25"/>
    <row r="35" spans="2:7" s="150" customFormat="1" x14ac:dyDescent="0.25">
      <c r="B35" s="446" t="s">
        <v>282</v>
      </c>
      <c r="C35" s="447"/>
      <c r="D35" s="447"/>
      <c r="E35" s="447"/>
      <c r="F35" s="448"/>
      <c r="G35" s="197"/>
    </row>
    <row r="36" spans="2:7" s="150" customFormat="1" ht="349.5" customHeight="1" x14ac:dyDescent="0.25">
      <c r="B36" s="454" t="s">
        <v>417</v>
      </c>
      <c r="C36" s="450"/>
      <c r="D36" s="450"/>
      <c r="E36" s="450"/>
      <c r="F36" s="451"/>
      <c r="G36" s="199"/>
    </row>
    <row r="37" spans="2:7" s="150" customFormat="1" ht="16.5" customHeight="1" x14ac:dyDescent="0.25">
      <c r="B37" s="160"/>
      <c r="C37" s="191"/>
      <c r="D37" s="191"/>
      <c r="E37" s="191"/>
      <c r="F37" s="191"/>
      <c r="G37" s="191"/>
    </row>
    <row r="38" spans="2:7" s="150" customFormat="1" x14ac:dyDescent="0.25">
      <c r="B38" s="446" t="s">
        <v>280</v>
      </c>
      <c r="C38" s="447"/>
      <c r="D38" s="447"/>
      <c r="E38" s="447"/>
      <c r="F38" s="448"/>
      <c r="G38" s="197"/>
    </row>
    <row r="39" spans="2:7" s="150" customFormat="1" x14ac:dyDescent="0.25">
      <c r="B39" s="192" t="s">
        <v>384</v>
      </c>
      <c r="C39" s="468" t="s">
        <v>418</v>
      </c>
      <c r="D39" s="468"/>
      <c r="E39" s="468"/>
      <c r="F39" s="468"/>
      <c r="G39" s="199"/>
    </row>
    <row r="40" spans="2:7" s="150" customFormat="1" x14ac:dyDescent="0.25">
      <c r="B40" s="192" t="s">
        <v>385</v>
      </c>
      <c r="C40" s="468" t="s">
        <v>419</v>
      </c>
      <c r="D40" s="468"/>
      <c r="E40" s="468"/>
      <c r="F40" s="468"/>
      <c r="G40" s="199"/>
    </row>
    <row r="41" spans="2:7" s="150" customFormat="1" x14ac:dyDescent="0.25">
      <c r="B41" s="192" t="s">
        <v>361</v>
      </c>
      <c r="C41" s="464" t="s">
        <v>420</v>
      </c>
      <c r="D41" s="450"/>
      <c r="E41" s="450"/>
      <c r="F41" s="451"/>
      <c r="G41" s="199"/>
    </row>
    <row r="42" spans="2:7" s="150" customFormat="1" x14ac:dyDescent="0.25">
      <c r="B42" s="192"/>
      <c r="C42" s="468"/>
      <c r="D42" s="468"/>
      <c r="E42" s="468"/>
      <c r="F42" s="468"/>
      <c r="G42" s="199"/>
    </row>
    <row r="43" spans="2:7" s="150" customFormat="1" x14ac:dyDescent="0.25">
      <c r="B43" s="192"/>
      <c r="C43" s="468"/>
      <c r="D43" s="468"/>
      <c r="E43" s="468"/>
      <c r="F43" s="468"/>
      <c r="G43" s="199"/>
    </row>
    <row r="44" spans="2:7" s="150" customFormat="1" x14ac:dyDescent="0.25"/>
    <row r="45" spans="2:7" s="150" customFormat="1" x14ac:dyDescent="0.25">
      <c r="B45" s="446" t="s">
        <v>276</v>
      </c>
      <c r="C45" s="447"/>
      <c r="D45" s="447"/>
      <c r="E45" s="447"/>
      <c r="F45" s="448"/>
      <c r="G45" s="197"/>
    </row>
    <row r="46" spans="2:7" s="150" customFormat="1" ht="51" customHeight="1" x14ac:dyDescent="0.25">
      <c r="B46" s="464" t="s">
        <v>421</v>
      </c>
      <c r="C46" s="450"/>
      <c r="D46" s="450"/>
      <c r="E46" s="450"/>
      <c r="F46" s="451"/>
      <c r="G46" s="191"/>
    </row>
    <row r="47" spans="2:7" s="150" customFormat="1" x14ac:dyDescent="0.25"/>
    <row r="48" spans="2:7" s="150" customFormat="1" ht="30" customHeight="1" x14ac:dyDescent="0.25">
      <c r="B48" s="501" t="s">
        <v>274</v>
      </c>
      <c r="C48" s="502"/>
      <c r="D48" s="502"/>
      <c r="E48" s="502"/>
      <c r="F48" s="503"/>
      <c r="G48" s="197"/>
    </row>
    <row r="49" spans="1:7" s="150" customFormat="1" x14ac:dyDescent="0.25">
      <c r="B49" s="155" t="s">
        <v>273</v>
      </c>
      <c r="C49" s="155" t="s">
        <v>272</v>
      </c>
      <c r="D49" s="446" t="s">
        <v>271</v>
      </c>
      <c r="E49" s="447"/>
      <c r="F49" s="448"/>
      <c r="G49" s="197"/>
    </row>
    <row r="50" spans="1:7" s="150" customFormat="1" x14ac:dyDescent="0.25">
      <c r="A50" s="201"/>
      <c r="B50" s="192"/>
      <c r="C50" s="192"/>
      <c r="D50" s="461"/>
      <c r="E50" s="492"/>
      <c r="F50" s="493"/>
      <c r="G50" s="202"/>
    </row>
    <row r="51" spans="1:7" s="150" customFormat="1" x14ac:dyDescent="0.25">
      <c r="B51" s="156"/>
      <c r="C51" s="156"/>
      <c r="D51" s="491"/>
      <c r="E51" s="492"/>
      <c r="F51" s="493"/>
      <c r="G51" s="202"/>
    </row>
    <row r="52" spans="1:7" s="150" customFormat="1" x14ac:dyDescent="0.25">
      <c r="B52" s="161"/>
      <c r="C52" s="161"/>
      <c r="D52" s="491"/>
      <c r="E52" s="492"/>
      <c r="F52" s="493"/>
      <c r="G52" s="202"/>
    </row>
    <row r="53" spans="1:7" s="150" customFormat="1" x14ac:dyDescent="0.25"/>
    <row r="54" spans="1:7" s="150" customFormat="1" x14ac:dyDescent="0.25">
      <c r="B54" s="446" t="s">
        <v>266</v>
      </c>
      <c r="C54" s="447"/>
      <c r="D54" s="447"/>
      <c r="E54" s="447"/>
      <c r="F54" s="448"/>
      <c r="G54" s="197"/>
    </row>
    <row r="55" spans="1:7" s="150" customFormat="1" ht="35.450000000000003" customHeight="1" x14ac:dyDescent="0.25">
      <c r="B55" s="488"/>
      <c r="C55" s="489"/>
      <c r="D55" s="489"/>
      <c r="E55" s="489"/>
      <c r="F55" s="490"/>
      <c r="G55" s="191"/>
    </row>
    <row r="56" spans="1:7" s="150" customFormat="1" x14ac:dyDescent="0.25"/>
  </sheetData>
  <mergeCells count="41">
    <mergeCell ref="C9:F9"/>
    <mergeCell ref="C5:F5"/>
    <mergeCell ref="C6:F6"/>
    <mergeCell ref="C7:F7"/>
    <mergeCell ref="C8:F8"/>
    <mergeCell ref="B25:F25"/>
    <mergeCell ref="C10:F10"/>
    <mergeCell ref="B12:F12"/>
    <mergeCell ref="B13:C13"/>
    <mergeCell ref="D13:F13"/>
    <mergeCell ref="B14:C14"/>
    <mergeCell ref="D14:F14"/>
    <mergeCell ref="B19:F19"/>
    <mergeCell ref="B20:F20"/>
    <mergeCell ref="B21:F21"/>
    <mergeCell ref="B22:F22"/>
    <mergeCell ref="B24:F24"/>
    <mergeCell ref="C40:F40"/>
    <mergeCell ref="B27:F27"/>
    <mergeCell ref="B28:F28"/>
    <mergeCell ref="B29:F29"/>
    <mergeCell ref="B30:F30"/>
    <mergeCell ref="B31:F31"/>
    <mergeCell ref="B32:F32"/>
    <mergeCell ref="B33:F33"/>
    <mergeCell ref="B35:F35"/>
    <mergeCell ref="B36:F36"/>
    <mergeCell ref="B38:F38"/>
    <mergeCell ref="C39:F39"/>
    <mergeCell ref="B55:F55"/>
    <mergeCell ref="C41:F41"/>
    <mergeCell ref="C42:F42"/>
    <mergeCell ref="C43:F43"/>
    <mergeCell ref="B45:F45"/>
    <mergeCell ref="B46:F46"/>
    <mergeCell ref="B48:F48"/>
    <mergeCell ref="D49:F49"/>
    <mergeCell ref="D50:F50"/>
    <mergeCell ref="D51:F51"/>
    <mergeCell ref="D52:F52"/>
    <mergeCell ref="B54:F54"/>
  </mergeCells>
  <dataValidations count="2">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9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5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11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7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3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9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5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91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7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3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9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5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71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7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3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formula1>"Mise à jour à partir du plan d'études, Nouvelle création"</formula1>
    </dataValidation>
    <dataValidation type="list" allowBlank="1" showInputMessage="1" showErrorMessage="1" sqref="C50:C52 IY50:IY52 SU50:SU52 ACQ50:ACQ52 AMM50:AMM52 AWI50:AWI52 BGE50:BGE52 BQA50:BQA52 BZW50:BZW52 CJS50:CJS52 CTO50:CTO52 DDK50:DDK52 DNG50:DNG52 DXC50:DXC52 EGY50:EGY52 EQU50:EQU52 FAQ50:FAQ52 FKM50:FKM52 FUI50:FUI52 GEE50:GEE52 GOA50:GOA52 GXW50:GXW52 HHS50:HHS52 HRO50:HRO52 IBK50:IBK52 ILG50:ILG52 IVC50:IVC52 JEY50:JEY52 JOU50:JOU52 JYQ50:JYQ52 KIM50:KIM52 KSI50:KSI52 LCE50:LCE52 LMA50:LMA52 LVW50:LVW52 MFS50:MFS52 MPO50:MPO52 MZK50:MZK52 NJG50:NJG52 NTC50:NTC52 OCY50:OCY52 OMU50:OMU52 OWQ50:OWQ52 PGM50:PGM52 PQI50:PQI52 QAE50:QAE52 QKA50:QKA52 QTW50:QTW52 RDS50:RDS52 RNO50:RNO52 RXK50:RXK52 SHG50:SHG52 SRC50:SRC52 TAY50:TAY52 TKU50:TKU52 TUQ50:TUQ52 UEM50:UEM52 UOI50:UOI52 UYE50:UYE52 VIA50:VIA52 VRW50:VRW52 WBS50:WBS52 WLO50:WLO52 WVK50:WVK52 C65584:C65586 IY65584:IY65586 SU65584:SU65586 ACQ65584:ACQ65586 AMM65584:AMM65586 AWI65584:AWI65586 BGE65584:BGE65586 BQA65584:BQA65586 BZW65584:BZW65586 CJS65584:CJS65586 CTO65584:CTO65586 DDK65584:DDK65586 DNG65584:DNG65586 DXC65584:DXC65586 EGY65584:EGY65586 EQU65584:EQU65586 FAQ65584:FAQ65586 FKM65584:FKM65586 FUI65584:FUI65586 GEE65584:GEE65586 GOA65584:GOA65586 GXW65584:GXW65586 HHS65584:HHS65586 HRO65584:HRO65586 IBK65584:IBK65586 ILG65584:ILG65586 IVC65584:IVC65586 JEY65584:JEY65586 JOU65584:JOU65586 JYQ65584:JYQ65586 KIM65584:KIM65586 KSI65584:KSI65586 LCE65584:LCE65586 LMA65584:LMA65586 LVW65584:LVW65586 MFS65584:MFS65586 MPO65584:MPO65586 MZK65584:MZK65586 NJG65584:NJG65586 NTC65584:NTC65586 OCY65584:OCY65586 OMU65584:OMU65586 OWQ65584:OWQ65586 PGM65584:PGM65586 PQI65584:PQI65586 QAE65584:QAE65586 QKA65584:QKA65586 QTW65584:QTW65586 RDS65584:RDS65586 RNO65584:RNO65586 RXK65584:RXK65586 SHG65584:SHG65586 SRC65584:SRC65586 TAY65584:TAY65586 TKU65584:TKU65586 TUQ65584:TUQ65586 UEM65584:UEM65586 UOI65584:UOI65586 UYE65584:UYE65586 VIA65584:VIA65586 VRW65584:VRW65586 WBS65584:WBS65586 WLO65584:WLO65586 WVK65584:WVK65586 C131120:C131122 IY131120:IY131122 SU131120:SU131122 ACQ131120:ACQ131122 AMM131120:AMM131122 AWI131120:AWI131122 BGE131120:BGE131122 BQA131120:BQA131122 BZW131120:BZW131122 CJS131120:CJS131122 CTO131120:CTO131122 DDK131120:DDK131122 DNG131120:DNG131122 DXC131120:DXC131122 EGY131120:EGY131122 EQU131120:EQU131122 FAQ131120:FAQ131122 FKM131120:FKM131122 FUI131120:FUI131122 GEE131120:GEE131122 GOA131120:GOA131122 GXW131120:GXW131122 HHS131120:HHS131122 HRO131120:HRO131122 IBK131120:IBK131122 ILG131120:ILG131122 IVC131120:IVC131122 JEY131120:JEY131122 JOU131120:JOU131122 JYQ131120:JYQ131122 KIM131120:KIM131122 KSI131120:KSI131122 LCE131120:LCE131122 LMA131120:LMA131122 LVW131120:LVW131122 MFS131120:MFS131122 MPO131120:MPO131122 MZK131120:MZK131122 NJG131120:NJG131122 NTC131120:NTC131122 OCY131120:OCY131122 OMU131120:OMU131122 OWQ131120:OWQ131122 PGM131120:PGM131122 PQI131120:PQI131122 QAE131120:QAE131122 QKA131120:QKA131122 QTW131120:QTW131122 RDS131120:RDS131122 RNO131120:RNO131122 RXK131120:RXK131122 SHG131120:SHG131122 SRC131120:SRC131122 TAY131120:TAY131122 TKU131120:TKU131122 TUQ131120:TUQ131122 UEM131120:UEM131122 UOI131120:UOI131122 UYE131120:UYE131122 VIA131120:VIA131122 VRW131120:VRW131122 WBS131120:WBS131122 WLO131120:WLO131122 WVK131120:WVK131122 C196656:C196658 IY196656:IY196658 SU196656:SU196658 ACQ196656:ACQ196658 AMM196656:AMM196658 AWI196656:AWI196658 BGE196656:BGE196658 BQA196656:BQA196658 BZW196656:BZW196658 CJS196656:CJS196658 CTO196656:CTO196658 DDK196656:DDK196658 DNG196656:DNG196658 DXC196656:DXC196658 EGY196656:EGY196658 EQU196656:EQU196658 FAQ196656:FAQ196658 FKM196656:FKM196658 FUI196656:FUI196658 GEE196656:GEE196658 GOA196656:GOA196658 GXW196656:GXW196658 HHS196656:HHS196658 HRO196656:HRO196658 IBK196656:IBK196658 ILG196656:ILG196658 IVC196656:IVC196658 JEY196656:JEY196658 JOU196656:JOU196658 JYQ196656:JYQ196658 KIM196656:KIM196658 KSI196656:KSI196658 LCE196656:LCE196658 LMA196656:LMA196658 LVW196656:LVW196658 MFS196656:MFS196658 MPO196656:MPO196658 MZK196656:MZK196658 NJG196656:NJG196658 NTC196656:NTC196658 OCY196656:OCY196658 OMU196656:OMU196658 OWQ196656:OWQ196658 PGM196656:PGM196658 PQI196656:PQI196658 QAE196656:QAE196658 QKA196656:QKA196658 QTW196656:QTW196658 RDS196656:RDS196658 RNO196656:RNO196658 RXK196656:RXK196658 SHG196656:SHG196658 SRC196656:SRC196658 TAY196656:TAY196658 TKU196656:TKU196658 TUQ196656:TUQ196658 UEM196656:UEM196658 UOI196656:UOI196658 UYE196656:UYE196658 VIA196656:VIA196658 VRW196656:VRW196658 WBS196656:WBS196658 WLO196656:WLO196658 WVK196656:WVK196658 C262192:C262194 IY262192:IY262194 SU262192:SU262194 ACQ262192:ACQ262194 AMM262192:AMM262194 AWI262192:AWI262194 BGE262192:BGE262194 BQA262192:BQA262194 BZW262192:BZW262194 CJS262192:CJS262194 CTO262192:CTO262194 DDK262192:DDK262194 DNG262192:DNG262194 DXC262192:DXC262194 EGY262192:EGY262194 EQU262192:EQU262194 FAQ262192:FAQ262194 FKM262192:FKM262194 FUI262192:FUI262194 GEE262192:GEE262194 GOA262192:GOA262194 GXW262192:GXW262194 HHS262192:HHS262194 HRO262192:HRO262194 IBK262192:IBK262194 ILG262192:ILG262194 IVC262192:IVC262194 JEY262192:JEY262194 JOU262192:JOU262194 JYQ262192:JYQ262194 KIM262192:KIM262194 KSI262192:KSI262194 LCE262192:LCE262194 LMA262192:LMA262194 LVW262192:LVW262194 MFS262192:MFS262194 MPO262192:MPO262194 MZK262192:MZK262194 NJG262192:NJG262194 NTC262192:NTC262194 OCY262192:OCY262194 OMU262192:OMU262194 OWQ262192:OWQ262194 PGM262192:PGM262194 PQI262192:PQI262194 QAE262192:QAE262194 QKA262192:QKA262194 QTW262192:QTW262194 RDS262192:RDS262194 RNO262192:RNO262194 RXK262192:RXK262194 SHG262192:SHG262194 SRC262192:SRC262194 TAY262192:TAY262194 TKU262192:TKU262194 TUQ262192:TUQ262194 UEM262192:UEM262194 UOI262192:UOI262194 UYE262192:UYE262194 VIA262192:VIA262194 VRW262192:VRW262194 WBS262192:WBS262194 WLO262192:WLO262194 WVK262192:WVK262194 C327728:C327730 IY327728:IY327730 SU327728:SU327730 ACQ327728:ACQ327730 AMM327728:AMM327730 AWI327728:AWI327730 BGE327728:BGE327730 BQA327728:BQA327730 BZW327728:BZW327730 CJS327728:CJS327730 CTO327728:CTO327730 DDK327728:DDK327730 DNG327728:DNG327730 DXC327728:DXC327730 EGY327728:EGY327730 EQU327728:EQU327730 FAQ327728:FAQ327730 FKM327728:FKM327730 FUI327728:FUI327730 GEE327728:GEE327730 GOA327728:GOA327730 GXW327728:GXW327730 HHS327728:HHS327730 HRO327728:HRO327730 IBK327728:IBK327730 ILG327728:ILG327730 IVC327728:IVC327730 JEY327728:JEY327730 JOU327728:JOU327730 JYQ327728:JYQ327730 KIM327728:KIM327730 KSI327728:KSI327730 LCE327728:LCE327730 LMA327728:LMA327730 LVW327728:LVW327730 MFS327728:MFS327730 MPO327728:MPO327730 MZK327728:MZK327730 NJG327728:NJG327730 NTC327728:NTC327730 OCY327728:OCY327730 OMU327728:OMU327730 OWQ327728:OWQ327730 PGM327728:PGM327730 PQI327728:PQI327730 QAE327728:QAE327730 QKA327728:QKA327730 QTW327728:QTW327730 RDS327728:RDS327730 RNO327728:RNO327730 RXK327728:RXK327730 SHG327728:SHG327730 SRC327728:SRC327730 TAY327728:TAY327730 TKU327728:TKU327730 TUQ327728:TUQ327730 UEM327728:UEM327730 UOI327728:UOI327730 UYE327728:UYE327730 VIA327728:VIA327730 VRW327728:VRW327730 WBS327728:WBS327730 WLO327728:WLO327730 WVK327728:WVK327730 C393264:C393266 IY393264:IY393266 SU393264:SU393266 ACQ393264:ACQ393266 AMM393264:AMM393266 AWI393264:AWI393266 BGE393264:BGE393266 BQA393264:BQA393266 BZW393264:BZW393266 CJS393264:CJS393266 CTO393264:CTO393266 DDK393264:DDK393266 DNG393264:DNG393266 DXC393264:DXC393266 EGY393264:EGY393266 EQU393264:EQU393266 FAQ393264:FAQ393266 FKM393264:FKM393266 FUI393264:FUI393266 GEE393264:GEE393266 GOA393264:GOA393266 GXW393264:GXW393266 HHS393264:HHS393266 HRO393264:HRO393266 IBK393264:IBK393266 ILG393264:ILG393266 IVC393264:IVC393266 JEY393264:JEY393266 JOU393264:JOU393266 JYQ393264:JYQ393266 KIM393264:KIM393266 KSI393264:KSI393266 LCE393264:LCE393266 LMA393264:LMA393266 LVW393264:LVW393266 MFS393264:MFS393266 MPO393264:MPO393266 MZK393264:MZK393266 NJG393264:NJG393266 NTC393264:NTC393266 OCY393264:OCY393266 OMU393264:OMU393266 OWQ393264:OWQ393266 PGM393264:PGM393266 PQI393264:PQI393266 QAE393264:QAE393266 QKA393264:QKA393266 QTW393264:QTW393266 RDS393264:RDS393266 RNO393264:RNO393266 RXK393264:RXK393266 SHG393264:SHG393266 SRC393264:SRC393266 TAY393264:TAY393266 TKU393264:TKU393266 TUQ393264:TUQ393266 UEM393264:UEM393266 UOI393264:UOI393266 UYE393264:UYE393266 VIA393264:VIA393266 VRW393264:VRW393266 WBS393264:WBS393266 WLO393264:WLO393266 WVK393264:WVK393266 C458800:C458802 IY458800:IY458802 SU458800:SU458802 ACQ458800:ACQ458802 AMM458800:AMM458802 AWI458800:AWI458802 BGE458800:BGE458802 BQA458800:BQA458802 BZW458800:BZW458802 CJS458800:CJS458802 CTO458800:CTO458802 DDK458800:DDK458802 DNG458800:DNG458802 DXC458800:DXC458802 EGY458800:EGY458802 EQU458800:EQU458802 FAQ458800:FAQ458802 FKM458800:FKM458802 FUI458800:FUI458802 GEE458800:GEE458802 GOA458800:GOA458802 GXW458800:GXW458802 HHS458800:HHS458802 HRO458800:HRO458802 IBK458800:IBK458802 ILG458800:ILG458802 IVC458800:IVC458802 JEY458800:JEY458802 JOU458800:JOU458802 JYQ458800:JYQ458802 KIM458800:KIM458802 KSI458800:KSI458802 LCE458800:LCE458802 LMA458800:LMA458802 LVW458800:LVW458802 MFS458800:MFS458802 MPO458800:MPO458802 MZK458800:MZK458802 NJG458800:NJG458802 NTC458800:NTC458802 OCY458800:OCY458802 OMU458800:OMU458802 OWQ458800:OWQ458802 PGM458800:PGM458802 PQI458800:PQI458802 QAE458800:QAE458802 QKA458800:QKA458802 QTW458800:QTW458802 RDS458800:RDS458802 RNO458800:RNO458802 RXK458800:RXK458802 SHG458800:SHG458802 SRC458800:SRC458802 TAY458800:TAY458802 TKU458800:TKU458802 TUQ458800:TUQ458802 UEM458800:UEM458802 UOI458800:UOI458802 UYE458800:UYE458802 VIA458800:VIA458802 VRW458800:VRW458802 WBS458800:WBS458802 WLO458800:WLO458802 WVK458800:WVK458802 C524336:C524338 IY524336:IY524338 SU524336:SU524338 ACQ524336:ACQ524338 AMM524336:AMM524338 AWI524336:AWI524338 BGE524336:BGE524338 BQA524336:BQA524338 BZW524336:BZW524338 CJS524336:CJS524338 CTO524336:CTO524338 DDK524336:DDK524338 DNG524336:DNG524338 DXC524336:DXC524338 EGY524336:EGY524338 EQU524336:EQU524338 FAQ524336:FAQ524338 FKM524336:FKM524338 FUI524336:FUI524338 GEE524336:GEE524338 GOA524336:GOA524338 GXW524336:GXW524338 HHS524336:HHS524338 HRO524336:HRO524338 IBK524336:IBK524338 ILG524336:ILG524338 IVC524336:IVC524338 JEY524336:JEY524338 JOU524336:JOU524338 JYQ524336:JYQ524338 KIM524336:KIM524338 KSI524336:KSI524338 LCE524336:LCE524338 LMA524336:LMA524338 LVW524336:LVW524338 MFS524336:MFS524338 MPO524336:MPO524338 MZK524336:MZK524338 NJG524336:NJG524338 NTC524336:NTC524338 OCY524336:OCY524338 OMU524336:OMU524338 OWQ524336:OWQ524338 PGM524336:PGM524338 PQI524336:PQI524338 QAE524336:QAE524338 QKA524336:QKA524338 QTW524336:QTW524338 RDS524336:RDS524338 RNO524336:RNO524338 RXK524336:RXK524338 SHG524336:SHG524338 SRC524336:SRC524338 TAY524336:TAY524338 TKU524336:TKU524338 TUQ524336:TUQ524338 UEM524336:UEM524338 UOI524336:UOI524338 UYE524336:UYE524338 VIA524336:VIA524338 VRW524336:VRW524338 WBS524336:WBS524338 WLO524336:WLO524338 WVK524336:WVK524338 C589872:C589874 IY589872:IY589874 SU589872:SU589874 ACQ589872:ACQ589874 AMM589872:AMM589874 AWI589872:AWI589874 BGE589872:BGE589874 BQA589872:BQA589874 BZW589872:BZW589874 CJS589872:CJS589874 CTO589872:CTO589874 DDK589872:DDK589874 DNG589872:DNG589874 DXC589872:DXC589874 EGY589872:EGY589874 EQU589872:EQU589874 FAQ589872:FAQ589874 FKM589872:FKM589874 FUI589872:FUI589874 GEE589872:GEE589874 GOA589872:GOA589874 GXW589872:GXW589874 HHS589872:HHS589874 HRO589872:HRO589874 IBK589872:IBK589874 ILG589872:ILG589874 IVC589872:IVC589874 JEY589872:JEY589874 JOU589872:JOU589874 JYQ589872:JYQ589874 KIM589872:KIM589874 KSI589872:KSI589874 LCE589872:LCE589874 LMA589872:LMA589874 LVW589872:LVW589874 MFS589872:MFS589874 MPO589872:MPO589874 MZK589872:MZK589874 NJG589872:NJG589874 NTC589872:NTC589874 OCY589872:OCY589874 OMU589872:OMU589874 OWQ589872:OWQ589874 PGM589872:PGM589874 PQI589872:PQI589874 QAE589872:QAE589874 QKA589872:QKA589874 QTW589872:QTW589874 RDS589872:RDS589874 RNO589872:RNO589874 RXK589872:RXK589874 SHG589872:SHG589874 SRC589872:SRC589874 TAY589872:TAY589874 TKU589872:TKU589874 TUQ589872:TUQ589874 UEM589872:UEM589874 UOI589872:UOI589874 UYE589872:UYE589874 VIA589872:VIA589874 VRW589872:VRW589874 WBS589872:WBS589874 WLO589872:WLO589874 WVK589872:WVK589874 C655408:C655410 IY655408:IY655410 SU655408:SU655410 ACQ655408:ACQ655410 AMM655408:AMM655410 AWI655408:AWI655410 BGE655408:BGE655410 BQA655408:BQA655410 BZW655408:BZW655410 CJS655408:CJS655410 CTO655408:CTO655410 DDK655408:DDK655410 DNG655408:DNG655410 DXC655408:DXC655410 EGY655408:EGY655410 EQU655408:EQU655410 FAQ655408:FAQ655410 FKM655408:FKM655410 FUI655408:FUI655410 GEE655408:GEE655410 GOA655408:GOA655410 GXW655408:GXW655410 HHS655408:HHS655410 HRO655408:HRO655410 IBK655408:IBK655410 ILG655408:ILG655410 IVC655408:IVC655410 JEY655408:JEY655410 JOU655408:JOU655410 JYQ655408:JYQ655410 KIM655408:KIM655410 KSI655408:KSI655410 LCE655408:LCE655410 LMA655408:LMA655410 LVW655408:LVW655410 MFS655408:MFS655410 MPO655408:MPO655410 MZK655408:MZK655410 NJG655408:NJG655410 NTC655408:NTC655410 OCY655408:OCY655410 OMU655408:OMU655410 OWQ655408:OWQ655410 PGM655408:PGM655410 PQI655408:PQI655410 QAE655408:QAE655410 QKA655408:QKA655410 QTW655408:QTW655410 RDS655408:RDS655410 RNO655408:RNO655410 RXK655408:RXK655410 SHG655408:SHG655410 SRC655408:SRC655410 TAY655408:TAY655410 TKU655408:TKU655410 TUQ655408:TUQ655410 UEM655408:UEM655410 UOI655408:UOI655410 UYE655408:UYE655410 VIA655408:VIA655410 VRW655408:VRW655410 WBS655408:WBS655410 WLO655408:WLO655410 WVK655408:WVK655410 C720944:C720946 IY720944:IY720946 SU720944:SU720946 ACQ720944:ACQ720946 AMM720944:AMM720946 AWI720944:AWI720946 BGE720944:BGE720946 BQA720944:BQA720946 BZW720944:BZW720946 CJS720944:CJS720946 CTO720944:CTO720946 DDK720944:DDK720946 DNG720944:DNG720946 DXC720944:DXC720946 EGY720944:EGY720946 EQU720944:EQU720946 FAQ720944:FAQ720946 FKM720944:FKM720946 FUI720944:FUI720946 GEE720944:GEE720946 GOA720944:GOA720946 GXW720944:GXW720946 HHS720944:HHS720946 HRO720944:HRO720946 IBK720944:IBK720946 ILG720944:ILG720946 IVC720944:IVC720946 JEY720944:JEY720946 JOU720944:JOU720946 JYQ720944:JYQ720946 KIM720944:KIM720946 KSI720944:KSI720946 LCE720944:LCE720946 LMA720944:LMA720946 LVW720944:LVW720946 MFS720944:MFS720946 MPO720944:MPO720946 MZK720944:MZK720946 NJG720944:NJG720946 NTC720944:NTC720946 OCY720944:OCY720946 OMU720944:OMU720946 OWQ720944:OWQ720946 PGM720944:PGM720946 PQI720944:PQI720946 QAE720944:QAE720946 QKA720944:QKA720946 QTW720944:QTW720946 RDS720944:RDS720946 RNO720944:RNO720946 RXK720944:RXK720946 SHG720944:SHG720946 SRC720944:SRC720946 TAY720944:TAY720946 TKU720944:TKU720946 TUQ720944:TUQ720946 UEM720944:UEM720946 UOI720944:UOI720946 UYE720944:UYE720946 VIA720944:VIA720946 VRW720944:VRW720946 WBS720944:WBS720946 WLO720944:WLO720946 WVK720944:WVK720946 C786480:C786482 IY786480:IY786482 SU786480:SU786482 ACQ786480:ACQ786482 AMM786480:AMM786482 AWI786480:AWI786482 BGE786480:BGE786482 BQA786480:BQA786482 BZW786480:BZW786482 CJS786480:CJS786482 CTO786480:CTO786482 DDK786480:DDK786482 DNG786480:DNG786482 DXC786480:DXC786482 EGY786480:EGY786482 EQU786480:EQU786482 FAQ786480:FAQ786482 FKM786480:FKM786482 FUI786480:FUI786482 GEE786480:GEE786482 GOA786480:GOA786482 GXW786480:GXW786482 HHS786480:HHS786482 HRO786480:HRO786482 IBK786480:IBK786482 ILG786480:ILG786482 IVC786480:IVC786482 JEY786480:JEY786482 JOU786480:JOU786482 JYQ786480:JYQ786482 KIM786480:KIM786482 KSI786480:KSI786482 LCE786480:LCE786482 LMA786480:LMA786482 LVW786480:LVW786482 MFS786480:MFS786482 MPO786480:MPO786482 MZK786480:MZK786482 NJG786480:NJG786482 NTC786480:NTC786482 OCY786480:OCY786482 OMU786480:OMU786482 OWQ786480:OWQ786482 PGM786480:PGM786482 PQI786480:PQI786482 QAE786480:QAE786482 QKA786480:QKA786482 QTW786480:QTW786482 RDS786480:RDS786482 RNO786480:RNO786482 RXK786480:RXK786482 SHG786480:SHG786482 SRC786480:SRC786482 TAY786480:TAY786482 TKU786480:TKU786482 TUQ786480:TUQ786482 UEM786480:UEM786482 UOI786480:UOI786482 UYE786480:UYE786482 VIA786480:VIA786482 VRW786480:VRW786482 WBS786480:WBS786482 WLO786480:WLO786482 WVK786480:WVK786482 C852016:C852018 IY852016:IY852018 SU852016:SU852018 ACQ852016:ACQ852018 AMM852016:AMM852018 AWI852016:AWI852018 BGE852016:BGE852018 BQA852016:BQA852018 BZW852016:BZW852018 CJS852016:CJS852018 CTO852016:CTO852018 DDK852016:DDK852018 DNG852016:DNG852018 DXC852016:DXC852018 EGY852016:EGY852018 EQU852016:EQU852018 FAQ852016:FAQ852018 FKM852016:FKM852018 FUI852016:FUI852018 GEE852016:GEE852018 GOA852016:GOA852018 GXW852016:GXW852018 HHS852016:HHS852018 HRO852016:HRO852018 IBK852016:IBK852018 ILG852016:ILG852018 IVC852016:IVC852018 JEY852016:JEY852018 JOU852016:JOU852018 JYQ852016:JYQ852018 KIM852016:KIM852018 KSI852016:KSI852018 LCE852016:LCE852018 LMA852016:LMA852018 LVW852016:LVW852018 MFS852016:MFS852018 MPO852016:MPO852018 MZK852016:MZK852018 NJG852016:NJG852018 NTC852016:NTC852018 OCY852016:OCY852018 OMU852016:OMU852018 OWQ852016:OWQ852018 PGM852016:PGM852018 PQI852016:PQI852018 QAE852016:QAE852018 QKA852016:QKA852018 QTW852016:QTW852018 RDS852016:RDS852018 RNO852016:RNO852018 RXK852016:RXK852018 SHG852016:SHG852018 SRC852016:SRC852018 TAY852016:TAY852018 TKU852016:TKU852018 TUQ852016:TUQ852018 UEM852016:UEM852018 UOI852016:UOI852018 UYE852016:UYE852018 VIA852016:VIA852018 VRW852016:VRW852018 WBS852016:WBS852018 WLO852016:WLO852018 WVK852016:WVK852018 C917552:C917554 IY917552:IY917554 SU917552:SU917554 ACQ917552:ACQ917554 AMM917552:AMM917554 AWI917552:AWI917554 BGE917552:BGE917554 BQA917552:BQA917554 BZW917552:BZW917554 CJS917552:CJS917554 CTO917552:CTO917554 DDK917552:DDK917554 DNG917552:DNG917554 DXC917552:DXC917554 EGY917552:EGY917554 EQU917552:EQU917554 FAQ917552:FAQ917554 FKM917552:FKM917554 FUI917552:FUI917554 GEE917552:GEE917554 GOA917552:GOA917554 GXW917552:GXW917554 HHS917552:HHS917554 HRO917552:HRO917554 IBK917552:IBK917554 ILG917552:ILG917554 IVC917552:IVC917554 JEY917552:JEY917554 JOU917552:JOU917554 JYQ917552:JYQ917554 KIM917552:KIM917554 KSI917552:KSI917554 LCE917552:LCE917554 LMA917552:LMA917554 LVW917552:LVW917554 MFS917552:MFS917554 MPO917552:MPO917554 MZK917552:MZK917554 NJG917552:NJG917554 NTC917552:NTC917554 OCY917552:OCY917554 OMU917552:OMU917554 OWQ917552:OWQ917554 PGM917552:PGM917554 PQI917552:PQI917554 QAE917552:QAE917554 QKA917552:QKA917554 QTW917552:QTW917554 RDS917552:RDS917554 RNO917552:RNO917554 RXK917552:RXK917554 SHG917552:SHG917554 SRC917552:SRC917554 TAY917552:TAY917554 TKU917552:TKU917554 TUQ917552:TUQ917554 UEM917552:UEM917554 UOI917552:UOI917554 UYE917552:UYE917554 VIA917552:VIA917554 VRW917552:VRW917554 WBS917552:WBS917554 WLO917552:WLO917554 WVK917552:WVK917554 C983088:C983090 IY983088:IY983090 SU983088:SU983090 ACQ983088:ACQ983090 AMM983088:AMM983090 AWI983088:AWI983090 BGE983088:BGE983090 BQA983088:BQA983090 BZW983088:BZW983090 CJS983088:CJS983090 CTO983088:CTO983090 DDK983088:DDK983090 DNG983088:DNG983090 DXC983088:DXC983090 EGY983088:EGY983090 EQU983088:EQU983090 FAQ983088:FAQ983090 FKM983088:FKM983090 FUI983088:FUI983090 GEE983088:GEE983090 GOA983088:GOA983090 GXW983088:GXW983090 HHS983088:HHS983090 HRO983088:HRO983090 IBK983088:IBK983090 ILG983088:ILG983090 IVC983088:IVC983090 JEY983088:JEY983090 JOU983088:JOU983090 JYQ983088:JYQ983090 KIM983088:KIM983090 KSI983088:KSI983090 LCE983088:LCE983090 LMA983088:LMA983090 LVW983088:LVW983090 MFS983088:MFS983090 MPO983088:MPO983090 MZK983088:MZK983090 NJG983088:NJG983090 NTC983088:NTC983090 OCY983088:OCY983090 OMU983088:OMU983090 OWQ983088:OWQ983090 PGM983088:PGM983090 PQI983088:PQI983090 QAE983088:QAE983090 QKA983088:QKA983090 QTW983088:QTW983090 RDS983088:RDS983090 RNO983088:RNO983090 RXK983088:RXK983090 SHG983088:SHG983090 SRC983088:SRC983090 TAY983088:TAY983090 TKU983088:TKU983090 TUQ983088:TUQ983090 UEM983088:UEM983090 UOI983088:UOI983090 UYE983088:UYE983090 VIA983088:VIA983090 VRW983088:VRW983090 WBS983088:WBS983090 WLO983088:WLO983090 WVK983088:WVK983090">
      <formula1>"Académique, Professionnel, Associatif, Autre"</formula1>
    </dataValidation>
  </dataValidations>
  <hyperlinks>
    <hyperlink ref="B1" location="'Schéma d''enseignement'!G41" display="Schéma d'enseignement"/>
  </hyperlinks>
  <pageMargins left="0.7" right="0.7" top="0.74545454545454548" bottom="0.75" header="0.3" footer="0.3"/>
  <pageSetup paperSize="9" scale="88" orientation="portrait" horizontalDpi="300" verticalDpi="300" r:id="rId1"/>
  <rowBreaks count="1" manualBreakCount="1">
    <brk id="23"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8080"/>
  </sheetPr>
  <dimension ref="A1:G56"/>
  <sheetViews>
    <sheetView workbookViewId="0">
      <selection activeCell="B1" sqref="B1"/>
    </sheetView>
  </sheetViews>
  <sheetFormatPr baseColWidth="10" defaultColWidth="8.85546875" defaultRowHeight="15.75" x14ac:dyDescent="0.25"/>
  <cols>
    <col min="1" max="1" width="1.140625" style="149" customWidth="1"/>
    <col min="2" max="2" width="29.42578125" style="149" customWidth="1"/>
    <col min="3" max="3" width="15.5703125" style="149" customWidth="1"/>
    <col min="4" max="4" width="11.85546875" style="149" customWidth="1"/>
    <col min="5" max="5" width="7" style="149" customWidth="1"/>
    <col min="6" max="6" width="32.5703125" style="149" customWidth="1"/>
    <col min="7" max="7" width="8.140625" style="149" customWidth="1"/>
    <col min="8" max="8" width="20.140625" style="149" customWidth="1"/>
    <col min="9" max="9" width="119.85546875" style="149" customWidth="1"/>
    <col min="10" max="10" width="11.5703125" style="149" customWidth="1"/>
    <col min="11" max="11" width="128.140625" style="149" customWidth="1"/>
    <col min="12" max="256" width="11.5703125" style="149" customWidth="1"/>
    <col min="257" max="16384" width="8.85546875" style="149"/>
  </cols>
  <sheetData>
    <row r="1" spans="2:7" x14ac:dyDescent="0.25">
      <c r="B1" s="326" t="s">
        <v>692</v>
      </c>
    </row>
    <row r="3" spans="2:7" x14ac:dyDescent="0.25">
      <c r="B3" s="166" t="s">
        <v>344</v>
      </c>
      <c r="C3" s="165"/>
      <c r="D3" s="165"/>
      <c r="E3" s="165"/>
      <c r="F3" s="165"/>
      <c r="G3" s="194"/>
    </row>
    <row r="4" spans="2:7" s="150" customFormat="1" x14ac:dyDescent="0.25"/>
    <row r="5" spans="2:7" s="150" customFormat="1" x14ac:dyDescent="0.25">
      <c r="B5" s="187" t="s">
        <v>320</v>
      </c>
      <c r="C5" s="444" t="s">
        <v>345</v>
      </c>
      <c r="D5" s="444"/>
      <c r="E5" s="444"/>
      <c r="F5" s="444"/>
      <c r="G5" s="195"/>
    </row>
    <row r="6" spans="2:7" s="150" customFormat="1" x14ac:dyDescent="0.25">
      <c r="B6" s="188" t="s">
        <v>318</v>
      </c>
      <c r="C6" s="445" t="s">
        <v>422</v>
      </c>
      <c r="D6" s="445"/>
      <c r="E6" s="445"/>
      <c r="F6" s="445"/>
      <c r="G6" s="190"/>
    </row>
    <row r="7" spans="2:7" s="150" customFormat="1" x14ac:dyDescent="0.25">
      <c r="B7" s="187" t="s">
        <v>316</v>
      </c>
      <c r="C7" s="444" t="s">
        <v>346</v>
      </c>
      <c r="D7" s="444"/>
      <c r="E7" s="444"/>
      <c r="F7" s="444"/>
      <c r="G7" s="195"/>
    </row>
    <row r="8" spans="2:7" s="150" customFormat="1" x14ac:dyDescent="0.25">
      <c r="B8" s="187" t="s">
        <v>314</v>
      </c>
      <c r="C8" s="444" t="s">
        <v>374</v>
      </c>
      <c r="D8" s="444"/>
      <c r="E8" s="444"/>
      <c r="F8" s="444"/>
      <c r="G8" s="195"/>
    </row>
    <row r="9" spans="2:7" s="150" customFormat="1" x14ac:dyDescent="0.25">
      <c r="B9" s="187" t="s">
        <v>348</v>
      </c>
      <c r="C9" s="444" t="s">
        <v>349</v>
      </c>
      <c r="D9" s="444"/>
      <c r="E9" s="444"/>
      <c r="F9" s="444"/>
      <c r="G9" s="195"/>
    </row>
    <row r="10" spans="2:7" s="150" customFormat="1" x14ac:dyDescent="0.25">
      <c r="B10" s="187" t="s">
        <v>310</v>
      </c>
      <c r="C10" s="444">
        <v>5</v>
      </c>
      <c r="D10" s="444"/>
      <c r="E10" s="444"/>
      <c r="F10" s="444"/>
      <c r="G10" s="195"/>
    </row>
    <row r="11" spans="2:7" s="150" customFormat="1" x14ac:dyDescent="0.25"/>
    <row r="12" spans="2:7" s="150" customFormat="1" x14ac:dyDescent="0.25">
      <c r="B12" s="452" t="s">
        <v>350</v>
      </c>
      <c r="C12" s="452"/>
      <c r="D12" s="452"/>
      <c r="E12" s="452"/>
      <c r="F12" s="452"/>
      <c r="G12" s="196"/>
    </row>
    <row r="13" spans="2:7" s="150" customFormat="1" x14ac:dyDescent="0.25">
      <c r="B13" s="475" t="s">
        <v>304</v>
      </c>
      <c r="C13" s="477"/>
      <c r="D13" s="452" t="s">
        <v>308</v>
      </c>
      <c r="E13" s="452"/>
      <c r="F13" s="452"/>
      <c r="G13" s="196"/>
    </row>
    <row r="14" spans="2:7" s="150" customFormat="1" x14ac:dyDescent="0.25">
      <c r="B14" s="483"/>
      <c r="C14" s="484"/>
      <c r="D14" s="444"/>
      <c r="E14" s="444"/>
      <c r="F14" s="444"/>
      <c r="G14" s="195"/>
    </row>
    <row r="15" spans="2:7" s="150" customFormat="1" x14ac:dyDescent="0.25"/>
    <row r="16" spans="2:7" s="150" customFormat="1" x14ac:dyDescent="0.25">
      <c r="B16" s="162" t="s">
        <v>300</v>
      </c>
      <c r="C16" s="162" t="s">
        <v>299</v>
      </c>
      <c r="D16" s="162" t="s">
        <v>298</v>
      </c>
      <c r="E16" s="162" t="s">
        <v>297</v>
      </c>
      <c r="F16" s="162" t="s">
        <v>296</v>
      </c>
      <c r="G16" s="196"/>
    </row>
    <row r="17" spans="2:7" s="150" customFormat="1" x14ac:dyDescent="0.25">
      <c r="B17" s="35" t="s">
        <v>564</v>
      </c>
      <c r="C17" s="24">
        <v>21</v>
      </c>
      <c r="D17" s="24">
        <v>2</v>
      </c>
      <c r="E17" s="24">
        <v>2</v>
      </c>
      <c r="F17" s="24" t="s">
        <v>440</v>
      </c>
      <c r="G17" s="190"/>
    </row>
    <row r="18" spans="2:7" s="150" customFormat="1" x14ac:dyDescent="0.25">
      <c r="B18" s="189"/>
      <c r="C18" s="190"/>
      <c r="D18" s="190"/>
      <c r="E18" s="190"/>
      <c r="F18" s="190"/>
      <c r="G18" s="190"/>
    </row>
    <row r="19" spans="2:7" s="150" customFormat="1" x14ac:dyDescent="0.25">
      <c r="B19" s="446" t="s">
        <v>293</v>
      </c>
      <c r="C19" s="447"/>
      <c r="D19" s="447"/>
      <c r="E19" s="447"/>
      <c r="F19" s="448"/>
      <c r="G19" s="197"/>
    </row>
    <row r="20" spans="2:7" s="150" customFormat="1" x14ac:dyDescent="0.25">
      <c r="B20" s="449" t="s">
        <v>423</v>
      </c>
      <c r="C20" s="506"/>
      <c r="D20" s="506"/>
      <c r="E20" s="506"/>
      <c r="F20" s="507"/>
      <c r="G20" s="198"/>
    </row>
    <row r="21" spans="2:7" s="150" customFormat="1" x14ac:dyDescent="0.25">
      <c r="B21" s="446" t="s">
        <v>292</v>
      </c>
      <c r="C21" s="447"/>
      <c r="D21" s="447"/>
      <c r="E21" s="447"/>
      <c r="F21" s="448"/>
      <c r="G21" s="197"/>
    </row>
    <row r="22" spans="2:7" s="150" customFormat="1" ht="32.1" customHeight="1" x14ac:dyDescent="0.25">
      <c r="B22" s="454" t="s">
        <v>565</v>
      </c>
      <c r="C22" s="450"/>
      <c r="D22" s="450"/>
      <c r="E22" s="450"/>
      <c r="F22" s="451"/>
      <c r="G22" s="199"/>
    </row>
    <row r="23" spans="2:7" s="150" customFormat="1" x14ac:dyDescent="0.25"/>
    <row r="24" spans="2:7" s="150" customFormat="1" x14ac:dyDescent="0.25">
      <c r="B24" s="446" t="s">
        <v>353</v>
      </c>
      <c r="C24" s="447"/>
      <c r="D24" s="447"/>
      <c r="E24" s="447"/>
      <c r="F24" s="448"/>
      <c r="G24" s="197"/>
    </row>
    <row r="25" spans="2:7" s="150" customFormat="1" x14ac:dyDescent="0.25">
      <c r="B25" s="464" t="s">
        <v>424</v>
      </c>
      <c r="C25" s="506"/>
      <c r="D25" s="506"/>
      <c r="E25" s="506"/>
      <c r="F25" s="507"/>
      <c r="G25" s="198"/>
    </row>
    <row r="26" spans="2:7" s="150" customFormat="1" x14ac:dyDescent="0.25"/>
    <row r="27" spans="2:7" s="150" customFormat="1" x14ac:dyDescent="0.25">
      <c r="B27" s="446" t="s">
        <v>355</v>
      </c>
      <c r="C27" s="447"/>
      <c r="D27" s="447"/>
      <c r="E27" s="447"/>
      <c r="F27" s="448"/>
      <c r="G27" s="196"/>
    </row>
    <row r="28" spans="2:7" s="150" customFormat="1" x14ac:dyDescent="0.25">
      <c r="B28" s="494" t="s">
        <v>381</v>
      </c>
      <c r="C28" s="495"/>
      <c r="D28" s="495"/>
      <c r="E28" s="495"/>
      <c r="F28" s="496"/>
      <c r="G28" s="200"/>
    </row>
    <row r="29" spans="2:7" s="150" customFormat="1" x14ac:dyDescent="0.25">
      <c r="B29" s="494" t="s">
        <v>380</v>
      </c>
      <c r="C29" s="495"/>
      <c r="D29" s="495"/>
      <c r="E29" s="495"/>
      <c r="F29" s="496"/>
      <c r="G29" s="200"/>
    </row>
    <row r="30" spans="2:7" s="150" customFormat="1" x14ac:dyDescent="0.25">
      <c r="B30" s="460" t="s">
        <v>425</v>
      </c>
      <c r="C30" s="460"/>
      <c r="D30" s="460"/>
      <c r="E30" s="460"/>
      <c r="F30" s="460"/>
      <c r="G30" s="200"/>
    </row>
    <row r="31" spans="2:7" s="150" customFormat="1" x14ac:dyDescent="0.25"/>
    <row r="32" spans="2:7" s="150" customFormat="1" x14ac:dyDescent="0.25">
      <c r="B32" s="446" t="s">
        <v>282</v>
      </c>
      <c r="C32" s="447"/>
      <c r="D32" s="447"/>
      <c r="E32" s="447"/>
      <c r="F32" s="448"/>
      <c r="G32" s="197"/>
    </row>
    <row r="33" spans="1:7" s="150" customFormat="1" ht="276.60000000000002" customHeight="1" x14ac:dyDescent="0.25">
      <c r="B33" s="579" t="s">
        <v>383</v>
      </c>
      <c r="C33" s="580"/>
      <c r="D33" s="580"/>
      <c r="E33" s="580"/>
      <c r="F33" s="581"/>
      <c r="G33" s="199"/>
    </row>
    <row r="34" spans="1:7" s="150" customFormat="1" ht="249" customHeight="1" x14ac:dyDescent="0.25">
      <c r="B34" s="576" t="s">
        <v>426</v>
      </c>
      <c r="C34" s="577"/>
      <c r="D34" s="577"/>
      <c r="E34" s="577"/>
      <c r="F34" s="578"/>
      <c r="G34" s="199"/>
    </row>
    <row r="35" spans="1:7" s="150" customFormat="1" x14ac:dyDescent="0.25">
      <c r="B35" s="160"/>
      <c r="C35" s="191"/>
      <c r="D35" s="191"/>
      <c r="E35" s="191"/>
      <c r="F35" s="191"/>
      <c r="G35" s="191"/>
    </row>
    <row r="36" spans="1:7" s="150" customFormat="1" x14ac:dyDescent="0.25">
      <c r="B36" s="446" t="s">
        <v>280</v>
      </c>
      <c r="C36" s="447"/>
      <c r="D36" s="447"/>
      <c r="E36" s="447"/>
      <c r="F36" s="448"/>
      <c r="G36" s="197"/>
    </row>
    <row r="37" spans="1:7" s="150" customFormat="1" x14ac:dyDescent="0.25">
      <c r="B37" s="192" t="s">
        <v>384</v>
      </c>
      <c r="C37" s="468"/>
      <c r="D37" s="468"/>
      <c r="E37" s="468"/>
      <c r="F37" s="468"/>
      <c r="G37" s="199"/>
    </row>
    <row r="38" spans="1:7" s="150" customFormat="1" x14ac:dyDescent="0.25">
      <c r="B38" s="192" t="s">
        <v>385</v>
      </c>
      <c r="C38" s="468"/>
      <c r="D38" s="468"/>
      <c r="E38" s="468"/>
      <c r="F38" s="468"/>
      <c r="G38" s="199"/>
    </row>
    <row r="39" spans="1:7" s="150" customFormat="1" x14ac:dyDescent="0.25">
      <c r="B39" s="192" t="s">
        <v>361</v>
      </c>
      <c r="C39" s="464" t="s">
        <v>427</v>
      </c>
      <c r="D39" s="450"/>
      <c r="E39" s="450"/>
      <c r="F39" s="451"/>
      <c r="G39" s="199"/>
    </row>
    <row r="40" spans="1:7" s="150" customFormat="1" x14ac:dyDescent="0.25">
      <c r="B40" s="192"/>
      <c r="C40" s="468"/>
      <c r="D40" s="468"/>
      <c r="E40" s="468"/>
      <c r="F40" s="468"/>
      <c r="G40" s="199"/>
    </row>
    <row r="41" spans="1:7" s="150" customFormat="1" x14ac:dyDescent="0.25">
      <c r="B41" s="192"/>
      <c r="C41" s="468"/>
      <c r="D41" s="468"/>
      <c r="E41" s="468"/>
      <c r="F41" s="468"/>
      <c r="G41" s="199"/>
    </row>
    <row r="42" spans="1:7" s="150" customFormat="1" x14ac:dyDescent="0.25"/>
    <row r="43" spans="1:7" s="150" customFormat="1" x14ac:dyDescent="0.25">
      <c r="B43" s="446" t="s">
        <v>276</v>
      </c>
      <c r="C43" s="447"/>
      <c r="D43" s="447"/>
      <c r="E43" s="447"/>
      <c r="F43" s="448"/>
      <c r="G43" s="197"/>
    </row>
    <row r="44" spans="1:7" s="150" customFormat="1" x14ac:dyDescent="0.25">
      <c r="B44" s="464"/>
      <c r="C44" s="450"/>
      <c r="D44" s="450"/>
      <c r="E44" s="450"/>
      <c r="F44" s="451"/>
      <c r="G44" s="191"/>
    </row>
    <row r="45" spans="1:7" s="150" customFormat="1" x14ac:dyDescent="0.25"/>
    <row r="46" spans="1:7" s="150" customFormat="1" ht="31.5" customHeight="1" x14ac:dyDescent="0.25">
      <c r="B46" s="501" t="s">
        <v>274</v>
      </c>
      <c r="C46" s="502"/>
      <c r="D46" s="502"/>
      <c r="E46" s="502"/>
      <c r="F46" s="503"/>
      <c r="G46" s="197"/>
    </row>
    <row r="47" spans="1:7" s="150" customFormat="1" x14ac:dyDescent="0.25">
      <c r="B47" s="155" t="s">
        <v>273</v>
      </c>
      <c r="C47" s="155" t="s">
        <v>272</v>
      </c>
      <c r="D47" s="446" t="s">
        <v>271</v>
      </c>
      <c r="E47" s="447"/>
      <c r="F47" s="448"/>
      <c r="G47" s="197"/>
    </row>
    <row r="48" spans="1:7" s="150" customFormat="1" x14ac:dyDescent="0.25">
      <c r="A48" s="201"/>
      <c r="B48" s="192"/>
      <c r="C48" s="192"/>
      <c r="D48" s="461"/>
      <c r="E48" s="492"/>
      <c r="F48" s="493"/>
      <c r="G48" s="202"/>
    </row>
    <row r="49" spans="2:7" s="150" customFormat="1" x14ac:dyDescent="0.25">
      <c r="B49" s="156"/>
      <c r="C49" s="156"/>
      <c r="D49" s="491"/>
      <c r="E49" s="492"/>
      <c r="F49" s="493"/>
      <c r="G49" s="202"/>
    </row>
    <row r="50" spans="2:7" s="150" customFormat="1" x14ac:dyDescent="0.25">
      <c r="B50" s="161"/>
      <c r="C50" s="161"/>
      <c r="D50" s="491"/>
      <c r="E50" s="492"/>
      <c r="F50" s="493"/>
      <c r="G50" s="202"/>
    </row>
    <row r="51" spans="2:7" s="150" customFormat="1" x14ac:dyDescent="0.25"/>
    <row r="52" spans="2:7" s="150" customFormat="1" x14ac:dyDescent="0.25">
      <c r="B52" s="446" t="s">
        <v>266</v>
      </c>
      <c r="C52" s="447"/>
      <c r="D52" s="447"/>
      <c r="E52" s="447"/>
      <c r="F52" s="448"/>
      <c r="G52" s="197"/>
    </row>
    <row r="53" spans="2:7" s="150" customFormat="1" x14ac:dyDescent="0.25">
      <c r="B53" s="488"/>
      <c r="C53" s="489"/>
      <c r="D53" s="489"/>
      <c r="E53" s="489"/>
      <c r="F53" s="490"/>
      <c r="G53" s="191"/>
    </row>
    <row r="54" spans="2:7" s="150" customFormat="1" x14ac:dyDescent="0.25"/>
    <row r="55" spans="2:7" s="150" customFormat="1" x14ac:dyDescent="0.25">
      <c r="B55" s="446" t="s">
        <v>372</v>
      </c>
      <c r="C55" s="447"/>
      <c r="D55" s="447"/>
      <c r="E55" s="447"/>
      <c r="F55" s="448"/>
      <c r="G55" s="197"/>
    </row>
    <row r="56" spans="2:7" x14ac:dyDescent="0.25">
      <c r="B56" s="488"/>
      <c r="C56" s="489"/>
      <c r="D56" s="489"/>
      <c r="E56" s="489"/>
      <c r="F56" s="490"/>
      <c r="G56" s="191"/>
    </row>
  </sheetData>
  <mergeCells count="41">
    <mergeCell ref="C9:F9"/>
    <mergeCell ref="C5:F5"/>
    <mergeCell ref="C6:F6"/>
    <mergeCell ref="C7:F7"/>
    <mergeCell ref="C8:F8"/>
    <mergeCell ref="B25:F25"/>
    <mergeCell ref="C10:F10"/>
    <mergeCell ref="B12:F12"/>
    <mergeCell ref="B13:C13"/>
    <mergeCell ref="D13:F13"/>
    <mergeCell ref="B14:C14"/>
    <mergeCell ref="D14:F14"/>
    <mergeCell ref="B19:F19"/>
    <mergeCell ref="B20:F20"/>
    <mergeCell ref="B21:F21"/>
    <mergeCell ref="B22:F22"/>
    <mergeCell ref="B24:F24"/>
    <mergeCell ref="B34:F34"/>
    <mergeCell ref="B27:F27"/>
    <mergeCell ref="B28:F28"/>
    <mergeCell ref="B29:F29"/>
    <mergeCell ref="B30:F30"/>
    <mergeCell ref="B32:F32"/>
    <mergeCell ref="B33:F33"/>
    <mergeCell ref="D49:F49"/>
    <mergeCell ref="B36:F36"/>
    <mergeCell ref="C37:F37"/>
    <mergeCell ref="C38:F38"/>
    <mergeCell ref="C39:F39"/>
    <mergeCell ref="C40:F40"/>
    <mergeCell ref="C41:F41"/>
    <mergeCell ref="B43:F43"/>
    <mergeCell ref="B44:F44"/>
    <mergeCell ref="B46:F46"/>
    <mergeCell ref="D47:F47"/>
    <mergeCell ref="D48:F48"/>
    <mergeCell ref="D50:F50"/>
    <mergeCell ref="B52:F52"/>
    <mergeCell ref="B53:F53"/>
    <mergeCell ref="B55:F55"/>
    <mergeCell ref="B56:F56"/>
  </mergeCells>
  <dataValidations count="2">
    <dataValidation type="list" allowBlank="1" showInputMessage="1" showErrorMessage="1" sqref="C48:C50 IY48:IY50 SU48:SU50 ACQ48:ACQ50 AMM48:AMM50 AWI48:AWI50 BGE48:BGE50 BQA48:BQA50 BZW48:BZW50 CJS48:CJS50 CTO48:CTO50 DDK48:DDK50 DNG48:DNG50 DXC48:DXC50 EGY48:EGY50 EQU48:EQU50 FAQ48:FAQ50 FKM48:FKM50 FUI48:FUI50 GEE48:GEE50 GOA48:GOA50 GXW48:GXW50 HHS48:HHS50 HRO48:HRO50 IBK48:IBK50 ILG48:ILG50 IVC48:IVC50 JEY48:JEY50 JOU48:JOU50 JYQ48:JYQ50 KIM48:KIM50 KSI48:KSI50 LCE48:LCE50 LMA48:LMA50 LVW48:LVW50 MFS48:MFS50 MPO48:MPO50 MZK48:MZK50 NJG48:NJG50 NTC48:NTC50 OCY48:OCY50 OMU48:OMU50 OWQ48:OWQ50 PGM48:PGM50 PQI48:PQI50 QAE48:QAE50 QKA48:QKA50 QTW48:QTW50 RDS48:RDS50 RNO48:RNO50 RXK48:RXK50 SHG48:SHG50 SRC48:SRC50 TAY48:TAY50 TKU48:TKU50 TUQ48:TUQ50 UEM48:UEM50 UOI48:UOI50 UYE48:UYE50 VIA48:VIA50 VRW48:VRW50 WBS48:WBS50 WLO48:WLO50 WVK48:WVK50 C65584:C65586 IY65584:IY65586 SU65584:SU65586 ACQ65584:ACQ65586 AMM65584:AMM65586 AWI65584:AWI65586 BGE65584:BGE65586 BQA65584:BQA65586 BZW65584:BZW65586 CJS65584:CJS65586 CTO65584:CTO65586 DDK65584:DDK65586 DNG65584:DNG65586 DXC65584:DXC65586 EGY65584:EGY65586 EQU65584:EQU65586 FAQ65584:FAQ65586 FKM65584:FKM65586 FUI65584:FUI65586 GEE65584:GEE65586 GOA65584:GOA65586 GXW65584:GXW65586 HHS65584:HHS65586 HRO65584:HRO65586 IBK65584:IBK65586 ILG65584:ILG65586 IVC65584:IVC65586 JEY65584:JEY65586 JOU65584:JOU65586 JYQ65584:JYQ65586 KIM65584:KIM65586 KSI65584:KSI65586 LCE65584:LCE65586 LMA65584:LMA65586 LVW65584:LVW65586 MFS65584:MFS65586 MPO65584:MPO65586 MZK65584:MZK65586 NJG65584:NJG65586 NTC65584:NTC65586 OCY65584:OCY65586 OMU65584:OMU65586 OWQ65584:OWQ65586 PGM65584:PGM65586 PQI65584:PQI65586 QAE65584:QAE65586 QKA65584:QKA65586 QTW65584:QTW65586 RDS65584:RDS65586 RNO65584:RNO65586 RXK65584:RXK65586 SHG65584:SHG65586 SRC65584:SRC65586 TAY65584:TAY65586 TKU65584:TKU65586 TUQ65584:TUQ65586 UEM65584:UEM65586 UOI65584:UOI65586 UYE65584:UYE65586 VIA65584:VIA65586 VRW65584:VRW65586 WBS65584:WBS65586 WLO65584:WLO65586 WVK65584:WVK65586 C131120:C131122 IY131120:IY131122 SU131120:SU131122 ACQ131120:ACQ131122 AMM131120:AMM131122 AWI131120:AWI131122 BGE131120:BGE131122 BQA131120:BQA131122 BZW131120:BZW131122 CJS131120:CJS131122 CTO131120:CTO131122 DDK131120:DDK131122 DNG131120:DNG131122 DXC131120:DXC131122 EGY131120:EGY131122 EQU131120:EQU131122 FAQ131120:FAQ131122 FKM131120:FKM131122 FUI131120:FUI131122 GEE131120:GEE131122 GOA131120:GOA131122 GXW131120:GXW131122 HHS131120:HHS131122 HRO131120:HRO131122 IBK131120:IBK131122 ILG131120:ILG131122 IVC131120:IVC131122 JEY131120:JEY131122 JOU131120:JOU131122 JYQ131120:JYQ131122 KIM131120:KIM131122 KSI131120:KSI131122 LCE131120:LCE131122 LMA131120:LMA131122 LVW131120:LVW131122 MFS131120:MFS131122 MPO131120:MPO131122 MZK131120:MZK131122 NJG131120:NJG131122 NTC131120:NTC131122 OCY131120:OCY131122 OMU131120:OMU131122 OWQ131120:OWQ131122 PGM131120:PGM131122 PQI131120:PQI131122 QAE131120:QAE131122 QKA131120:QKA131122 QTW131120:QTW131122 RDS131120:RDS131122 RNO131120:RNO131122 RXK131120:RXK131122 SHG131120:SHG131122 SRC131120:SRC131122 TAY131120:TAY131122 TKU131120:TKU131122 TUQ131120:TUQ131122 UEM131120:UEM131122 UOI131120:UOI131122 UYE131120:UYE131122 VIA131120:VIA131122 VRW131120:VRW131122 WBS131120:WBS131122 WLO131120:WLO131122 WVK131120:WVK131122 C196656:C196658 IY196656:IY196658 SU196656:SU196658 ACQ196656:ACQ196658 AMM196656:AMM196658 AWI196656:AWI196658 BGE196656:BGE196658 BQA196656:BQA196658 BZW196656:BZW196658 CJS196656:CJS196658 CTO196656:CTO196658 DDK196656:DDK196658 DNG196656:DNG196658 DXC196656:DXC196658 EGY196656:EGY196658 EQU196656:EQU196658 FAQ196656:FAQ196658 FKM196656:FKM196658 FUI196656:FUI196658 GEE196656:GEE196658 GOA196656:GOA196658 GXW196656:GXW196658 HHS196656:HHS196658 HRO196656:HRO196658 IBK196656:IBK196658 ILG196656:ILG196658 IVC196656:IVC196658 JEY196656:JEY196658 JOU196656:JOU196658 JYQ196656:JYQ196658 KIM196656:KIM196658 KSI196656:KSI196658 LCE196656:LCE196658 LMA196656:LMA196658 LVW196656:LVW196658 MFS196656:MFS196658 MPO196656:MPO196658 MZK196656:MZK196658 NJG196656:NJG196658 NTC196656:NTC196658 OCY196656:OCY196658 OMU196656:OMU196658 OWQ196656:OWQ196658 PGM196656:PGM196658 PQI196656:PQI196658 QAE196656:QAE196658 QKA196656:QKA196658 QTW196656:QTW196658 RDS196656:RDS196658 RNO196656:RNO196658 RXK196656:RXK196658 SHG196656:SHG196658 SRC196656:SRC196658 TAY196656:TAY196658 TKU196656:TKU196658 TUQ196656:TUQ196658 UEM196656:UEM196658 UOI196656:UOI196658 UYE196656:UYE196658 VIA196656:VIA196658 VRW196656:VRW196658 WBS196656:WBS196658 WLO196656:WLO196658 WVK196656:WVK196658 C262192:C262194 IY262192:IY262194 SU262192:SU262194 ACQ262192:ACQ262194 AMM262192:AMM262194 AWI262192:AWI262194 BGE262192:BGE262194 BQA262192:BQA262194 BZW262192:BZW262194 CJS262192:CJS262194 CTO262192:CTO262194 DDK262192:DDK262194 DNG262192:DNG262194 DXC262192:DXC262194 EGY262192:EGY262194 EQU262192:EQU262194 FAQ262192:FAQ262194 FKM262192:FKM262194 FUI262192:FUI262194 GEE262192:GEE262194 GOA262192:GOA262194 GXW262192:GXW262194 HHS262192:HHS262194 HRO262192:HRO262194 IBK262192:IBK262194 ILG262192:ILG262194 IVC262192:IVC262194 JEY262192:JEY262194 JOU262192:JOU262194 JYQ262192:JYQ262194 KIM262192:KIM262194 KSI262192:KSI262194 LCE262192:LCE262194 LMA262192:LMA262194 LVW262192:LVW262194 MFS262192:MFS262194 MPO262192:MPO262194 MZK262192:MZK262194 NJG262192:NJG262194 NTC262192:NTC262194 OCY262192:OCY262194 OMU262192:OMU262194 OWQ262192:OWQ262194 PGM262192:PGM262194 PQI262192:PQI262194 QAE262192:QAE262194 QKA262192:QKA262194 QTW262192:QTW262194 RDS262192:RDS262194 RNO262192:RNO262194 RXK262192:RXK262194 SHG262192:SHG262194 SRC262192:SRC262194 TAY262192:TAY262194 TKU262192:TKU262194 TUQ262192:TUQ262194 UEM262192:UEM262194 UOI262192:UOI262194 UYE262192:UYE262194 VIA262192:VIA262194 VRW262192:VRW262194 WBS262192:WBS262194 WLO262192:WLO262194 WVK262192:WVK262194 C327728:C327730 IY327728:IY327730 SU327728:SU327730 ACQ327728:ACQ327730 AMM327728:AMM327730 AWI327728:AWI327730 BGE327728:BGE327730 BQA327728:BQA327730 BZW327728:BZW327730 CJS327728:CJS327730 CTO327728:CTO327730 DDK327728:DDK327730 DNG327728:DNG327730 DXC327728:DXC327730 EGY327728:EGY327730 EQU327728:EQU327730 FAQ327728:FAQ327730 FKM327728:FKM327730 FUI327728:FUI327730 GEE327728:GEE327730 GOA327728:GOA327730 GXW327728:GXW327730 HHS327728:HHS327730 HRO327728:HRO327730 IBK327728:IBK327730 ILG327728:ILG327730 IVC327728:IVC327730 JEY327728:JEY327730 JOU327728:JOU327730 JYQ327728:JYQ327730 KIM327728:KIM327730 KSI327728:KSI327730 LCE327728:LCE327730 LMA327728:LMA327730 LVW327728:LVW327730 MFS327728:MFS327730 MPO327728:MPO327730 MZK327728:MZK327730 NJG327728:NJG327730 NTC327728:NTC327730 OCY327728:OCY327730 OMU327728:OMU327730 OWQ327728:OWQ327730 PGM327728:PGM327730 PQI327728:PQI327730 QAE327728:QAE327730 QKA327728:QKA327730 QTW327728:QTW327730 RDS327728:RDS327730 RNO327728:RNO327730 RXK327728:RXK327730 SHG327728:SHG327730 SRC327728:SRC327730 TAY327728:TAY327730 TKU327728:TKU327730 TUQ327728:TUQ327730 UEM327728:UEM327730 UOI327728:UOI327730 UYE327728:UYE327730 VIA327728:VIA327730 VRW327728:VRW327730 WBS327728:WBS327730 WLO327728:WLO327730 WVK327728:WVK327730 C393264:C393266 IY393264:IY393266 SU393264:SU393266 ACQ393264:ACQ393266 AMM393264:AMM393266 AWI393264:AWI393266 BGE393264:BGE393266 BQA393264:BQA393266 BZW393264:BZW393266 CJS393264:CJS393266 CTO393264:CTO393266 DDK393264:DDK393266 DNG393264:DNG393266 DXC393264:DXC393266 EGY393264:EGY393266 EQU393264:EQU393266 FAQ393264:FAQ393266 FKM393264:FKM393266 FUI393264:FUI393266 GEE393264:GEE393266 GOA393264:GOA393266 GXW393264:GXW393266 HHS393264:HHS393266 HRO393264:HRO393266 IBK393264:IBK393266 ILG393264:ILG393266 IVC393264:IVC393266 JEY393264:JEY393266 JOU393264:JOU393266 JYQ393264:JYQ393266 KIM393264:KIM393266 KSI393264:KSI393266 LCE393264:LCE393266 LMA393264:LMA393266 LVW393264:LVW393266 MFS393264:MFS393266 MPO393264:MPO393266 MZK393264:MZK393266 NJG393264:NJG393266 NTC393264:NTC393266 OCY393264:OCY393266 OMU393264:OMU393266 OWQ393264:OWQ393266 PGM393264:PGM393266 PQI393264:PQI393266 QAE393264:QAE393266 QKA393264:QKA393266 QTW393264:QTW393266 RDS393264:RDS393266 RNO393264:RNO393266 RXK393264:RXK393266 SHG393264:SHG393266 SRC393264:SRC393266 TAY393264:TAY393266 TKU393264:TKU393266 TUQ393264:TUQ393266 UEM393264:UEM393266 UOI393264:UOI393266 UYE393264:UYE393266 VIA393264:VIA393266 VRW393264:VRW393266 WBS393264:WBS393266 WLO393264:WLO393266 WVK393264:WVK393266 C458800:C458802 IY458800:IY458802 SU458800:SU458802 ACQ458800:ACQ458802 AMM458800:AMM458802 AWI458800:AWI458802 BGE458800:BGE458802 BQA458800:BQA458802 BZW458800:BZW458802 CJS458800:CJS458802 CTO458800:CTO458802 DDK458800:DDK458802 DNG458800:DNG458802 DXC458800:DXC458802 EGY458800:EGY458802 EQU458800:EQU458802 FAQ458800:FAQ458802 FKM458800:FKM458802 FUI458800:FUI458802 GEE458800:GEE458802 GOA458800:GOA458802 GXW458800:GXW458802 HHS458800:HHS458802 HRO458800:HRO458802 IBK458800:IBK458802 ILG458800:ILG458802 IVC458800:IVC458802 JEY458800:JEY458802 JOU458800:JOU458802 JYQ458800:JYQ458802 KIM458800:KIM458802 KSI458800:KSI458802 LCE458800:LCE458802 LMA458800:LMA458802 LVW458800:LVW458802 MFS458800:MFS458802 MPO458800:MPO458802 MZK458800:MZK458802 NJG458800:NJG458802 NTC458800:NTC458802 OCY458800:OCY458802 OMU458800:OMU458802 OWQ458800:OWQ458802 PGM458800:PGM458802 PQI458800:PQI458802 QAE458800:QAE458802 QKA458800:QKA458802 QTW458800:QTW458802 RDS458800:RDS458802 RNO458800:RNO458802 RXK458800:RXK458802 SHG458800:SHG458802 SRC458800:SRC458802 TAY458800:TAY458802 TKU458800:TKU458802 TUQ458800:TUQ458802 UEM458800:UEM458802 UOI458800:UOI458802 UYE458800:UYE458802 VIA458800:VIA458802 VRW458800:VRW458802 WBS458800:WBS458802 WLO458800:WLO458802 WVK458800:WVK458802 C524336:C524338 IY524336:IY524338 SU524336:SU524338 ACQ524336:ACQ524338 AMM524336:AMM524338 AWI524336:AWI524338 BGE524336:BGE524338 BQA524336:BQA524338 BZW524336:BZW524338 CJS524336:CJS524338 CTO524336:CTO524338 DDK524336:DDK524338 DNG524336:DNG524338 DXC524336:DXC524338 EGY524336:EGY524338 EQU524336:EQU524338 FAQ524336:FAQ524338 FKM524336:FKM524338 FUI524336:FUI524338 GEE524336:GEE524338 GOA524336:GOA524338 GXW524336:GXW524338 HHS524336:HHS524338 HRO524336:HRO524338 IBK524336:IBK524338 ILG524336:ILG524338 IVC524336:IVC524338 JEY524336:JEY524338 JOU524336:JOU524338 JYQ524336:JYQ524338 KIM524336:KIM524338 KSI524336:KSI524338 LCE524336:LCE524338 LMA524336:LMA524338 LVW524336:LVW524338 MFS524336:MFS524338 MPO524336:MPO524338 MZK524336:MZK524338 NJG524336:NJG524338 NTC524336:NTC524338 OCY524336:OCY524338 OMU524336:OMU524338 OWQ524336:OWQ524338 PGM524336:PGM524338 PQI524336:PQI524338 QAE524336:QAE524338 QKA524336:QKA524338 QTW524336:QTW524338 RDS524336:RDS524338 RNO524336:RNO524338 RXK524336:RXK524338 SHG524336:SHG524338 SRC524336:SRC524338 TAY524336:TAY524338 TKU524336:TKU524338 TUQ524336:TUQ524338 UEM524336:UEM524338 UOI524336:UOI524338 UYE524336:UYE524338 VIA524336:VIA524338 VRW524336:VRW524338 WBS524336:WBS524338 WLO524336:WLO524338 WVK524336:WVK524338 C589872:C589874 IY589872:IY589874 SU589872:SU589874 ACQ589872:ACQ589874 AMM589872:AMM589874 AWI589872:AWI589874 BGE589872:BGE589874 BQA589872:BQA589874 BZW589872:BZW589874 CJS589872:CJS589874 CTO589872:CTO589874 DDK589872:DDK589874 DNG589872:DNG589874 DXC589872:DXC589874 EGY589872:EGY589874 EQU589872:EQU589874 FAQ589872:FAQ589874 FKM589872:FKM589874 FUI589872:FUI589874 GEE589872:GEE589874 GOA589872:GOA589874 GXW589872:GXW589874 HHS589872:HHS589874 HRO589872:HRO589874 IBK589872:IBK589874 ILG589872:ILG589874 IVC589872:IVC589874 JEY589872:JEY589874 JOU589872:JOU589874 JYQ589872:JYQ589874 KIM589872:KIM589874 KSI589872:KSI589874 LCE589872:LCE589874 LMA589872:LMA589874 LVW589872:LVW589874 MFS589872:MFS589874 MPO589872:MPO589874 MZK589872:MZK589874 NJG589872:NJG589874 NTC589872:NTC589874 OCY589872:OCY589874 OMU589872:OMU589874 OWQ589872:OWQ589874 PGM589872:PGM589874 PQI589872:PQI589874 QAE589872:QAE589874 QKA589872:QKA589874 QTW589872:QTW589874 RDS589872:RDS589874 RNO589872:RNO589874 RXK589872:RXK589874 SHG589872:SHG589874 SRC589872:SRC589874 TAY589872:TAY589874 TKU589872:TKU589874 TUQ589872:TUQ589874 UEM589872:UEM589874 UOI589872:UOI589874 UYE589872:UYE589874 VIA589872:VIA589874 VRW589872:VRW589874 WBS589872:WBS589874 WLO589872:WLO589874 WVK589872:WVK589874 C655408:C655410 IY655408:IY655410 SU655408:SU655410 ACQ655408:ACQ655410 AMM655408:AMM655410 AWI655408:AWI655410 BGE655408:BGE655410 BQA655408:BQA655410 BZW655408:BZW655410 CJS655408:CJS655410 CTO655408:CTO655410 DDK655408:DDK655410 DNG655408:DNG655410 DXC655408:DXC655410 EGY655408:EGY655410 EQU655408:EQU655410 FAQ655408:FAQ655410 FKM655408:FKM655410 FUI655408:FUI655410 GEE655408:GEE655410 GOA655408:GOA655410 GXW655408:GXW655410 HHS655408:HHS655410 HRO655408:HRO655410 IBK655408:IBK655410 ILG655408:ILG655410 IVC655408:IVC655410 JEY655408:JEY655410 JOU655408:JOU655410 JYQ655408:JYQ655410 KIM655408:KIM655410 KSI655408:KSI655410 LCE655408:LCE655410 LMA655408:LMA655410 LVW655408:LVW655410 MFS655408:MFS655410 MPO655408:MPO655410 MZK655408:MZK655410 NJG655408:NJG655410 NTC655408:NTC655410 OCY655408:OCY655410 OMU655408:OMU655410 OWQ655408:OWQ655410 PGM655408:PGM655410 PQI655408:PQI655410 QAE655408:QAE655410 QKA655408:QKA655410 QTW655408:QTW655410 RDS655408:RDS655410 RNO655408:RNO655410 RXK655408:RXK655410 SHG655408:SHG655410 SRC655408:SRC655410 TAY655408:TAY655410 TKU655408:TKU655410 TUQ655408:TUQ655410 UEM655408:UEM655410 UOI655408:UOI655410 UYE655408:UYE655410 VIA655408:VIA655410 VRW655408:VRW655410 WBS655408:WBS655410 WLO655408:WLO655410 WVK655408:WVK655410 C720944:C720946 IY720944:IY720946 SU720944:SU720946 ACQ720944:ACQ720946 AMM720944:AMM720946 AWI720944:AWI720946 BGE720944:BGE720946 BQA720944:BQA720946 BZW720944:BZW720946 CJS720944:CJS720946 CTO720944:CTO720946 DDK720944:DDK720946 DNG720944:DNG720946 DXC720944:DXC720946 EGY720944:EGY720946 EQU720944:EQU720946 FAQ720944:FAQ720946 FKM720944:FKM720946 FUI720944:FUI720946 GEE720944:GEE720946 GOA720944:GOA720946 GXW720944:GXW720946 HHS720944:HHS720946 HRO720944:HRO720946 IBK720944:IBK720946 ILG720944:ILG720946 IVC720944:IVC720946 JEY720944:JEY720946 JOU720944:JOU720946 JYQ720944:JYQ720946 KIM720944:KIM720946 KSI720944:KSI720946 LCE720944:LCE720946 LMA720944:LMA720946 LVW720944:LVW720946 MFS720944:MFS720946 MPO720944:MPO720946 MZK720944:MZK720946 NJG720944:NJG720946 NTC720944:NTC720946 OCY720944:OCY720946 OMU720944:OMU720946 OWQ720944:OWQ720946 PGM720944:PGM720946 PQI720944:PQI720946 QAE720944:QAE720946 QKA720944:QKA720946 QTW720944:QTW720946 RDS720944:RDS720946 RNO720944:RNO720946 RXK720944:RXK720946 SHG720944:SHG720946 SRC720944:SRC720946 TAY720944:TAY720946 TKU720944:TKU720946 TUQ720944:TUQ720946 UEM720944:UEM720946 UOI720944:UOI720946 UYE720944:UYE720946 VIA720944:VIA720946 VRW720944:VRW720946 WBS720944:WBS720946 WLO720944:WLO720946 WVK720944:WVK720946 C786480:C786482 IY786480:IY786482 SU786480:SU786482 ACQ786480:ACQ786482 AMM786480:AMM786482 AWI786480:AWI786482 BGE786480:BGE786482 BQA786480:BQA786482 BZW786480:BZW786482 CJS786480:CJS786482 CTO786480:CTO786482 DDK786480:DDK786482 DNG786480:DNG786482 DXC786480:DXC786482 EGY786480:EGY786482 EQU786480:EQU786482 FAQ786480:FAQ786482 FKM786480:FKM786482 FUI786480:FUI786482 GEE786480:GEE786482 GOA786480:GOA786482 GXW786480:GXW786482 HHS786480:HHS786482 HRO786480:HRO786482 IBK786480:IBK786482 ILG786480:ILG786482 IVC786480:IVC786482 JEY786480:JEY786482 JOU786480:JOU786482 JYQ786480:JYQ786482 KIM786480:KIM786482 KSI786480:KSI786482 LCE786480:LCE786482 LMA786480:LMA786482 LVW786480:LVW786482 MFS786480:MFS786482 MPO786480:MPO786482 MZK786480:MZK786482 NJG786480:NJG786482 NTC786480:NTC786482 OCY786480:OCY786482 OMU786480:OMU786482 OWQ786480:OWQ786482 PGM786480:PGM786482 PQI786480:PQI786482 QAE786480:QAE786482 QKA786480:QKA786482 QTW786480:QTW786482 RDS786480:RDS786482 RNO786480:RNO786482 RXK786480:RXK786482 SHG786480:SHG786482 SRC786480:SRC786482 TAY786480:TAY786482 TKU786480:TKU786482 TUQ786480:TUQ786482 UEM786480:UEM786482 UOI786480:UOI786482 UYE786480:UYE786482 VIA786480:VIA786482 VRW786480:VRW786482 WBS786480:WBS786482 WLO786480:WLO786482 WVK786480:WVK786482 C852016:C852018 IY852016:IY852018 SU852016:SU852018 ACQ852016:ACQ852018 AMM852016:AMM852018 AWI852016:AWI852018 BGE852016:BGE852018 BQA852016:BQA852018 BZW852016:BZW852018 CJS852016:CJS852018 CTO852016:CTO852018 DDK852016:DDK852018 DNG852016:DNG852018 DXC852016:DXC852018 EGY852016:EGY852018 EQU852016:EQU852018 FAQ852016:FAQ852018 FKM852016:FKM852018 FUI852016:FUI852018 GEE852016:GEE852018 GOA852016:GOA852018 GXW852016:GXW852018 HHS852016:HHS852018 HRO852016:HRO852018 IBK852016:IBK852018 ILG852016:ILG852018 IVC852016:IVC852018 JEY852016:JEY852018 JOU852016:JOU852018 JYQ852016:JYQ852018 KIM852016:KIM852018 KSI852016:KSI852018 LCE852016:LCE852018 LMA852016:LMA852018 LVW852016:LVW852018 MFS852016:MFS852018 MPO852016:MPO852018 MZK852016:MZK852018 NJG852016:NJG852018 NTC852016:NTC852018 OCY852016:OCY852018 OMU852016:OMU852018 OWQ852016:OWQ852018 PGM852016:PGM852018 PQI852016:PQI852018 QAE852016:QAE852018 QKA852016:QKA852018 QTW852016:QTW852018 RDS852016:RDS852018 RNO852016:RNO852018 RXK852016:RXK852018 SHG852016:SHG852018 SRC852016:SRC852018 TAY852016:TAY852018 TKU852016:TKU852018 TUQ852016:TUQ852018 UEM852016:UEM852018 UOI852016:UOI852018 UYE852016:UYE852018 VIA852016:VIA852018 VRW852016:VRW852018 WBS852016:WBS852018 WLO852016:WLO852018 WVK852016:WVK852018 C917552:C917554 IY917552:IY917554 SU917552:SU917554 ACQ917552:ACQ917554 AMM917552:AMM917554 AWI917552:AWI917554 BGE917552:BGE917554 BQA917552:BQA917554 BZW917552:BZW917554 CJS917552:CJS917554 CTO917552:CTO917554 DDK917552:DDK917554 DNG917552:DNG917554 DXC917552:DXC917554 EGY917552:EGY917554 EQU917552:EQU917554 FAQ917552:FAQ917554 FKM917552:FKM917554 FUI917552:FUI917554 GEE917552:GEE917554 GOA917552:GOA917554 GXW917552:GXW917554 HHS917552:HHS917554 HRO917552:HRO917554 IBK917552:IBK917554 ILG917552:ILG917554 IVC917552:IVC917554 JEY917552:JEY917554 JOU917552:JOU917554 JYQ917552:JYQ917554 KIM917552:KIM917554 KSI917552:KSI917554 LCE917552:LCE917554 LMA917552:LMA917554 LVW917552:LVW917554 MFS917552:MFS917554 MPO917552:MPO917554 MZK917552:MZK917554 NJG917552:NJG917554 NTC917552:NTC917554 OCY917552:OCY917554 OMU917552:OMU917554 OWQ917552:OWQ917554 PGM917552:PGM917554 PQI917552:PQI917554 QAE917552:QAE917554 QKA917552:QKA917554 QTW917552:QTW917554 RDS917552:RDS917554 RNO917552:RNO917554 RXK917552:RXK917554 SHG917552:SHG917554 SRC917552:SRC917554 TAY917552:TAY917554 TKU917552:TKU917554 TUQ917552:TUQ917554 UEM917552:UEM917554 UOI917552:UOI917554 UYE917552:UYE917554 VIA917552:VIA917554 VRW917552:VRW917554 WBS917552:WBS917554 WLO917552:WLO917554 WVK917552:WVK917554 C983088:C983090 IY983088:IY983090 SU983088:SU983090 ACQ983088:ACQ983090 AMM983088:AMM983090 AWI983088:AWI983090 BGE983088:BGE983090 BQA983088:BQA983090 BZW983088:BZW983090 CJS983088:CJS983090 CTO983088:CTO983090 DDK983088:DDK983090 DNG983088:DNG983090 DXC983088:DXC983090 EGY983088:EGY983090 EQU983088:EQU983090 FAQ983088:FAQ983090 FKM983088:FKM983090 FUI983088:FUI983090 GEE983088:GEE983090 GOA983088:GOA983090 GXW983088:GXW983090 HHS983088:HHS983090 HRO983088:HRO983090 IBK983088:IBK983090 ILG983088:ILG983090 IVC983088:IVC983090 JEY983088:JEY983090 JOU983088:JOU983090 JYQ983088:JYQ983090 KIM983088:KIM983090 KSI983088:KSI983090 LCE983088:LCE983090 LMA983088:LMA983090 LVW983088:LVW983090 MFS983088:MFS983090 MPO983088:MPO983090 MZK983088:MZK983090 NJG983088:NJG983090 NTC983088:NTC983090 OCY983088:OCY983090 OMU983088:OMU983090 OWQ983088:OWQ983090 PGM983088:PGM983090 PQI983088:PQI983090 QAE983088:QAE983090 QKA983088:QKA983090 QTW983088:QTW983090 RDS983088:RDS983090 RNO983088:RNO983090 RXK983088:RXK983090 SHG983088:SHG983090 SRC983088:SRC983090 TAY983088:TAY983090 TKU983088:TKU983090 TUQ983088:TUQ983090 UEM983088:UEM983090 UOI983088:UOI983090 UYE983088:UYE983090 VIA983088:VIA983090 VRW983088:VRW983090 WBS983088:WBS983090 WLO983088:WLO983090 WVK983088:WVK983090">
      <formula1>"Académique, Professionnel, Associatif, Autre"</formula1>
    </dataValidation>
    <dataValidation type="list" allowBlank="1" showInputMessage="1" showErrorMessage="1"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35 IY65535 SU65535 ACQ65535 AMM65535 AWI65535 BGE65535 BQA65535 BZW65535 CJS65535 CTO65535 DDK65535 DNG65535 DXC65535 EGY65535 EQU65535 FAQ65535 FKM65535 FUI65535 GEE65535 GOA65535 GXW65535 HHS65535 HRO65535 IBK65535 ILG65535 IVC65535 JEY65535 JOU65535 JYQ65535 KIM65535 KSI65535 LCE65535 LMA65535 LVW65535 MFS65535 MPO65535 MZK65535 NJG65535 NTC65535 OCY65535 OMU65535 OWQ65535 PGM65535 PQI65535 QAE65535 QKA65535 QTW65535 RDS65535 RNO65535 RXK65535 SHG65535 SRC65535 TAY65535 TKU65535 TUQ65535 UEM65535 UOI65535 UYE65535 VIA65535 VRW65535 WBS65535 WLO65535 WVK65535 C131071 IY131071 SU131071 ACQ131071 AMM131071 AWI131071 BGE131071 BQA131071 BZW131071 CJS131071 CTO131071 DDK131071 DNG131071 DXC131071 EGY131071 EQU131071 FAQ131071 FKM131071 FUI131071 GEE131071 GOA131071 GXW131071 HHS131071 HRO131071 IBK131071 ILG131071 IVC131071 JEY131071 JOU131071 JYQ131071 KIM131071 KSI131071 LCE131071 LMA131071 LVW131071 MFS131071 MPO131071 MZK131071 NJG131071 NTC131071 OCY131071 OMU131071 OWQ131071 PGM131071 PQI131071 QAE131071 QKA131071 QTW131071 RDS131071 RNO131071 RXK131071 SHG131071 SRC131071 TAY131071 TKU131071 TUQ131071 UEM131071 UOI131071 UYE131071 VIA131071 VRW131071 WBS131071 WLO131071 WVK131071 C196607 IY196607 SU196607 ACQ196607 AMM196607 AWI196607 BGE196607 BQA196607 BZW196607 CJS196607 CTO196607 DDK196607 DNG196607 DXC196607 EGY196607 EQU196607 FAQ196607 FKM196607 FUI196607 GEE196607 GOA196607 GXW196607 HHS196607 HRO196607 IBK196607 ILG196607 IVC196607 JEY196607 JOU196607 JYQ196607 KIM196607 KSI196607 LCE196607 LMA196607 LVW196607 MFS196607 MPO196607 MZK196607 NJG196607 NTC196607 OCY196607 OMU196607 OWQ196607 PGM196607 PQI196607 QAE196607 QKA196607 QTW196607 RDS196607 RNO196607 RXK196607 SHG196607 SRC196607 TAY196607 TKU196607 TUQ196607 UEM196607 UOI196607 UYE196607 VIA196607 VRW196607 WBS196607 WLO196607 WVK196607 C262143 IY262143 SU262143 ACQ262143 AMM262143 AWI262143 BGE262143 BQA262143 BZW262143 CJS262143 CTO262143 DDK262143 DNG262143 DXC262143 EGY262143 EQU262143 FAQ262143 FKM262143 FUI262143 GEE262143 GOA262143 GXW262143 HHS262143 HRO262143 IBK262143 ILG262143 IVC262143 JEY262143 JOU262143 JYQ262143 KIM262143 KSI262143 LCE262143 LMA262143 LVW262143 MFS262143 MPO262143 MZK262143 NJG262143 NTC262143 OCY262143 OMU262143 OWQ262143 PGM262143 PQI262143 QAE262143 QKA262143 QTW262143 RDS262143 RNO262143 RXK262143 SHG262143 SRC262143 TAY262143 TKU262143 TUQ262143 UEM262143 UOI262143 UYE262143 VIA262143 VRW262143 WBS262143 WLO262143 WVK262143 C327679 IY327679 SU327679 ACQ327679 AMM327679 AWI327679 BGE327679 BQA327679 BZW327679 CJS327679 CTO327679 DDK327679 DNG327679 DXC327679 EGY327679 EQU327679 FAQ327679 FKM327679 FUI327679 GEE327679 GOA327679 GXW327679 HHS327679 HRO327679 IBK327679 ILG327679 IVC327679 JEY327679 JOU327679 JYQ327679 KIM327679 KSI327679 LCE327679 LMA327679 LVW327679 MFS327679 MPO327679 MZK327679 NJG327679 NTC327679 OCY327679 OMU327679 OWQ327679 PGM327679 PQI327679 QAE327679 QKA327679 QTW327679 RDS327679 RNO327679 RXK327679 SHG327679 SRC327679 TAY327679 TKU327679 TUQ327679 UEM327679 UOI327679 UYE327679 VIA327679 VRW327679 WBS327679 WLO327679 WVK327679 C393215 IY393215 SU393215 ACQ393215 AMM393215 AWI393215 BGE393215 BQA393215 BZW393215 CJS393215 CTO393215 DDK393215 DNG393215 DXC393215 EGY393215 EQU393215 FAQ393215 FKM393215 FUI393215 GEE393215 GOA393215 GXW393215 HHS393215 HRO393215 IBK393215 ILG393215 IVC393215 JEY393215 JOU393215 JYQ393215 KIM393215 KSI393215 LCE393215 LMA393215 LVW393215 MFS393215 MPO393215 MZK393215 NJG393215 NTC393215 OCY393215 OMU393215 OWQ393215 PGM393215 PQI393215 QAE393215 QKA393215 QTW393215 RDS393215 RNO393215 RXK393215 SHG393215 SRC393215 TAY393215 TKU393215 TUQ393215 UEM393215 UOI393215 UYE393215 VIA393215 VRW393215 WBS393215 WLO393215 WVK393215 C458751 IY458751 SU458751 ACQ458751 AMM458751 AWI458751 BGE458751 BQA458751 BZW458751 CJS458751 CTO458751 DDK458751 DNG458751 DXC458751 EGY458751 EQU458751 FAQ458751 FKM458751 FUI458751 GEE458751 GOA458751 GXW458751 HHS458751 HRO458751 IBK458751 ILG458751 IVC458751 JEY458751 JOU458751 JYQ458751 KIM458751 KSI458751 LCE458751 LMA458751 LVW458751 MFS458751 MPO458751 MZK458751 NJG458751 NTC458751 OCY458751 OMU458751 OWQ458751 PGM458751 PQI458751 QAE458751 QKA458751 QTW458751 RDS458751 RNO458751 RXK458751 SHG458751 SRC458751 TAY458751 TKU458751 TUQ458751 UEM458751 UOI458751 UYE458751 VIA458751 VRW458751 WBS458751 WLO458751 WVK458751 C524287 IY524287 SU524287 ACQ524287 AMM524287 AWI524287 BGE524287 BQA524287 BZW524287 CJS524287 CTO524287 DDK524287 DNG524287 DXC524287 EGY524287 EQU524287 FAQ524287 FKM524287 FUI524287 GEE524287 GOA524287 GXW524287 HHS524287 HRO524287 IBK524287 ILG524287 IVC524287 JEY524287 JOU524287 JYQ524287 KIM524287 KSI524287 LCE524287 LMA524287 LVW524287 MFS524287 MPO524287 MZK524287 NJG524287 NTC524287 OCY524287 OMU524287 OWQ524287 PGM524287 PQI524287 QAE524287 QKA524287 QTW524287 RDS524287 RNO524287 RXK524287 SHG524287 SRC524287 TAY524287 TKU524287 TUQ524287 UEM524287 UOI524287 UYE524287 VIA524287 VRW524287 WBS524287 WLO524287 WVK524287 C589823 IY589823 SU589823 ACQ589823 AMM589823 AWI589823 BGE589823 BQA589823 BZW589823 CJS589823 CTO589823 DDK589823 DNG589823 DXC589823 EGY589823 EQU589823 FAQ589823 FKM589823 FUI589823 GEE589823 GOA589823 GXW589823 HHS589823 HRO589823 IBK589823 ILG589823 IVC589823 JEY589823 JOU589823 JYQ589823 KIM589823 KSI589823 LCE589823 LMA589823 LVW589823 MFS589823 MPO589823 MZK589823 NJG589823 NTC589823 OCY589823 OMU589823 OWQ589823 PGM589823 PQI589823 QAE589823 QKA589823 QTW589823 RDS589823 RNO589823 RXK589823 SHG589823 SRC589823 TAY589823 TKU589823 TUQ589823 UEM589823 UOI589823 UYE589823 VIA589823 VRW589823 WBS589823 WLO589823 WVK589823 C655359 IY655359 SU655359 ACQ655359 AMM655359 AWI655359 BGE655359 BQA655359 BZW655359 CJS655359 CTO655359 DDK655359 DNG655359 DXC655359 EGY655359 EQU655359 FAQ655359 FKM655359 FUI655359 GEE655359 GOA655359 GXW655359 HHS655359 HRO655359 IBK655359 ILG655359 IVC655359 JEY655359 JOU655359 JYQ655359 KIM655359 KSI655359 LCE655359 LMA655359 LVW655359 MFS655359 MPO655359 MZK655359 NJG655359 NTC655359 OCY655359 OMU655359 OWQ655359 PGM655359 PQI655359 QAE655359 QKA655359 QTW655359 RDS655359 RNO655359 RXK655359 SHG655359 SRC655359 TAY655359 TKU655359 TUQ655359 UEM655359 UOI655359 UYE655359 VIA655359 VRW655359 WBS655359 WLO655359 WVK655359 C720895 IY720895 SU720895 ACQ720895 AMM720895 AWI720895 BGE720895 BQA720895 BZW720895 CJS720895 CTO720895 DDK720895 DNG720895 DXC720895 EGY720895 EQU720895 FAQ720895 FKM720895 FUI720895 GEE720895 GOA720895 GXW720895 HHS720895 HRO720895 IBK720895 ILG720895 IVC720895 JEY720895 JOU720895 JYQ720895 KIM720895 KSI720895 LCE720895 LMA720895 LVW720895 MFS720895 MPO720895 MZK720895 NJG720895 NTC720895 OCY720895 OMU720895 OWQ720895 PGM720895 PQI720895 QAE720895 QKA720895 QTW720895 RDS720895 RNO720895 RXK720895 SHG720895 SRC720895 TAY720895 TKU720895 TUQ720895 UEM720895 UOI720895 UYE720895 VIA720895 VRW720895 WBS720895 WLO720895 WVK720895 C786431 IY786431 SU786431 ACQ786431 AMM786431 AWI786431 BGE786431 BQA786431 BZW786431 CJS786431 CTO786431 DDK786431 DNG786431 DXC786431 EGY786431 EQU786431 FAQ786431 FKM786431 FUI786431 GEE786431 GOA786431 GXW786431 HHS786431 HRO786431 IBK786431 ILG786431 IVC786431 JEY786431 JOU786431 JYQ786431 KIM786431 KSI786431 LCE786431 LMA786431 LVW786431 MFS786431 MPO786431 MZK786431 NJG786431 NTC786431 OCY786431 OMU786431 OWQ786431 PGM786431 PQI786431 QAE786431 QKA786431 QTW786431 RDS786431 RNO786431 RXK786431 SHG786431 SRC786431 TAY786431 TKU786431 TUQ786431 UEM786431 UOI786431 UYE786431 VIA786431 VRW786431 WBS786431 WLO786431 WVK786431 C851967 IY851967 SU851967 ACQ851967 AMM851967 AWI851967 BGE851967 BQA851967 BZW851967 CJS851967 CTO851967 DDK851967 DNG851967 DXC851967 EGY851967 EQU851967 FAQ851967 FKM851967 FUI851967 GEE851967 GOA851967 GXW851967 HHS851967 HRO851967 IBK851967 ILG851967 IVC851967 JEY851967 JOU851967 JYQ851967 KIM851967 KSI851967 LCE851967 LMA851967 LVW851967 MFS851967 MPO851967 MZK851967 NJG851967 NTC851967 OCY851967 OMU851967 OWQ851967 PGM851967 PQI851967 QAE851967 QKA851967 QTW851967 RDS851967 RNO851967 RXK851967 SHG851967 SRC851967 TAY851967 TKU851967 TUQ851967 UEM851967 UOI851967 UYE851967 VIA851967 VRW851967 WBS851967 WLO851967 WVK851967 C917503 IY917503 SU917503 ACQ917503 AMM917503 AWI917503 BGE917503 BQA917503 BZW917503 CJS917503 CTO917503 DDK917503 DNG917503 DXC917503 EGY917503 EQU917503 FAQ917503 FKM917503 FUI917503 GEE917503 GOA917503 GXW917503 HHS917503 HRO917503 IBK917503 ILG917503 IVC917503 JEY917503 JOU917503 JYQ917503 KIM917503 KSI917503 LCE917503 LMA917503 LVW917503 MFS917503 MPO917503 MZK917503 NJG917503 NTC917503 OCY917503 OMU917503 OWQ917503 PGM917503 PQI917503 QAE917503 QKA917503 QTW917503 RDS917503 RNO917503 RXK917503 SHG917503 SRC917503 TAY917503 TKU917503 TUQ917503 UEM917503 UOI917503 UYE917503 VIA917503 VRW917503 WBS917503 WLO917503 WVK917503 C983039 IY983039 SU983039 ACQ983039 AMM983039 AWI983039 BGE983039 BQA983039 BZW983039 CJS983039 CTO983039 DDK983039 DNG983039 DXC983039 EGY983039 EQU983039 FAQ983039 FKM983039 FUI983039 GEE983039 GOA983039 GXW983039 HHS983039 HRO983039 IBK983039 ILG983039 IVC983039 JEY983039 JOU983039 JYQ983039 KIM983039 KSI983039 LCE983039 LMA983039 LVW983039 MFS983039 MPO983039 MZK983039 NJG983039 NTC983039 OCY983039 OMU983039 OWQ983039 PGM983039 PQI983039 QAE983039 QKA983039 QTW983039 RDS983039 RNO983039 RXK983039 SHG983039 SRC983039 TAY983039 TKU983039 TUQ983039 UEM983039 UOI983039 UYE983039 VIA983039 VRW983039 WBS983039 WLO983039 WVK983039">
      <formula1>"Mise à jour à partir du plan d'études, Nouvelle création"</formula1>
    </dataValidation>
  </dataValidations>
  <hyperlinks>
    <hyperlink ref="B1" location="'Schéma d''enseignement'!G40" display="Schéma d'enseignement"/>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C3:D9"/>
  <sheetViews>
    <sheetView workbookViewId="0">
      <selection activeCell="C18" sqref="C18"/>
    </sheetView>
  </sheetViews>
  <sheetFormatPr baseColWidth="10" defaultColWidth="8.85546875" defaultRowHeight="15" x14ac:dyDescent="0.25"/>
  <cols>
    <col min="1" max="1" width="3.140625" style="1" customWidth="1"/>
    <col min="2" max="2" width="4.140625" style="1" customWidth="1"/>
    <col min="3" max="3" width="24.42578125" style="1" customWidth="1"/>
    <col min="4" max="4" width="41.140625" style="1" customWidth="1"/>
    <col min="5" max="16384" width="8.85546875" style="1"/>
  </cols>
  <sheetData>
    <row r="3" spans="3:4" x14ac:dyDescent="0.25">
      <c r="C3" s="241" t="s">
        <v>1</v>
      </c>
      <c r="D3" s="109" t="s">
        <v>236</v>
      </c>
    </row>
    <row r="5" spans="3:4" x14ac:dyDescent="0.25">
      <c r="C5" s="443" t="s">
        <v>37</v>
      </c>
      <c r="D5" s="443"/>
    </row>
    <row r="6" spans="3:4" x14ac:dyDescent="0.25">
      <c r="C6" s="242" t="s">
        <v>82</v>
      </c>
      <c r="D6" s="242" t="s">
        <v>22</v>
      </c>
    </row>
    <row r="7" spans="3:4" x14ac:dyDescent="0.25">
      <c r="C7" s="184" t="s">
        <v>566</v>
      </c>
      <c r="D7" s="20" t="s">
        <v>295</v>
      </c>
    </row>
    <row r="8" spans="3:4" x14ac:dyDescent="0.25">
      <c r="C8" s="443" t="s">
        <v>38</v>
      </c>
      <c r="D8" s="443"/>
    </row>
    <row r="9" spans="3:4" x14ac:dyDescent="0.25">
      <c r="C9" s="112" t="s">
        <v>566</v>
      </c>
      <c r="D9" s="20" t="s">
        <v>567</v>
      </c>
    </row>
  </sheetData>
  <mergeCells count="2">
    <mergeCell ref="C5:D5"/>
    <mergeCell ref="C8:D8"/>
  </mergeCells>
  <conditionalFormatting sqref="C7">
    <cfRule type="colorScale" priority="2">
      <colorScale>
        <cfvo type="num" val="0"/>
        <cfvo type="num" val="0"/>
        <color rgb="FFFF0000"/>
        <color rgb="FF00B050"/>
      </colorScale>
    </cfRule>
  </conditionalFormatting>
  <conditionalFormatting sqref="C9">
    <cfRule type="colorScale" priority="1">
      <colorScale>
        <cfvo type="num" val="0"/>
        <cfvo type="num" val="0"/>
        <color rgb="FFFF0000"/>
        <color rgb="FF00B050"/>
      </colorScale>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H73"/>
  <sheetViews>
    <sheetView view="pageBreakPreview" zoomScaleSheetLayoutView="100" workbookViewId="0">
      <selection activeCell="B1" sqref="B1"/>
    </sheetView>
  </sheetViews>
  <sheetFormatPr baseColWidth="10" defaultColWidth="8.85546875" defaultRowHeight="15.75" x14ac:dyDescent="0.25"/>
  <cols>
    <col min="1" max="1" width="1.42578125" style="149" customWidth="1"/>
    <col min="2" max="2" width="23.85546875" style="149" customWidth="1"/>
    <col min="3" max="3" width="18.42578125" style="149" customWidth="1"/>
    <col min="4" max="4" width="11.85546875" style="149" customWidth="1"/>
    <col min="5" max="5" width="8" style="149" customWidth="1"/>
    <col min="6" max="6" width="24.140625" style="149" customWidth="1"/>
    <col min="7" max="7" width="2.42578125" style="149" hidden="1" customWidth="1"/>
    <col min="8" max="8" width="14.5703125" style="149" customWidth="1"/>
    <col min="9" max="16384" width="8.85546875" style="149"/>
  </cols>
  <sheetData>
    <row r="1" spans="2:6" x14ac:dyDescent="0.25">
      <c r="B1" s="326" t="s">
        <v>692</v>
      </c>
    </row>
    <row r="2" spans="2:6" ht="22.35" customHeight="1" x14ac:dyDescent="0.25">
      <c r="B2" s="505" t="s">
        <v>344</v>
      </c>
      <c r="C2" s="505"/>
      <c r="D2" s="505"/>
      <c r="E2" s="505"/>
      <c r="F2" s="505"/>
    </row>
    <row r="3" spans="2:6" s="150" customFormat="1" x14ac:dyDescent="0.25"/>
    <row r="4" spans="2:6" s="150" customFormat="1" x14ac:dyDescent="0.25">
      <c r="B4" s="163" t="s">
        <v>320</v>
      </c>
      <c r="C4" s="444" t="s">
        <v>319</v>
      </c>
      <c r="D4" s="444"/>
      <c r="E4" s="444"/>
      <c r="F4" s="444"/>
    </row>
    <row r="5" spans="2:6" s="150" customFormat="1" x14ac:dyDescent="0.25">
      <c r="B5" s="164" t="s">
        <v>318</v>
      </c>
      <c r="C5" s="444" t="s">
        <v>317</v>
      </c>
      <c r="D5" s="444"/>
      <c r="E5" s="444"/>
      <c r="F5" s="444"/>
    </row>
    <row r="6" spans="2:6" s="150" customFormat="1" x14ac:dyDescent="0.25">
      <c r="B6" s="163" t="s">
        <v>316</v>
      </c>
      <c r="C6" s="444" t="s">
        <v>315</v>
      </c>
      <c r="D6" s="444"/>
      <c r="E6" s="444"/>
      <c r="F6" s="444"/>
    </row>
    <row r="7" spans="2:6" s="150" customFormat="1" x14ac:dyDescent="0.25">
      <c r="B7" s="163" t="s">
        <v>314</v>
      </c>
      <c r="C7" s="593" t="s">
        <v>313</v>
      </c>
      <c r="D7" s="593"/>
      <c r="E7" s="593"/>
      <c r="F7" s="593"/>
    </row>
    <row r="8" spans="2:6" s="150" customFormat="1" x14ac:dyDescent="0.25">
      <c r="B8" s="163" t="s">
        <v>312</v>
      </c>
      <c r="C8" s="444" t="s">
        <v>311</v>
      </c>
      <c r="D8" s="444"/>
      <c r="E8" s="444"/>
      <c r="F8" s="444"/>
    </row>
    <row r="9" spans="2:6" s="150" customFormat="1" x14ac:dyDescent="0.25">
      <c r="B9" s="163" t="s">
        <v>310</v>
      </c>
      <c r="C9" s="444">
        <v>4</v>
      </c>
      <c r="D9" s="444"/>
      <c r="E9" s="444"/>
      <c r="F9" s="444"/>
    </row>
    <row r="10" spans="2:6" s="150" customFormat="1" ht="10.7" customHeight="1" x14ac:dyDescent="0.25"/>
    <row r="11" spans="2:6" s="150" customFormat="1" x14ac:dyDescent="0.25">
      <c r="B11" s="452" t="s">
        <v>309</v>
      </c>
      <c r="C11" s="452"/>
      <c r="D11" s="452"/>
      <c r="E11" s="452"/>
      <c r="F11" s="452"/>
    </row>
    <row r="12" spans="2:6" s="150" customFormat="1" x14ac:dyDescent="0.25">
      <c r="B12" s="452" t="s">
        <v>304</v>
      </c>
      <c r="C12" s="452"/>
      <c r="D12" s="452" t="s">
        <v>308</v>
      </c>
      <c r="E12" s="452"/>
      <c r="F12" s="452"/>
    </row>
    <row r="13" spans="2:6" s="150" customFormat="1" ht="57.6" customHeight="1" x14ac:dyDescent="0.25">
      <c r="B13" s="592">
        <v>42772</v>
      </c>
      <c r="C13" s="592"/>
      <c r="D13" s="591" t="s">
        <v>307</v>
      </c>
      <c r="E13" s="591"/>
      <c r="F13" s="591"/>
    </row>
    <row r="14" spans="2:6" s="150" customFormat="1" ht="10.35" customHeight="1" x14ac:dyDescent="0.25"/>
    <row r="15" spans="2:6" s="150" customFormat="1" x14ac:dyDescent="0.25">
      <c r="B15" s="452" t="s">
        <v>306</v>
      </c>
      <c r="C15" s="452"/>
      <c r="D15" s="452"/>
      <c r="E15" s="452"/>
      <c r="F15" s="452"/>
    </row>
    <row r="16" spans="2:6" s="150" customFormat="1" x14ac:dyDescent="0.25">
      <c r="B16" s="452" t="s">
        <v>305</v>
      </c>
      <c r="C16" s="452"/>
      <c r="D16" s="452"/>
      <c r="E16" s="452" t="s">
        <v>304</v>
      </c>
      <c r="F16" s="452"/>
    </row>
    <row r="17" spans="2:6" s="150" customFormat="1" x14ac:dyDescent="0.25">
      <c r="B17" s="596" t="s">
        <v>303</v>
      </c>
      <c r="C17" s="596"/>
      <c r="D17" s="596"/>
      <c r="E17" s="594">
        <v>42901</v>
      </c>
      <c r="F17" s="595"/>
    </row>
    <row r="18" spans="2:6" s="150" customFormat="1" x14ac:dyDescent="0.25">
      <c r="B18" s="596" t="s">
        <v>302</v>
      </c>
      <c r="C18" s="596"/>
      <c r="D18" s="596"/>
      <c r="E18" s="594">
        <v>42901</v>
      </c>
      <c r="F18" s="595"/>
    </row>
    <row r="19" spans="2:6" s="150" customFormat="1" x14ac:dyDescent="0.25">
      <c r="B19" s="596" t="s">
        <v>301</v>
      </c>
      <c r="C19" s="596"/>
      <c r="D19" s="596"/>
      <c r="E19" s="594">
        <v>42901</v>
      </c>
      <c r="F19" s="595"/>
    </row>
    <row r="20" spans="2:6" s="150" customFormat="1" ht="9.6" customHeight="1" x14ac:dyDescent="0.25">
      <c r="B20" s="582"/>
      <c r="C20" s="582"/>
      <c r="D20" s="582"/>
      <c r="E20" s="583"/>
      <c r="F20" s="582"/>
    </row>
    <row r="21" spans="2:6" s="150" customFormat="1" x14ac:dyDescent="0.25">
      <c r="B21" s="162" t="s">
        <v>300</v>
      </c>
      <c r="C21" s="162" t="s">
        <v>299</v>
      </c>
      <c r="D21" s="162" t="s">
        <v>298</v>
      </c>
      <c r="E21" s="162" t="s">
        <v>297</v>
      </c>
      <c r="F21" s="162" t="s">
        <v>296</v>
      </c>
    </row>
    <row r="22" spans="2:6" s="150" customFormat="1" ht="31.5" x14ac:dyDescent="0.25">
      <c r="B22" s="35" t="s">
        <v>295</v>
      </c>
      <c r="C22" s="24">
        <v>42</v>
      </c>
      <c r="D22" s="24">
        <v>2</v>
      </c>
      <c r="E22" s="24">
        <v>2</v>
      </c>
      <c r="F22" s="35" t="s">
        <v>294</v>
      </c>
    </row>
    <row r="23" spans="2:6" s="150" customFormat="1" ht="9.6" customHeight="1" x14ac:dyDescent="0.25"/>
    <row r="24" spans="2:6" s="150" customFormat="1" x14ac:dyDescent="0.25">
      <c r="B24" s="446" t="s">
        <v>293</v>
      </c>
      <c r="C24" s="447"/>
      <c r="D24" s="447"/>
      <c r="E24" s="447"/>
      <c r="F24" s="448"/>
    </row>
    <row r="25" spans="2:6" s="150" customFormat="1" ht="46.5" customHeight="1" x14ac:dyDescent="0.25">
      <c r="B25" s="449" t="s">
        <v>429</v>
      </c>
      <c r="C25" s="455"/>
      <c r="D25" s="455"/>
      <c r="E25" s="455"/>
      <c r="F25" s="456"/>
    </row>
    <row r="26" spans="2:6" s="150" customFormat="1" ht="15.6" customHeight="1" x14ac:dyDescent="0.25">
      <c r="B26" s="446" t="s">
        <v>292</v>
      </c>
      <c r="C26" s="447"/>
      <c r="D26" s="447"/>
      <c r="E26" s="447"/>
      <c r="F26" s="448"/>
    </row>
    <row r="27" spans="2:6" s="150" customFormat="1" ht="124.35" customHeight="1" x14ac:dyDescent="0.25">
      <c r="B27" s="536" t="s">
        <v>428</v>
      </c>
      <c r="C27" s="537"/>
      <c r="D27" s="537"/>
      <c r="E27" s="537"/>
      <c r="F27" s="538"/>
    </row>
    <row r="28" spans="2:6" s="150" customFormat="1" ht="17.45" customHeight="1" x14ac:dyDescent="0.25"/>
    <row r="29" spans="2:6" s="150" customFormat="1" ht="17.25" customHeight="1" x14ac:dyDescent="0.25">
      <c r="B29" s="446" t="s">
        <v>430</v>
      </c>
      <c r="C29" s="447"/>
      <c r="D29" s="447"/>
      <c r="E29" s="447"/>
      <c r="F29" s="448"/>
    </row>
    <row r="30" spans="2:6" s="150" customFormat="1" ht="36.75" customHeight="1" x14ac:dyDescent="0.25">
      <c r="B30" s="449" t="s">
        <v>433</v>
      </c>
      <c r="C30" s="455"/>
      <c r="D30" s="455"/>
      <c r="E30" s="455"/>
      <c r="F30" s="456"/>
    </row>
    <row r="31" spans="2:6" s="150" customFormat="1" ht="15.75" customHeight="1" x14ac:dyDescent="0.25"/>
    <row r="32" spans="2:6" s="150" customFormat="1" x14ac:dyDescent="0.25">
      <c r="B32" s="446" t="s">
        <v>431</v>
      </c>
      <c r="C32" s="447"/>
      <c r="D32" s="447"/>
      <c r="E32" s="447"/>
      <c r="F32" s="448"/>
    </row>
    <row r="33" spans="2:6" s="150" customFormat="1" x14ac:dyDescent="0.25">
      <c r="B33" s="584" t="s">
        <v>289</v>
      </c>
      <c r="C33" s="585"/>
      <c r="D33" s="585"/>
      <c r="E33" s="585"/>
      <c r="F33" s="585"/>
    </row>
    <row r="34" spans="2:6" s="150" customFormat="1" x14ac:dyDescent="0.25">
      <c r="B34" s="584" t="s">
        <v>10</v>
      </c>
      <c r="C34" s="585"/>
      <c r="D34" s="585"/>
      <c r="E34" s="585"/>
      <c r="F34" s="585"/>
    </row>
    <row r="35" spans="2:6" s="150" customFormat="1" x14ac:dyDescent="0.25">
      <c r="B35" s="584" t="s">
        <v>15</v>
      </c>
      <c r="C35" s="585"/>
      <c r="D35" s="585"/>
      <c r="E35" s="585"/>
      <c r="F35" s="585"/>
    </row>
    <row r="36" spans="2:6" s="150" customFormat="1" x14ac:dyDescent="0.25">
      <c r="B36" s="584" t="s">
        <v>146</v>
      </c>
      <c r="C36" s="585"/>
      <c r="D36" s="585"/>
      <c r="E36" s="585"/>
      <c r="F36" s="585"/>
    </row>
    <row r="37" spans="2:6" s="150" customFormat="1" x14ac:dyDescent="0.25">
      <c r="B37" s="584" t="s">
        <v>288</v>
      </c>
      <c r="C37" s="585"/>
      <c r="D37" s="585"/>
      <c r="E37" s="585"/>
      <c r="F37" s="585"/>
    </row>
    <row r="38" spans="2:6" s="150" customFormat="1" x14ac:dyDescent="0.25">
      <c r="B38" s="584" t="s">
        <v>285</v>
      </c>
      <c r="C38" s="585"/>
      <c r="D38" s="585"/>
      <c r="E38" s="585"/>
      <c r="F38" s="585"/>
    </row>
    <row r="39" spans="2:6" s="150" customFormat="1" x14ac:dyDescent="0.25">
      <c r="B39" s="584" t="s">
        <v>287</v>
      </c>
      <c r="C39" s="585"/>
      <c r="D39" s="585"/>
      <c r="E39" s="585"/>
      <c r="F39" s="585"/>
    </row>
    <row r="40" spans="2:6" s="150" customFormat="1" x14ac:dyDescent="0.25">
      <c r="B40" s="584" t="s">
        <v>146</v>
      </c>
      <c r="C40" s="585"/>
      <c r="D40" s="585"/>
      <c r="E40" s="585"/>
      <c r="F40" s="585"/>
    </row>
    <row r="41" spans="2:6" s="150" customFormat="1" x14ac:dyDescent="0.25">
      <c r="B41" s="584" t="s">
        <v>15</v>
      </c>
      <c r="C41" s="585"/>
      <c r="D41" s="585"/>
      <c r="E41" s="585"/>
      <c r="F41" s="585"/>
    </row>
    <row r="42" spans="2:6" s="150" customFormat="1" x14ac:dyDescent="0.25">
      <c r="B42" s="584" t="s">
        <v>286</v>
      </c>
      <c r="C42" s="585"/>
      <c r="D42" s="585"/>
      <c r="E42" s="585"/>
      <c r="F42" s="585"/>
    </row>
    <row r="43" spans="2:6" s="150" customFormat="1" x14ac:dyDescent="0.25">
      <c r="B43" s="584" t="s">
        <v>285</v>
      </c>
      <c r="C43" s="585"/>
      <c r="D43" s="585"/>
      <c r="E43" s="585"/>
      <c r="F43" s="585"/>
    </row>
    <row r="44" spans="2:6" s="150" customFormat="1" x14ac:dyDescent="0.25">
      <c r="B44" s="584" t="s">
        <v>284</v>
      </c>
      <c r="C44" s="585"/>
      <c r="D44" s="585"/>
      <c r="E44" s="585"/>
      <c r="F44" s="585"/>
    </row>
    <row r="45" spans="2:6" s="150" customFormat="1" x14ac:dyDescent="0.25">
      <c r="B45" s="584" t="s">
        <v>146</v>
      </c>
      <c r="C45" s="585"/>
      <c r="D45" s="585"/>
      <c r="E45" s="585"/>
      <c r="F45" s="585"/>
    </row>
    <row r="46" spans="2:6" s="150" customFormat="1" ht="15.6" customHeight="1" x14ac:dyDescent="0.25">
      <c r="B46" s="584" t="s">
        <v>283</v>
      </c>
      <c r="C46" s="585"/>
      <c r="D46" s="585"/>
      <c r="E46" s="585"/>
      <c r="F46" s="585"/>
    </row>
    <row r="47" spans="2:6" s="150" customFormat="1" x14ac:dyDescent="0.25">
      <c r="B47" s="584" t="s">
        <v>15</v>
      </c>
      <c r="C47" s="585"/>
      <c r="D47" s="585"/>
      <c r="E47" s="585"/>
      <c r="F47" s="585"/>
    </row>
    <row r="48" spans="2:6" s="150" customFormat="1" x14ac:dyDescent="0.25">
      <c r="B48" s="584" t="s">
        <v>10</v>
      </c>
      <c r="C48" s="585"/>
      <c r="D48" s="585"/>
      <c r="E48" s="585"/>
      <c r="F48" s="585"/>
    </row>
    <row r="49" spans="2:8" s="150" customFormat="1" x14ac:dyDescent="0.25">
      <c r="B49" s="584" t="s">
        <v>147</v>
      </c>
      <c r="C49" s="585"/>
      <c r="D49" s="585"/>
      <c r="E49" s="585"/>
      <c r="F49" s="585"/>
    </row>
    <row r="50" spans="2:8" s="150" customFormat="1" x14ac:dyDescent="0.25">
      <c r="B50" s="584" t="s">
        <v>146</v>
      </c>
      <c r="C50" s="585"/>
      <c r="D50" s="585"/>
      <c r="E50" s="585"/>
      <c r="F50" s="585"/>
    </row>
    <row r="51" spans="2:8" s="150" customFormat="1" x14ac:dyDescent="0.25">
      <c r="B51" s="468" t="s">
        <v>15</v>
      </c>
      <c r="C51" s="468"/>
      <c r="D51" s="468"/>
      <c r="E51" s="468"/>
      <c r="F51" s="468"/>
    </row>
    <row r="52" spans="2:8" s="150" customFormat="1" ht="15.95" customHeight="1" x14ac:dyDescent="0.25">
      <c r="B52" s="159"/>
      <c r="C52" s="159"/>
      <c r="D52" s="159"/>
      <c r="E52" s="159"/>
      <c r="F52" s="159"/>
    </row>
    <row r="53" spans="2:8" s="150" customFormat="1" ht="16.5" customHeight="1" x14ac:dyDescent="0.25">
      <c r="B53" s="590" t="s">
        <v>282</v>
      </c>
      <c r="C53" s="590"/>
      <c r="D53" s="590"/>
      <c r="E53" s="590"/>
      <c r="F53" s="590"/>
    </row>
    <row r="54" spans="2:8" s="150" customFormat="1" ht="126" customHeight="1" x14ac:dyDescent="0.25">
      <c r="B54" s="449" t="s">
        <v>281</v>
      </c>
      <c r="C54" s="455"/>
      <c r="D54" s="455"/>
      <c r="E54" s="455"/>
      <c r="F54" s="456"/>
      <c r="H54" s="158"/>
    </row>
    <row r="55" spans="2:8" s="150" customFormat="1" ht="12" customHeight="1" x14ac:dyDescent="0.25">
      <c r="B55" s="157"/>
    </row>
    <row r="56" spans="2:8" s="150" customFormat="1" x14ac:dyDescent="0.25">
      <c r="B56" s="446" t="s">
        <v>436</v>
      </c>
      <c r="C56" s="447"/>
      <c r="D56" s="447"/>
      <c r="E56" s="447"/>
      <c r="F56" s="448"/>
    </row>
    <row r="57" spans="2:8" s="150" customFormat="1" x14ac:dyDescent="0.25">
      <c r="B57" s="154" t="s">
        <v>279</v>
      </c>
      <c r="C57" s="543">
        <v>1.5</v>
      </c>
      <c r="D57" s="544"/>
      <c r="E57" s="544"/>
      <c r="F57" s="545"/>
    </row>
    <row r="58" spans="2:8" s="150" customFormat="1" x14ac:dyDescent="0.25">
      <c r="B58" s="154" t="s">
        <v>278</v>
      </c>
      <c r="C58" s="587"/>
      <c r="D58" s="588"/>
      <c r="E58" s="588"/>
      <c r="F58" s="589"/>
    </row>
    <row r="59" spans="2:8" s="150" customFormat="1" x14ac:dyDescent="0.25">
      <c r="B59" s="154" t="s">
        <v>277</v>
      </c>
      <c r="C59" s="586"/>
      <c r="D59" s="586"/>
      <c r="E59" s="586"/>
      <c r="F59" s="586"/>
    </row>
    <row r="60" spans="2:8" s="150" customFormat="1" x14ac:dyDescent="0.25"/>
    <row r="61" spans="2:8" s="150" customFormat="1" x14ac:dyDescent="0.25">
      <c r="B61" s="446" t="s">
        <v>276</v>
      </c>
      <c r="C61" s="447"/>
      <c r="D61" s="447"/>
      <c r="E61" s="447"/>
      <c r="F61" s="448"/>
    </row>
    <row r="62" spans="2:8" s="150" customFormat="1" x14ac:dyDescent="0.25">
      <c r="B62" s="464" t="s">
        <v>275</v>
      </c>
      <c r="C62" s="450"/>
      <c r="D62" s="450"/>
      <c r="E62" s="450"/>
      <c r="F62" s="451"/>
    </row>
    <row r="63" spans="2:8" s="150" customFormat="1" ht="12" customHeight="1" x14ac:dyDescent="0.25"/>
    <row r="64" spans="2:8" s="150" customFormat="1" ht="34.5" customHeight="1" x14ac:dyDescent="0.25">
      <c r="B64" s="501" t="s">
        <v>274</v>
      </c>
      <c r="C64" s="502"/>
      <c r="D64" s="502"/>
      <c r="E64" s="502"/>
      <c r="F64" s="503"/>
    </row>
    <row r="65" spans="2:7" s="150" customFormat="1" x14ac:dyDescent="0.25">
      <c r="B65" s="155" t="s">
        <v>273</v>
      </c>
      <c r="C65" s="155" t="s">
        <v>272</v>
      </c>
      <c r="D65" s="446" t="s">
        <v>271</v>
      </c>
      <c r="E65" s="447"/>
      <c r="F65" s="448"/>
    </row>
    <row r="66" spans="2:7" s="150" customFormat="1" x14ac:dyDescent="0.25">
      <c r="B66" s="193" t="s">
        <v>269</v>
      </c>
      <c r="C66" s="193" t="s">
        <v>268</v>
      </c>
      <c r="D66" s="464" t="s">
        <v>270</v>
      </c>
      <c r="E66" s="450"/>
      <c r="F66" s="451"/>
    </row>
    <row r="67" spans="2:7" s="150" customFormat="1" x14ac:dyDescent="0.25">
      <c r="B67" s="193" t="s">
        <v>269</v>
      </c>
      <c r="C67" s="193" t="s">
        <v>268</v>
      </c>
      <c r="D67" s="464" t="s">
        <v>267</v>
      </c>
      <c r="E67" s="450"/>
      <c r="F67" s="451"/>
    </row>
    <row r="68" spans="2:7" s="150" customFormat="1" ht="15.95" customHeight="1" x14ac:dyDescent="0.25"/>
    <row r="69" spans="2:7" s="150" customFormat="1" x14ac:dyDescent="0.25">
      <c r="B69" s="446" t="s">
        <v>266</v>
      </c>
      <c r="C69" s="447"/>
      <c r="D69" s="447"/>
      <c r="E69" s="447"/>
      <c r="F69" s="448"/>
    </row>
    <row r="70" spans="2:7" s="150" customFormat="1" ht="17.45" customHeight="1" x14ac:dyDescent="0.25">
      <c r="B70" s="488"/>
      <c r="C70" s="489"/>
      <c r="D70" s="489"/>
      <c r="E70" s="489"/>
      <c r="F70" s="490"/>
    </row>
    <row r="71" spans="2:7" s="150" customFormat="1" ht="17.45" customHeight="1" x14ac:dyDescent="0.25"/>
    <row r="72" spans="2:7" s="150" customFormat="1" x14ac:dyDescent="0.25"/>
    <row r="73" spans="2:7" s="150" customFormat="1" x14ac:dyDescent="0.25">
      <c r="B73" s="149"/>
      <c r="C73" s="149"/>
      <c r="D73" s="149"/>
      <c r="E73" s="149"/>
      <c r="F73" s="149"/>
      <c r="G73" s="149"/>
    </row>
  </sheetData>
  <mergeCells count="62">
    <mergeCell ref="B37:F37"/>
    <mergeCell ref="B39:F39"/>
    <mergeCell ref="B40:F40"/>
    <mergeCell ref="B16:D16"/>
    <mergeCell ref="B29:F29"/>
    <mergeCell ref="B30:F30"/>
    <mergeCell ref="B19:D19"/>
    <mergeCell ref="B18:D18"/>
    <mergeCell ref="B17:D17"/>
    <mergeCell ref="B51:F51"/>
    <mergeCell ref="B2:F2"/>
    <mergeCell ref="B46:F46"/>
    <mergeCell ref="B47:F47"/>
    <mergeCell ref="B48:F48"/>
    <mergeCell ref="B49:F49"/>
    <mergeCell ref="B50:F50"/>
    <mergeCell ref="B41:F41"/>
    <mergeCell ref="B42:F42"/>
    <mergeCell ref="B43:F43"/>
    <mergeCell ref="B44:F44"/>
    <mergeCell ref="B45:F45"/>
    <mergeCell ref="B38:F38"/>
    <mergeCell ref="E17:F17"/>
    <mergeCell ref="E18:F18"/>
    <mergeCell ref="E19:F19"/>
    <mergeCell ref="C4:F4"/>
    <mergeCell ref="C5:F5"/>
    <mergeCell ref="C6:F6"/>
    <mergeCell ref="C7:F7"/>
    <mergeCell ref="C8:F8"/>
    <mergeCell ref="B64:F64"/>
    <mergeCell ref="D65:F65"/>
    <mergeCell ref="D66:F66"/>
    <mergeCell ref="C9:F9"/>
    <mergeCell ref="B24:F24"/>
    <mergeCell ref="B25:F25"/>
    <mergeCell ref="B26:F26"/>
    <mergeCell ref="B27:F27"/>
    <mergeCell ref="B11:F11"/>
    <mergeCell ref="B15:F15"/>
    <mergeCell ref="D12:F12"/>
    <mergeCell ref="D13:F13"/>
    <mergeCell ref="B13:C13"/>
    <mergeCell ref="B12:C12"/>
    <mergeCell ref="B32:F32"/>
    <mergeCell ref="E16:F16"/>
    <mergeCell ref="B69:F69"/>
    <mergeCell ref="B70:F70"/>
    <mergeCell ref="B20:D20"/>
    <mergeCell ref="E20:F20"/>
    <mergeCell ref="B33:F33"/>
    <mergeCell ref="B34:F34"/>
    <mergeCell ref="B35:F35"/>
    <mergeCell ref="B36:F36"/>
    <mergeCell ref="D67:F67"/>
    <mergeCell ref="B56:F56"/>
    <mergeCell ref="B61:F61"/>
    <mergeCell ref="B62:F62"/>
    <mergeCell ref="C59:F59"/>
    <mergeCell ref="C57:F58"/>
    <mergeCell ref="B54:F54"/>
    <mergeCell ref="B53:F53"/>
  </mergeCells>
  <dataValidations disablePrompts="1" count="2">
    <dataValidation type="list" allowBlank="1" showInputMessage="1" showErrorMessage="1" sqref="C66:C67">
      <formula1>"Académique, Professionnel, Associatif, Autre"</formula1>
    </dataValidation>
    <dataValidation type="list" allowBlank="1" showInputMessage="1" showErrorMessage="1" sqref="C4">
      <formula1>"Mise à jour à partir du plan d'études, Nouvelle création"</formula1>
    </dataValidation>
  </dataValidations>
  <hyperlinks>
    <hyperlink ref="B1" location="'Schéma d''enseignement'!G32" display="Schéma d'enseignement"/>
  </hyperlinks>
  <pageMargins left="0.7" right="0.7" top="0.75" bottom="0.75" header="0.3" footer="0.3"/>
  <pageSetup paperSize="9"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MK67"/>
  <sheetViews>
    <sheetView view="pageBreakPreview" zoomScale="102" zoomScaleNormal="130" zoomScaleSheetLayoutView="102" zoomScalePageLayoutView="130" workbookViewId="0">
      <selection activeCell="B1" sqref="B1"/>
    </sheetView>
  </sheetViews>
  <sheetFormatPr baseColWidth="10" defaultColWidth="9.140625" defaultRowHeight="15.75" x14ac:dyDescent="0.25"/>
  <cols>
    <col min="1" max="1" width="2.42578125" style="168" customWidth="1"/>
    <col min="2" max="2" width="26.85546875" style="168" customWidth="1"/>
    <col min="3" max="6" width="15.85546875" style="168" customWidth="1"/>
    <col min="7" max="7" width="10.85546875" style="168" customWidth="1"/>
    <col min="8" max="1025" width="9.140625" style="168"/>
    <col min="1026" max="16384" width="9.140625" style="167"/>
  </cols>
  <sheetData>
    <row r="1" spans="1:1024" x14ac:dyDescent="0.25">
      <c r="A1" s="167"/>
      <c r="B1" s="326" t="s">
        <v>692</v>
      </c>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c r="BN1" s="167"/>
      <c r="BO1" s="167"/>
      <c r="BP1" s="167"/>
      <c r="BQ1" s="167"/>
      <c r="BR1" s="167"/>
      <c r="BS1" s="167"/>
      <c r="BT1" s="167"/>
      <c r="BU1" s="167"/>
      <c r="BV1" s="167"/>
      <c r="BW1" s="167"/>
      <c r="BX1" s="167"/>
      <c r="BY1" s="167"/>
      <c r="BZ1" s="167"/>
      <c r="CA1" s="167"/>
      <c r="CB1" s="167"/>
      <c r="CC1" s="167"/>
      <c r="CD1" s="167"/>
      <c r="CE1" s="167"/>
      <c r="CF1" s="167"/>
      <c r="CG1" s="167"/>
      <c r="CH1" s="167"/>
      <c r="CI1" s="167"/>
      <c r="CJ1" s="167"/>
      <c r="CK1" s="167"/>
      <c r="CL1" s="167"/>
      <c r="CM1" s="167"/>
      <c r="CN1" s="167"/>
      <c r="CO1" s="167"/>
      <c r="CP1" s="167"/>
      <c r="CQ1" s="167"/>
      <c r="CR1" s="167"/>
      <c r="CS1" s="167"/>
      <c r="CT1" s="167"/>
      <c r="CU1" s="167"/>
      <c r="CV1" s="167"/>
      <c r="CW1" s="167"/>
      <c r="CX1" s="167"/>
      <c r="CY1" s="167"/>
      <c r="CZ1" s="167"/>
      <c r="DA1" s="167"/>
      <c r="DB1" s="167"/>
      <c r="DC1" s="167"/>
      <c r="DD1" s="167"/>
      <c r="DE1" s="167"/>
      <c r="DF1" s="167"/>
      <c r="DG1" s="167"/>
      <c r="DH1" s="167"/>
      <c r="DI1" s="167"/>
      <c r="DJ1" s="167"/>
      <c r="DK1" s="167"/>
      <c r="DL1" s="167"/>
      <c r="DM1" s="167"/>
      <c r="DN1" s="167"/>
      <c r="DO1" s="167"/>
      <c r="DP1" s="167"/>
      <c r="DQ1" s="167"/>
      <c r="DR1" s="167"/>
      <c r="DS1" s="167"/>
      <c r="DT1" s="167"/>
      <c r="DU1" s="167"/>
      <c r="DV1" s="167"/>
      <c r="DW1" s="167"/>
      <c r="DX1" s="167"/>
      <c r="DY1" s="167"/>
      <c r="DZ1" s="167"/>
      <c r="EA1" s="167"/>
      <c r="EB1" s="167"/>
      <c r="EC1" s="167"/>
      <c r="ED1" s="167"/>
      <c r="EE1" s="167"/>
      <c r="EF1" s="167"/>
      <c r="EG1" s="167"/>
      <c r="EH1" s="167"/>
      <c r="EI1" s="167"/>
      <c r="EJ1" s="167"/>
      <c r="EK1" s="167"/>
      <c r="EL1" s="167"/>
      <c r="EM1" s="167"/>
      <c r="EN1" s="167"/>
      <c r="EO1" s="167"/>
      <c r="EP1" s="167"/>
      <c r="EQ1" s="167"/>
      <c r="ER1" s="167"/>
      <c r="ES1" s="167"/>
      <c r="ET1" s="167"/>
      <c r="EU1" s="167"/>
      <c r="EV1" s="167"/>
      <c r="EW1" s="167"/>
      <c r="EX1" s="167"/>
      <c r="EY1" s="167"/>
      <c r="EZ1" s="167"/>
      <c r="FA1" s="167"/>
      <c r="FB1" s="167"/>
      <c r="FC1" s="167"/>
      <c r="FD1" s="167"/>
      <c r="FE1" s="167"/>
      <c r="FF1" s="167"/>
      <c r="FG1" s="167"/>
      <c r="FH1" s="167"/>
      <c r="FI1" s="167"/>
      <c r="FJ1" s="167"/>
      <c r="FK1" s="167"/>
      <c r="FL1" s="167"/>
      <c r="FM1" s="167"/>
      <c r="FN1" s="167"/>
      <c r="FO1" s="167"/>
      <c r="FP1" s="167"/>
      <c r="FQ1" s="167"/>
      <c r="FR1" s="167"/>
      <c r="FS1" s="167"/>
      <c r="FT1" s="167"/>
      <c r="FU1" s="167"/>
      <c r="FV1" s="167"/>
      <c r="FW1" s="167"/>
      <c r="FX1" s="167"/>
      <c r="FY1" s="167"/>
      <c r="FZ1" s="167"/>
      <c r="GA1" s="167"/>
      <c r="GB1" s="167"/>
      <c r="GC1" s="167"/>
      <c r="GD1" s="167"/>
      <c r="GE1" s="167"/>
      <c r="GF1" s="167"/>
      <c r="GG1" s="167"/>
      <c r="GH1" s="167"/>
      <c r="GI1" s="167"/>
      <c r="GJ1" s="167"/>
      <c r="GK1" s="167"/>
      <c r="GL1" s="167"/>
      <c r="GM1" s="167"/>
      <c r="GN1" s="167"/>
      <c r="GO1" s="167"/>
      <c r="GP1" s="167"/>
      <c r="GQ1" s="167"/>
      <c r="GR1" s="167"/>
      <c r="GS1" s="167"/>
      <c r="GT1" s="167"/>
      <c r="GU1" s="167"/>
      <c r="GV1" s="167"/>
      <c r="GW1" s="167"/>
      <c r="GX1" s="167"/>
      <c r="GY1" s="167"/>
      <c r="GZ1" s="167"/>
      <c r="HA1" s="167"/>
      <c r="HB1" s="167"/>
      <c r="HC1" s="167"/>
      <c r="HD1" s="167"/>
      <c r="HE1" s="167"/>
      <c r="HF1" s="167"/>
      <c r="HG1" s="167"/>
      <c r="HH1" s="167"/>
      <c r="HI1" s="167"/>
      <c r="HJ1" s="167"/>
      <c r="HK1" s="167"/>
      <c r="HL1" s="167"/>
      <c r="HM1" s="167"/>
      <c r="HN1" s="167"/>
      <c r="HO1" s="167"/>
      <c r="HP1" s="167"/>
      <c r="HQ1" s="167"/>
      <c r="HR1" s="167"/>
      <c r="HS1" s="167"/>
      <c r="HT1" s="167"/>
      <c r="HU1" s="167"/>
      <c r="HV1" s="167"/>
      <c r="HW1" s="167"/>
      <c r="HX1" s="167"/>
      <c r="HY1" s="167"/>
      <c r="HZ1" s="167"/>
      <c r="IA1" s="167"/>
      <c r="IB1" s="167"/>
      <c r="IC1" s="167"/>
      <c r="ID1" s="167"/>
      <c r="IE1" s="167"/>
      <c r="IF1" s="167"/>
      <c r="IG1" s="167"/>
      <c r="IH1" s="167"/>
      <c r="II1" s="167"/>
      <c r="IJ1" s="167"/>
      <c r="IK1" s="167"/>
      <c r="IL1" s="167"/>
      <c r="IM1" s="167"/>
      <c r="IN1" s="167"/>
      <c r="IO1" s="167"/>
      <c r="IP1" s="167"/>
      <c r="IQ1" s="167"/>
      <c r="IR1" s="167"/>
      <c r="IS1" s="167"/>
      <c r="IT1" s="167"/>
      <c r="IU1" s="167"/>
      <c r="IV1" s="167"/>
      <c r="IW1" s="167"/>
      <c r="IX1" s="167"/>
      <c r="IY1" s="167"/>
      <c r="IZ1" s="167"/>
      <c r="JA1" s="167"/>
      <c r="JB1" s="167"/>
      <c r="JC1" s="167"/>
      <c r="JD1" s="167"/>
      <c r="JE1" s="167"/>
      <c r="JF1" s="167"/>
      <c r="JG1" s="167"/>
      <c r="JH1" s="167"/>
      <c r="JI1" s="167"/>
      <c r="JJ1" s="167"/>
      <c r="JK1" s="167"/>
      <c r="JL1" s="167"/>
      <c r="JM1" s="167"/>
      <c r="JN1" s="167"/>
      <c r="JO1" s="167"/>
      <c r="JP1" s="167"/>
      <c r="JQ1" s="167"/>
      <c r="JR1" s="167"/>
      <c r="JS1" s="167"/>
      <c r="JT1" s="167"/>
      <c r="JU1" s="167"/>
      <c r="JV1" s="167"/>
      <c r="JW1" s="167"/>
      <c r="JX1" s="167"/>
      <c r="JY1" s="167"/>
      <c r="JZ1" s="167"/>
      <c r="KA1" s="167"/>
      <c r="KB1" s="167"/>
      <c r="KC1" s="167"/>
      <c r="KD1" s="167"/>
      <c r="KE1" s="167"/>
      <c r="KF1" s="167"/>
      <c r="KG1" s="167"/>
      <c r="KH1" s="167"/>
      <c r="KI1" s="167"/>
      <c r="KJ1" s="167"/>
      <c r="KK1" s="167"/>
      <c r="KL1" s="167"/>
      <c r="KM1" s="167"/>
      <c r="KN1" s="167"/>
      <c r="KO1" s="167"/>
      <c r="KP1" s="167"/>
      <c r="KQ1" s="167"/>
      <c r="KR1" s="167"/>
      <c r="KS1" s="167"/>
      <c r="KT1" s="167"/>
      <c r="KU1" s="167"/>
      <c r="KV1" s="167"/>
      <c r="KW1" s="167"/>
      <c r="KX1" s="167"/>
      <c r="KY1" s="167"/>
      <c r="KZ1" s="167"/>
      <c r="LA1" s="167"/>
      <c r="LB1" s="167"/>
      <c r="LC1" s="167"/>
      <c r="LD1" s="167"/>
      <c r="LE1" s="167"/>
      <c r="LF1" s="167"/>
      <c r="LG1" s="167"/>
      <c r="LH1" s="167"/>
      <c r="LI1" s="167"/>
      <c r="LJ1" s="167"/>
      <c r="LK1" s="167"/>
      <c r="LL1" s="167"/>
      <c r="LM1" s="167"/>
      <c r="LN1" s="167"/>
      <c r="LO1" s="167"/>
      <c r="LP1" s="167"/>
      <c r="LQ1" s="167"/>
      <c r="LR1" s="167"/>
      <c r="LS1" s="167"/>
      <c r="LT1" s="167"/>
      <c r="LU1" s="167"/>
      <c r="LV1" s="167"/>
      <c r="LW1" s="167"/>
      <c r="LX1" s="167"/>
      <c r="LY1" s="167"/>
      <c r="LZ1" s="167"/>
      <c r="MA1" s="167"/>
      <c r="MB1" s="167"/>
      <c r="MC1" s="167"/>
      <c r="MD1" s="167"/>
      <c r="ME1" s="167"/>
      <c r="MF1" s="167"/>
      <c r="MG1" s="167"/>
      <c r="MH1" s="167"/>
      <c r="MI1" s="167"/>
      <c r="MJ1" s="167"/>
      <c r="MK1" s="167"/>
      <c r="ML1" s="167"/>
      <c r="MM1" s="167"/>
      <c r="MN1" s="167"/>
      <c r="MO1" s="167"/>
      <c r="MP1" s="167"/>
      <c r="MQ1" s="167"/>
      <c r="MR1" s="167"/>
      <c r="MS1" s="167"/>
      <c r="MT1" s="167"/>
      <c r="MU1" s="167"/>
      <c r="MV1" s="167"/>
      <c r="MW1" s="167"/>
      <c r="MX1" s="167"/>
      <c r="MY1" s="167"/>
      <c r="MZ1" s="167"/>
      <c r="NA1" s="167"/>
      <c r="NB1" s="167"/>
      <c r="NC1" s="167"/>
      <c r="ND1" s="167"/>
      <c r="NE1" s="167"/>
      <c r="NF1" s="167"/>
      <c r="NG1" s="167"/>
      <c r="NH1" s="167"/>
      <c r="NI1" s="167"/>
      <c r="NJ1" s="167"/>
      <c r="NK1" s="167"/>
      <c r="NL1" s="167"/>
      <c r="NM1" s="167"/>
      <c r="NN1" s="167"/>
      <c r="NO1" s="167"/>
      <c r="NP1" s="167"/>
      <c r="NQ1" s="167"/>
      <c r="NR1" s="167"/>
      <c r="NS1" s="167"/>
      <c r="NT1" s="167"/>
      <c r="NU1" s="167"/>
      <c r="NV1" s="167"/>
      <c r="NW1" s="167"/>
      <c r="NX1" s="167"/>
      <c r="NY1" s="167"/>
      <c r="NZ1" s="167"/>
      <c r="OA1" s="167"/>
      <c r="OB1" s="167"/>
      <c r="OC1" s="167"/>
      <c r="OD1" s="167"/>
      <c r="OE1" s="167"/>
      <c r="OF1" s="167"/>
      <c r="OG1" s="167"/>
      <c r="OH1" s="167"/>
      <c r="OI1" s="167"/>
      <c r="OJ1" s="167"/>
      <c r="OK1" s="167"/>
      <c r="OL1" s="167"/>
      <c r="OM1" s="167"/>
      <c r="ON1" s="167"/>
      <c r="OO1" s="167"/>
      <c r="OP1" s="167"/>
      <c r="OQ1" s="167"/>
      <c r="OR1" s="167"/>
      <c r="OS1" s="167"/>
      <c r="OT1" s="167"/>
      <c r="OU1" s="167"/>
      <c r="OV1" s="167"/>
      <c r="OW1" s="167"/>
      <c r="OX1" s="167"/>
      <c r="OY1" s="167"/>
      <c r="OZ1" s="167"/>
      <c r="PA1" s="167"/>
      <c r="PB1" s="167"/>
      <c r="PC1" s="167"/>
      <c r="PD1" s="167"/>
      <c r="PE1" s="167"/>
      <c r="PF1" s="167"/>
      <c r="PG1" s="167"/>
      <c r="PH1" s="167"/>
      <c r="PI1" s="167"/>
      <c r="PJ1" s="167"/>
      <c r="PK1" s="167"/>
      <c r="PL1" s="167"/>
      <c r="PM1" s="167"/>
      <c r="PN1" s="167"/>
      <c r="PO1" s="167"/>
      <c r="PP1" s="167"/>
      <c r="PQ1" s="167"/>
      <c r="PR1" s="167"/>
      <c r="PS1" s="167"/>
      <c r="PT1" s="167"/>
      <c r="PU1" s="167"/>
      <c r="PV1" s="167"/>
      <c r="PW1" s="167"/>
      <c r="PX1" s="167"/>
      <c r="PY1" s="167"/>
      <c r="PZ1" s="167"/>
      <c r="QA1" s="167"/>
      <c r="QB1" s="167"/>
      <c r="QC1" s="167"/>
      <c r="QD1" s="167"/>
      <c r="QE1" s="167"/>
      <c r="QF1" s="167"/>
      <c r="QG1" s="167"/>
      <c r="QH1" s="167"/>
      <c r="QI1" s="167"/>
      <c r="QJ1" s="167"/>
      <c r="QK1" s="167"/>
      <c r="QL1" s="167"/>
      <c r="QM1" s="167"/>
      <c r="QN1" s="167"/>
      <c r="QO1" s="167"/>
      <c r="QP1" s="167"/>
      <c r="QQ1" s="167"/>
      <c r="QR1" s="167"/>
      <c r="QS1" s="167"/>
      <c r="QT1" s="167"/>
      <c r="QU1" s="167"/>
      <c r="QV1" s="167"/>
      <c r="QW1" s="167"/>
      <c r="QX1" s="167"/>
      <c r="QY1" s="167"/>
      <c r="QZ1" s="167"/>
      <c r="RA1" s="167"/>
      <c r="RB1" s="167"/>
      <c r="RC1" s="167"/>
      <c r="RD1" s="167"/>
      <c r="RE1" s="167"/>
      <c r="RF1" s="167"/>
      <c r="RG1" s="167"/>
      <c r="RH1" s="167"/>
      <c r="RI1" s="167"/>
      <c r="RJ1" s="167"/>
      <c r="RK1" s="167"/>
      <c r="RL1" s="167"/>
      <c r="RM1" s="167"/>
      <c r="RN1" s="167"/>
      <c r="RO1" s="167"/>
      <c r="RP1" s="167"/>
      <c r="RQ1" s="167"/>
      <c r="RR1" s="167"/>
      <c r="RS1" s="167"/>
      <c r="RT1" s="167"/>
      <c r="RU1" s="167"/>
      <c r="RV1" s="167"/>
      <c r="RW1" s="167"/>
      <c r="RX1" s="167"/>
      <c r="RY1" s="167"/>
      <c r="RZ1" s="167"/>
      <c r="SA1" s="167"/>
      <c r="SB1" s="167"/>
      <c r="SC1" s="167"/>
      <c r="SD1" s="167"/>
      <c r="SE1" s="167"/>
      <c r="SF1" s="167"/>
      <c r="SG1" s="167"/>
      <c r="SH1" s="167"/>
      <c r="SI1" s="167"/>
      <c r="SJ1" s="167"/>
      <c r="SK1" s="167"/>
      <c r="SL1" s="167"/>
      <c r="SM1" s="167"/>
      <c r="SN1" s="167"/>
      <c r="SO1" s="167"/>
      <c r="SP1" s="167"/>
      <c r="SQ1" s="167"/>
      <c r="SR1" s="167"/>
      <c r="SS1" s="167"/>
      <c r="ST1" s="167"/>
      <c r="SU1" s="167"/>
      <c r="SV1" s="167"/>
      <c r="SW1" s="167"/>
      <c r="SX1" s="167"/>
      <c r="SY1" s="167"/>
      <c r="SZ1" s="167"/>
      <c r="TA1" s="167"/>
      <c r="TB1" s="167"/>
      <c r="TC1" s="167"/>
      <c r="TD1" s="167"/>
      <c r="TE1" s="167"/>
      <c r="TF1" s="167"/>
      <c r="TG1" s="167"/>
      <c r="TH1" s="167"/>
      <c r="TI1" s="167"/>
      <c r="TJ1" s="167"/>
      <c r="TK1" s="167"/>
      <c r="TL1" s="167"/>
      <c r="TM1" s="167"/>
      <c r="TN1" s="167"/>
      <c r="TO1" s="167"/>
      <c r="TP1" s="167"/>
      <c r="TQ1" s="167"/>
      <c r="TR1" s="167"/>
      <c r="TS1" s="167"/>
      <c r="TT1" s="167"/>
      <c r="TU1" s="167"/>
      <c r="TV1" s="167"/>
      <c r="TW1" s="167"/>
      <c r="TX1" s="167"/>
      <c r="TY1" s="167"/>
      <c r="TZ1" s="167"/>
      <c r="UA1" s="167"/>
      <c r="UB1" s="167"/>
      <c r="UC1" s="167"/>
      <c r="UD1" s="167"/>
      <c r="UE1" s="167"/>
      <c r="UF1" s="167"/>
      <c r="UG1" s="167"/>
      <c r="UH1" s="167"/>
      <c r="UI1" s="167"/>
      <c r="UJ1" s="167"/>
      <c r="UK1" s="167"/>
      <c r="UL1" s="167"/>
      <c r="UM1" s="167"/>
      <c r="UN1" s="167"/>
      <c r="UO1" s="167"/>
      <c r="UP1" s="167"/>
      <c r="UQ1" s="167"/>
      <c r="UR1" s="167"/>
      <c r="US1" s="167"/>
      <c r="UT1" s="167"/>
      <c r="UU1" s="167"/>
      <c r="UV1" s="167"/>
      <c r="UW1" s="167"/>
      <c r="UX1" s="167"/>
      <c r="UY1" s="167"/>
      <c r="UZ1" s="167"/>
      <c r="VA1" s="167"/>
      <c r="VB1" s="167"/>
      <c r="VC1" s="167"/>
      <c r="VD1" s="167"/>
      <c r="VE1" s="167"/>
      <c r="VF1" s="167"/>
      <c r="VG1" s="167"/>
      <c r="VH1" s="167"/>
      <c r="VI1" s="167"/>
      <c r="VJ1" s="167"/>
      <c r="VK1" s="167"/>
      <c r="VL1" s="167"/>
      <c r="VM1" s="167"/>
      <c r="VN1" s="167"/>
      <c r="VO1" s="167"/>
      <c r="VP1" s="167"/>
      <c r="VQ1" s="167"/>
      <c r="VR1" s="167"/>
      <c r="VS1" s="167"/>
      <c r="VT1" s="167"/>
      <c r="VU1" s="167"/>
      <c r="VV1" s="167"/>
      <c r="VW1" s="167"/>
      <c r="VX1" s="167"/>
      <c r="VY1" s="167"/>
      <c r="VZ1" s="167"/>
      <c r="WA1" s="167"/>
      <c r="WB1" s="167"/>
      <c r="WC1" s="167"/>
      <c r="WD1" s="167"/>
      <c r="WE1" s="167"/>
      <c r="WF1" s="167"/>
      <c r="WG1" s="167"/>
      <c r="WH1" s="167"/>
      <c r="WI1" s="167"/>
      <c r="WJ1" s="167"/>
      <c r="WK1" s="167"/>
      <c r="WL1" s="167"/>
      <c r="WM1" s="167"/>
      <c r="WN1" s="167"/>
      <c r="WO1" s="167"/>
      <c r="WP1" s="167"/>
      <c r="WQ1" s="167"/>
      <c r="WR1" s="167"/>
      <c r="WS1" s="167"/>
      <c r="WT1" s="167"/>
      <c r="WU1" s="167"/>
      <c r="WV1" s="167"/>
      <c r="WW1" s="167"/>
      <c r="WX1" s="167"/>
      <c r="WY1" s="167"/>
      <c r="WZ1" s="167"/>
      <c r="XA1" s="167"/>
      <c r="XB1" s="167"/>
      <c r="XC1" s="167"/>
      <c r="XD1" s="167"/>
      <c r="XE1" s="167"/>
      <c r="XF1" s="167"/>
      <c r="XG1" s="167"/>
      <c r="XH1" s="167"/>
      <c r="XI1" s="167"/>
      <c r="XJ1" s="167"/>
      <c r="XK1" s="167"/>
      <c r="XL1" s="167"/>
      <c r="XM1" s="167"/>
      <c r="XN1" s="167"/>
      <c r="XO1" s="167"/>
      <c r="XP1" s="167"/>
      <c r="XQ1" s="167"/>
      <c r="XR1" s="167"/>
      <c r="XS1" s="167"/>
      <c r="XT1" s="167"/>
      <c r="XU1" s="167"/>
      <c r="XV1" s="167"/>
      <c r="XW1" s="167"/>
      <c r="XX1" s="167"/>
      <c r="XY1" s="167"/>
      <c r="XZ1" s="167"/>
      <c r="YA1" s="167"/>
      <c r="YB1" s="167"/>
      <c r="YC1" s="167"/>
      <c r="YD1" s="167"/>
      <c r="YE1" s="167"/>
      <c r="YF1" s="167"/>
      <c r="YG1" s="167"/>
      <c r="YH1" s="167"/>
      <c r="YI1" s="167"/>
      <c r="YJ1" s="167"/>
      <c r="YK1" s="167"/>
      <c r="YL1" s="167"/>
      <c r="YM1" s="167"/>
      <c r="YN1" s="167"/>
      <c r="YO1" s="167"/>
      <c r="YP1" s="167"/>
      <c r="YQ1" s="167"/>
      <c r="YR1" s="167"/>
      <c r="YS1" s="167"/>
      <c r="YT1" s="167"/>
      <c r="YU1" s="167"/>
      <c r="YV1" s="167"/>
      <c r="YW1" s="167"/>
      <c r="YX1" s="167"/>
      <c r="YY1" s="167"/>
      <c r="YZ1" s="167"/>
      <c r="ZA1" s="167"/>
      <c r="ZB1" s="167"/>
      <c r="ZC1" s="167"/>
      <c r="ZD1" s="167"/>
      <c r="ZE1" s="167"/>
      <c r="ZF1" s="167"/>
      <c r="ZG1" s="167"/>
      <c r="ZH1" s="167"/>
      <c r="ZI1" s="167"/>
      <c r="ZJ1" s="167"/>
      <c r="ZK1" s="167"/>
      <c r="ZL1" s="167"/>
      <c r="ZM1" s="167"/>
      <c r="ZN1" s="167"/>
      <c r="ZO1" s="167"/>
      <c r="ZP1" s="167"/>
      <c r="ZQ1" s="167"/>
      <c r="ZR1" s="167"/>
      <c r="ZS1" s="167"/>
      <c r="ZT1" s="167"/>
      <c r="ZU1" s="167"/>
      <c r="ZV1" s="167"/>
      <c r="ZW1" s="167"/>
      <c r="ZX1" s="167"/>
      <c r="ZY1" s="167"/>
      <c r="ZZ1" s="167"/>
      <c r="AAA1" s="167"/>
      <c r="AAB1" s="167"/>
      <c r="AAC1" s="167"/>
      <c r="AAD1" s="167"/>
      <c r="AAE1" s="167"/>
      <c r="AAF1" s="167"/>
      <c r="AAG1" s="167"/>
      <c r="AAH1" s="167"/>
      <c r="AAI1" s="167"/>
      <c r="AAJ1" s="167"/>
      <c r="AAK1" s="167"/>
      <c r="AAL1" s="167"/>
      <c r="AAM1" s="167"/>
      <c r="AAN1" s="167"/>
      <c r="AAO1" s="167"/>
      <c r="AAP1" s="167"/>
      <c r="AAQ1" s="167"/>
      <c r="AAR1" s="167"/>
      <c r="AAS1" s="167"/>
      <c r="AAT1" s="167"/>
      <c r="AAU1" s="167"/>
      <c r="AAV1" s="167"/>
      <c r="AAW1" s="167"/>
      <c r="AAX1" s="167"/>
      <c r="AAY1" s="167"/>
      <c r="AAZ1" s="167"/>
      <c r="ABA1" s="167"/>
      <c r="ABB1" s="167"/>
      <c r="ABC1" s="167"/>
      <c r="ABD1" s="167"/>
      <c r="ABE1" s="167"/>
      <c r="ABF1" s="167"/>
      <c r="ABG1" s="167"/>
      <c r="ABH1" s="167"/>
      <c r="ABI1" s="167"/>
      <c r="ABJ1" s="167"/>
      <c r="ABK1" s="167"/>
      <c r="ABL1" s="167"/>
      <c r="ABM1" s="167"/>
      <c r="ABN1" s="167"/>
      <c r="ABO1" s="167"/>
      <c r="ABP1" s="167"/>
      <c r="ABQ1" s="167"/>
      <c r="ABR1" s="167"/>
      <c r="ABS1" s="167"/>
      <c r="ABT1" s="167"/>
      <c r="ABU1" s="167"/>
      <c r="ABV1" s="167"/>
      <c r="ABW1" s="167"/>
      <c r="ABX1" s="167"/>
      <c r="ABY1" s="167"/>
      <c r="ABZ1" s="167"/>
      <c r="ACA1" s="167"/>
      <c r="ACB1" s="167"/>
      <c r="ACC1" s="167"/>
      <c r="ACD1" s="167"/>
      <c r="ACE1" s="167"/>
      <c r="ACF1" s="167"/>
      <c r="ACG1" s="167"/>
      <c r="ACH1" s="167"/>
      <c r="ACI1" s="167"/>
      <c r="ACJ1" s="167"/>
      <c r="ACK1" s="167"/>
      <c r="ACL1" s="167"/>
      <c r="ACM1" s="167"/>
      <c r="ACN1" s="167"/>
      <c r="ACO1" s="167"/>
      <c r="ACP1" s="167"/>
      <c r="ACQ1" s="167"/>
      <c r="ACR1" s="167"/>
      <c r="ACS1" s="167"/>
      <c r="ACT1" s="167"/>
      <c r="ACU1" s="167"/>
      <c r="ACV1" s="167"/>
      <c r="ACW1" s="167"/>
      <c r="ACX1" s="167"/>
      <c r="ACY1" s="167"/>
      <c r="ACZ1" s="167"/>
      <c r="ADA1" s="167"/>
      <c r="ADB1" s="167"/>
      <c r="ADC1" s="167"/>
      <c r="ADD1" s="167"/>
      <c r="ADE1" s="167"/>
      <c r="ADF1" s="167"/>
      <c r="ADG1" s="167"/>
      <c r="ADH1" s="167"/>
      <c r="ADI1" s="167"/>
      <c r="ADJ1" s="167"/>
      <c r="ADK1" s="167"/>
      <c r="ADL1" s="167"/>
      <c r="ADM1" s="167"/>
      <c r="ADN1" s="167"/>
      <c r="ADO1" s="167"/>
      <c r="ADP1" s="167"/>
      <c r="ADQ1" s="167"/>
      <c r="ADR1" s="167"/>
      <c r="ADS1" s="167"/>
      <c r="ADT1" s="167"/>
      <c r="ADU1" s="167"/>
      <c r="ADV1" s="167"/>
      <c r="ADW1" s="167"/>
      <c r="ADX1" s="167"/>
      <c r="ADY1" s="167"/>
      <c r="ADZ1" s="167"/>
      <c r="AEA1" s="167"/>
      <c r="AEB1" s="167"/>
      <c r="AEC1" s="167"/>
      <c r="AED1" s="167"/>
      <c r="AEE1" s="167"/>
      <c r="AEF1" s="167"/>
      <c r="AEG1" s="167"/>
      <c r="AEH1" s="167"/>
      <c r="AEI1" s="167"/>
      <c r="AEJ1" s="167"/>
      <c r="AEK1" s="167"/>
      <c r="AEL1" s="167"/>
      <c r="AEM1" s="167"/>
      <c r="AEN1" s="167"/>
      <c r="AEO1" s="167"/>
      <c r="AEP1" s="167"/>
      <c r="AEQ1" s="167"/>
      <c r="AER1" s="167"/>
      <c r="AES1" s="167"/>
      <c r="AET1" s="167"/>
      <c r="AEU1" s="167"/>
      <c r="AEV1" s="167"/>
      <c r="AEW1" s="167"/>
      <c r="AEX1" s="167"/>
      <c r="AEY1" s="167"/>
      <c r="AEZ1" s="167"/>
      <c r="AFA1" s="167"/>
      <c r="AFB1" s="167"/>
      <c r="AFC1" s="167"/>
      <c r="AFD1" s="167"/>
      <c r="AFE1" s="167"/>
      <c r="AFF1" s="167"/>
      <c r="AFG1" s="167"/>
      <c r="AFH1" s="167"/>
      <c r="AFI1" s="167"/>
      <c r="AFJ1" s="167"/>
      <c r="AFK1" s="167"/>
      <c r="AFL1" s="167"/>
      <c r="AFM1" s="167"/>
      <c r="AFN1" s="167"/>
      <c r="AFO1" s="167"/>
      <c r="AFP1" s="167"/>
      <c r="AFQ1" s="167"/>
      <c r="AFR1" s="167"/>
      <c r="AFS1" s="167"/>
      <c r="AFT1" s="167"/>
      <c r="AFU1" s="167"/>
      <c r="AFV1" s="167"/>
      <c r="AFW1" s="167"/>
      <c r="AFX1" s="167"/>
      <c r="AFY1" s="167"/>
      <c r="AFZ1" s="167"/>
      <c r="AGA1" s="167"/>
      <c r="AGB1" s="167"/>
      <c r="AGC1" s="167"/>
      <c r="AGD1" s="167"/>
      <c r="AGE1" s="167"/>
      <c r="AGF1" s="167"/>
      <c r="AGG1" s="167"/>
      <c r="AGH1" s="167"/>
      <c r="AGI1" s="167"/>
      <c r="AGJ1" s="167"/>
      <c r="AGK1" s="167"/>
      <c r="AGL1" s="167"/>
      <c r="AGM1" s="167"/>
      <c r="AGN1" s="167"/>
      <c r="AGO1" s="167"/>
      <c r="AGP1" s="167"/>
      <c r="AGQ1" s="167"/>
      <c r="AGR1" s="167"/>
      <c r="AGS1" s="167"/>
      <c r="AGT1" s="167"/>
      <c r="AGU1" s="167"/>
      <c r="AGV1" s="167"/>
      <c r="AGW1" s="167"/>
      <c r="AGX1" s="167"/>
      <c r="AGY1" s="167"/>
      <c r="AGZ1" s="167"/>
      <c r="AHA1" s="167"/>
      <c r="AHB1" s="167"/>
      <c r="AHC1" s="167"/>
      <c r="AHD1" s="167"/>
      <c r="AHE1" s="167"/>
      <c r="AHF1" s="167"/>
      <c r="AHG1" s="167"/>
      <c r="AHH1" s="167"/>
      <c r="AHI1" s="167"/>
      <c r="AHJ1" s="167"/>
      <c r="AHK1" s="167"/>
      <c r="AHL1" s="167"/>
      <c r="AHM1" s="167"/>
      <c r="AHN1" s="167"/>
      <c r="AHO1" s="167"/>
      <c r="AHP1" s="167"/>
      <c r="AHQ1" s="167"/>
      <c r="AHR1" s="167"/>
      <c r="AHS1" s="167"/>
      <c r="AHT1" s="167"/>
      <c r="AHU1" s="167"/>
      <c r="AHV1" s="167"/>
      <c r="AHW1" s="167"/>
      <c r="AHX1" s="167"/>
      <c r="AHY1" s="167"/>
      <c r="AHZ1" s="167"/>
      <c r="AIA1" s="167"/>
      <c r="AIB1" s="167"/>
      <c r="AIC1" s="167"/>
      <c r="AID1" s="167"/>
      <c r="AIE1" s="167"/>
      <c r="AIF1" s="167"/>
      <c r="AIG1" s="167"/>
      <c r="AIH1" s="167"/>
      <c r="AII1" s="167"/>
      <c r="AIJ1" s="167"/>
      <c r="AIK1" s="167"/>
      <c r="AIL1" s="167"/>
      <c r="AIM1" s="167"/>
      <c r="AIN1" s="167"/>
      <c r="AIO1" s="167"/>
      <c r="AIP1" s="167"/>
      <c r="AIQ1" s="167"/>
      <c r="AIR1" s="167"/>
      <c r="AIS1" s="167"/>
      <c r="AIT1" s="167"/>
      <c r="AIU1" s="167"/>
      <c r="AIV1" s="167"/>
      <c r="AIW1" s="167"/>
      <c r="AIX1" s="167"/>
      <c r="AIY1" s="167"/>
      <c r="AIZ1" s="167"/>
      <c r="AJA1" s="167"/>
      <c r="AJB1" s="167"/>
      <c r="AJC1" s="167"/>
      <c r="AJD1" s="167"/>
      <c r="AJE1" s="167"/>
      <c r="AJF1" s="167"/>
      <c r="AJG1" s="167"/>
      <c r="AJH1" s="167"/>
      <c r="AJI1" s="167"/>
      <c r="AJJ1" s="167"/>
      <c r="AJK1" s="167"/>
      <c r="AJL1" s="167"/>
      <c r="AJM1" s="167"/>
      <c r="AJN1" s="167"/>
      <c r="AJO1" s="167"/>
      <c r="AJP1" s="167"/>
      <c r="AJQ1" s="167"/>
      <c r="AJR1" s="167"/>
      <c r="AJS1" s="167"/>
      <c r="AJT1" s="167"/>
      <c r="AJU1" s="167"/>
      <c r="AJV1" s="167"/>
      <c r="AJW1" s="167"/>
      <c r="AJX1" s="167"/>
      <c r="AJY1" s="167"/>
      <c r="AJZ1" s="167"/>
      <c r="AKA1" s="167"/>
      <c r="AKB1" s="167"/>
      <c r="AKC1" s="167"/>
      <c r="AKD1" s="167"/>
      <c r="AKE1" s="167"/>
      <c r="AKF1" s="167"/>
      <c r="AKG1" s="167"/>
      <c r="AKH1" s="167"/>
      <c r="AKI1" s="167"/>
      <c r="AKJ1" s="167"/>
      <c r="AKK1" s="167"/>
      <c r="AKL1" s="167"/>
      <c r="AKM1" s="167"/>
      <c r="AKN1" s="167"/>
      <c r="AKO1" s="167"/>
      <c r="AKP1" s="167"/>
      <c r="AKQ1" s="167"/>
      <c r="AKR1" s="167"/>
      <c r="AKS1" s="167"/>
      <c r="AKT1" s="167"/>
      <c r="AKU1" s="167"/>
      <c r="AKV1" s="167"/>
      <c r="AKW1" s="167"/>
      <c r="AKX1" s="167"/>
      <c r="AKY1" s="167"/>
      <c r="AKZ1" s="167"/>
      <c r="ALA1" s="167"/>
      <c r="ALB1" s="167"/>
      <c r="ALC1" s="167"/>
      <c r="ALD1" s="167"/>
      <c r="ALE1" s="167"/>
      <c r="ALF1" s="167"/>
      <c r="ALG1" s="167"/>
      <c r="ALH1" s="167"/>
      <c r="ALI1" s="167"/>
      <c r="ALJ1" s="167"/>
      <c r="ALK1" s="167"/>
      <c r="ALL1" s="167"/>
      <c r="ALM1" s="167"/>
      <c r="ALN1" s="167"/>
      <c r="ALO1" s="167"/>
      <c r="ALP1" s="167"/>
      <c r="ALQ1" s="167"/>
      <c r="ALR1" s="167"/>
      <c r="ALS1" s="167"/>
      <c r="ALT1" s="167"/>
      <c r="ALU1" s="167"/>
      <c r="ALV1" s="167"/>
      <c r="ALW1" s="167"/>
      <c r="ALX1" s="167"/>
      <c r="ALY1" s="167"/>
      <c r="ALZ1" s="167"/>
      <c r="AMA1" s="167"/>
      <c r="AMB1" s="167"/>
      <c r="AMC1" s="167"/>
      <c r="AMD1" s="167"/>
      <c r="AME1" s="167"/>
      <c r="AMF1" s="167"/>
      <c r="AMG1" s="167"/>
      <c r="AMH1" s="167"/>
      <c r="AMI1" s="167"/>
      <c r="AMJ1" s="167"/>
    </row>
    <row r="2" spans="1:1024" ht="22.35" customHeight="1" x14ac:dyDescent="0.25">
      <c r="A2" s="167"/>
      <c r="B2" s="599" t="s">
        <v>344</v>
      </c>
      <c r="C2" s="599"/>
      <c r="D2" s="599"/>
      <c r="E2" s="599"/>
      <c r="F2" s="599"/>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c r="BY2" s="167"/>
      <c r="BZ2" s="167"/>
      <c r="CA2" s="167"/>
      <c r="CB2" s="167"/>
      <c r="CC2" s="167"/>
      <c r="CD2" s="167"/>
      <c r="CE2" s="167"/>
      <c r="CF2" s="167"/>
      <c r="CG2" s="167"/>
      <c r="CH2" s="167"/>
      <c r="CI2" s="167"/>
      <c r="CJ2" s="167"/>
      <c r="CK2" s="167"/>
      <c r="CL2" s="167"/>
      <c r="CM2" s="167"/>
      <c r="CN2" s="167"/>
      <c r="CO2" s="167"/>
      <c r="CP2" s="167"/>
      <c r="CQ2" s="167"/>
      <c r="CR2" s="167"/>
      <c r="CS2" s="167"/>
      <c r="CT2" s="167"/>
      <c r="CU2" s="167"/>
      <c r="CV2" s="167"/>
      <c r="CW2" s="167"/>
      <c r="CX2" s="167"/>
      <c r="CY2" s="167"/>
      <c r="CZ2" s="167"/>
      <c r="DA2" s="167"/>
      <c r="DB2" s="167"/>
      <c r="DC2" s="167"/>
      <c r="DD2" s="167"/>
      <c r="DE2" s="167"/>
      <c r="DF2" s="167"/>
      <c r="DG2" s="167"/>
      <c r="DH2" s="167"/>
      <c r="DI2" s="167"/>
      <c r="DJ2" s="167"/>
      <c r="DK2" s="167"/>
      <c r="DL2" s="167"/>
      <c r="DM2" s="167"/>
      <c r="DN2" s="167"/>
      <c r="DO2" s="167"/>
      <c r="DP2" s="167"/>
      <c r="DQ2" s="167"/>
      <c r="DR2" s="167"/>
      <c r="DS2" s="167"/>
      <c r="DT2" s="167"/>
      <c r="DU2" s="167"/>
      <c r="DV2" s="167"/>
      <c r="DW2" s="167"/>
      <c r="DX2" s="167"/>
      <c r="DY2" s="167"/>
      <c r="DZ2" s="167"/>
      <c r="EA2" s="167"/>
      <c r="EB2" s="167"/>
      <c r="EC2" s="167"/>
      <c r="ED2" s="167"/>
      <c r="EE2" s="167"/>
      <c r="EF2" s="167"/>
      <c r="EG2" s="167"/>
      <c r="EH2" s="167"/>
      <c r="EI2" s="167"/>
      <c r="EJ2" s="167"/>
      <c r="EK2" s="167"/>
      <c r="EL2" s="167"/>
      <c r="EM2" s="167"/>
      <c r="EN2" s="167"/>
      <c r="EO2" s="167"/>
      <c r="EP2" s="167"/>
      <c r="EQ2" s="167"/>
      <c r="ER2" s="167"/>
      <c r="ES2" s="167"/>
      <c r="ET2" s="167"/>
      <c r="EU2" s="167"/>
      <c r="EV2" s="167"/>
      <c r="EW2" s="167"/>
      <c r="EX2" s="167"/>
      <c r="EY2" s="167"/>
      <c r="EZ2" s="167"/>
      <c r="FA2" s="167"/>
      <c r="FB2" s="167"/>
      <c r="FC2" s="167"/>
      <c r="FD2" s="167"/>
      <c r="FE2" s="167"/>
      <c r="FF2" s="167"/>
      <c r="FG2" s="167"/>
      <c r="FH2" s="167"/>
      <c r="FI2" s="167"/>
      <c r="FJ2" s="167"/>
      <c r="FK2" s="167"/>
      <c r="FL2" s="167"/>
      <c r="FM2" s="167"/>
      <c r="FN2" s="167"/>
      <c r="FO2" s="167"/>
      <c r="FP2" s="167"/>
      <c r="FQ2" s="167"/>
      <c r="FR2" s="167"/>
      <c r="FS2" s="167"/>
      <c r="FT2" s="167"/>
      <c r="FU2" s="167"/>
      <c r="FV2" s="167"/>
      <c r="FW2" s="167"/>
      <c r="FX2" s="167"/>
      <c r="FY2" s="167"/>
      <c r="FZ2" s="167"/>
      <c r="GA2" s="167"/>
      <c r="GB2" s="167"/>
      <c r="GC2" s="167"/>
      <c r="GD2" s="167"/>
      <c r="GE2" s="167"/>
      <c r="GF2" s="167"/>
      <c r="GG2" s="167"/>
      <c r="GH2" s="167"/>
      <c r="GI2" s="167"/>
      <c r="GJ2" s="167"/>
      <c r="GK2" s="167"/>
      <c r="GL2" s="167"/>
      <c r="GM2" s="167"/>
      <c r="GN2" s="167"/>
      <c r="GO2" s="167"/>
      <c r="GP2" s="167"/>
      <c r="GQ2" s="167"/>
      <c r="GR2" s="167"/>
      <c r="GS2" s="167"/>
      <c r="GT2" s="167"/>
      <c r="GU2" s="167"/>
      <c r="GV2" s="167"/>
      <c r="GW2" s="167"/>
      <c r="GX2" s="167"/>
      <c r="GY2" s="167"/>
      <c r="GZ2" s="167"/>
      <c r="HA2" s="167"/>
      <c r="HB2" s="167"/>
      <c r="HC2" s="167"/>
      <c r="HD2" s="167"/>
      <c r="HE2" s="167"/>
      <c r="HF2" s="167"/>
      <c r="HG2" s="167"/>
      <c r="HH2" s="167"/>
      <c r="HI2" s="167"/>
      <c r="HJ2" s="167"/>
      <c r="HK2" s="167"/>
      <c r="HL2" s="167"/>
      <c r="HM2" s="167"/>
      <c r="HN2" s="167"/>
      <c r="HO2" s="167"/>
      <c r="HP2" s="167"/>
      <c r="HQ2" s="167"/>
      <c r="HR2" s="167"/>
      <c r="HS2" s="167"/>
      <c r="HT2" s="167"/>
      <c r="HU2" s="167"/>
      <c r="HV2" s="167"/>
      <c r="HW2" s="167"/>
      <c r="HX2" s="167"/>
      <c r="HY2" s="167"/>
      <c r="HZ2" s="167"/>
      <c r="IA2" s="167"/>
      <c r="IB2" s="167"/>
      <c r="IC2" s="167"/>
      <c r="ID2" s="167"/>
      <c r="IE2" s="167"/>
      <c r="IF2" s="167"/>
      <c r="IG2" s="167"/>
      <c r="IH2" s="167"/>
      <c r="II2" s="167"/>
      <c r="IJ2" s="167"/>
      <c r="IK2" s="167"/>
      <c r="IL2" s="167"/>
      <c r="IM2" s="167"/>
      <c r="IN2" s="167"/>
      <c r="IO2" s="167"/>
      <c r="IP2" s="167"/>
      <c r="IQ2" s="167"/>
      <c r="IR2" s="167"/>
      <c r="IS2" s="167"/>
      <c r="IT2" s="167"/>
      <c r="IU2" s="167"/>
      <c r="IV2" s="167"/>
      <c r="IW2" s="167"/>
      <c r="IX2" s="167"/>
      <c r="IY2" s="167"/>
      <c r="IZ2" s="167"/>
      <c r="JA2" s="167"/>
      <c r="JB2" s="167"/>
      <c r="JC2" s="167"/>
      <c r="JD2" s="167"/>
      <c r="JE2" s="167"/>
      <c r="JF2" s="167"/>
      <c r="JG2" s="167"/>
      <c r="JH2" s="167"/>
      <c r="JI2" s="167"/>
      <c r="JJ2" s="167"/>
      <c r="JK2" s="167"/>
      <c r="JL2" s="167"/>
      <c r="JM2" s="167"/>
      <c r="JN2" s="167"/>
      <c r="JO2" s="167"/>
      <c r="JP2" s="167"/>
      <c r="JQ2" s="167"/>
      <c r="JR2" s="167"/>
      <c r="JS2" s="167"/>
      <c r="JT2" s="167"/>
      <c r="JU2" s="167"/>
      <c r="JV2" s="167"/>
      <c r="JW2" s="167"/>
      <c r="JX2" s="167"/>
      <c r="JY2" s="167"/>
      <c r="JZ2" s="167"/>
      <c r="KA2" s="167"/>
      <c r="KB2" s="167"/>
      <c r="KC2" s="167"/>
      <c r="KD2" s="167"/>
      <c r="KE2" s="167"/>
      <c r="KF2" s="167"/>
      <c r="KG2" s="167"/>
      <c r="KH2" s="167"/>
      <c r="KI2" s="167"/>
      <c r="KJ2" s="167"/>
      <c r="KK2" s="167"/>
      <c r="KL2" s="167"/>
      <c r="KM2" s="167"/>
      <c r="KN2" s="167"/>
      <c r="KO2" s="167"/>
      <c r="KP2" s="167"/>
      <c r="KQ2" s="167"/>
      <c r="KR2" s="167"/>
      <c r="KS2" s="167"/>
      <c r="KT2" s="167"/>
      <c r="KU2" s="167"/>
      <c r="KV2" s="167"/>
      <c r="KW2" s="167"/>
      <c r="KX2" s="167"/>
      <c r="KY2" s="167"/>
      <c r="KZ2" s="167"/>
      <c r="LA2" s="167"/>
      <c r="LB2" s="167"/>
      <c r="LC2" s="167"/>
      <c r="LD2" s="167"/>
      <c r="LE2" s="167"/>
      <c r="LF2" s="167"/>
      <c r="LG2" s="167"/>
      <c r="LH2" s="167"/>
      <c r="LI2" s="167"/>
      <c r="LJ2" s="167"/>
      <c r="LK2" s="167"/>
      <c r="LL2" s="167"/>
      <c r="LM2" s="167"/>
      <c r="LN2" s="167"/>
      <c r="LO2" s="167"/>
      <c r="LP2" s="167"/>
      <c r="LQ2" s="167"/>
      <c r="LR2" s="167"/>
      <c r="LS2" s="167"/>
      <c r="LT2" s="167"/>
      <c r="LU2" s="167"/>
      <c r="LV2" s="167"/>
      <c r="LW2" s="167"/>
      <c r="LX2" s="167"/>
      <c r="LY2" s="167"/>
      <c r="LZ2" s="167"/>
      <c r="MA2" s="167"/>
      <c r="MB2" s="167"/>
      <c r="MC2" s="167"/>
      <c r="MD2" s="167"/>
      <c r="ME2" s="167"/>
      <c r="MF2" s="167"/>
      <c r="MG2" s="167"/>
      <c r="MH2" s="167"/>
      <c r="MI2" s="167"/>
      <c r="MJ2" s="167"/>
      <c r="MK2" s="167"/>
      <c r="ML2" s="167"/>
      <c r="MM2" s="167"/>
      <c r="MN2" s="167"/>
      <c r="MO2" s="167"/>
      <c r="MP2" s="167"/>
      <c r="MQ2" s="167"/>
      <c r="MR2" s="167"/>
      <c r="MS2" s="167"/>
      <c r="MT2" s="167"/>
      <c r="MU2" s="167"/>
      <c r="MV2" s="167"/>
      <c r="MW2" s="167"/>
      <c r="MX2" s="167"/>
      <c r="MY2" s="167"/>
      <c r="MZ2" s="167"/>
      <c r="NA2" s="167"/>
      <c r="NB2" s="167"/>
      <c r="NC2" s="167"/>
      <c r="ND2" s="167"/>
      <c r="NE2" s="167"/>
      <c r="NF2" s="167"/>
      <c r="NG2" s="167"/>
      <c r="NH2" s="167"/>
      <c r="NI2" s="167"/>
      <c r="NJ2" s="167"/>
      <c r="NK2" s="167"/>
      <c r="NL2" s="167"/>
      <c r="NM2" s="167"/>
      <c r="NN2" s="167"/>
      <c r="NO2" s="167"/>
      <c r="NP2" s="167"/>
      <c r="NQ2" s="167"/>
      <c r="NR2" s="167"/>
      <c r="NS2" s="167"/>
      <c r="NT2" s="167"/>
      <c r="NU2" s="167"/>
      <c r="NV2" s="167"/>
      <c r="NW2" s="167"/>
      <c r="NX2" s="167"/>
      <c r="NY2" s="167"/>
      <c r="NZ2" s="167"/>
      <c r="OA2" s="167"/>
      <c r="OB2" s="167"/>
      <c r="OC2" s="167"/>
      <c r="OD2" s="167"/>
      <c r="OE2" s="167"/>
      <c r="OF2" s="167"/>
      <c r="OG2" s="167"/>
      <c r="OH2" s="167"/>
      <c r="OI2" s="167"/>
      <c r="OJ2" s="167"/>
      <c r="OK2" s="167"/>
      <c r="OL2" s="167"/>
      <c r="OM2" s="167"/>
      <c r="ON2" s="167"/>
      <c r="OO2" s="167"/>
      <c r="OP2" s="167"/>
      <c r="OQ2" s="167"/>
      <c r="OR2" s="167"/>
      <c r="OS2" s="167"/>
      <c r="OT2" s="167"/>
      <c r="OU2" s="167"/>
      <c r="OV2" s="167"/>
      <c r="OW2" s="167"/>
      <c r="OX2" s="167"/>
      <c r="OY2" s="167"/>
      <c r="OZ2" s="167"/>
      <c r="PA2" s="167"/>
      <c r="PB2" s="167"/>
      <c r="PC2" s="167"/>
      <c r="PD2" s="167"/>
      <c r="PE2" s="167"/>
      <c r="PF2" s="167"/>
      <c r="PG2" s="167"/>
      <c r="PH2" s="167"/>
      <c r="PI2" s="167"/>
      <c r="PJ2" s="167"/>
      <c r="PK2" s="167"/>
      <c r="PL2" s="167"/>
      <c r="PM2" s="167"/>
      <c r="PN2" s="167"/>
      <c r="PO2" s="167"/>
      <c r="PP2" s="167"/>
      <c r="PQ2" s="167"/>
      <c r="PR2" s="167"/>
      <c r="PS2" s="167"/>
      <c r="PT2" s="167"/>
      <c r="PU2" s="167"/>
      <c r="PV2" s="167"/>
      <c r="PW2" s="167"/>
      <c r="PX2" s="167"/>
      <c r="PY2" s="167"/>
      <c r="PZ2" s="167"/>
      <c r="QA2" s="167"/>
      <c r="QB2" s="167"/>
      <c r="QC2" s="167"/>
      <c r="QD2" s="167"/>
      <c r="QE2" s="167"/>
      <c r="QF2" s="167"/>
      <c r="QG2" s="167"/>
      <c r="QH2" s="167"/>
      <c r="QI2" s="167"/>
      <c r="QJ2" s="167"/>
      <c r="QK2" s="167"/>
      <c r="QL2" s="167"/>
      <c r="QM2" s="167"/>
      <c r="QN2" s="167"/>
      <c r="QO2" s="167"/>
      <c r="QP2" s="167"/>
      <c r="QQ2" s="167"/>
      <c r="QR2" s="167"/>
      <c r="QS2" s="167"/>
      <c r="QT2" s="167"/>
      <c r="QU2" s="167"/>
      <c r="QV2" s="167"/>
      <c r="QW2" s="167"/>
      <c r="QX2" s="167"/>
      <c r="QY2" s="167"/>
      <c r="QZ2" s="167"/>
      <c r="RA2" s="167"/>
      <c r="RB2" s="167"/>
      <c r="RC2" s="167"/>
      <c r="RD2" s="167"/>
      <c r="RE2" s="167"/>
      <c r="RF2" s="167"/>
      <c r="RG2" s="167"/>
      <c r="RH2" s="167"/>
      <c r="RI2" s="167"/>
      <c r="RJ2" s="167"/>
      <c r="RK2" s="167"/>
      <c r="RL2" s="167"/>
      <c r="RM2" s="167"/>
      <c r="RN2" s="167"/>
      <c r="RO2" s="167"/>
      <c r="RP2" s="167"/>
      <c r="RQ2" s="167"/>
      <c r="RR2" s="167"/>
      <c r="RS2" s="167"/>
      <c r="RT2" s="167"/>
      <c r="RU2" s="167"/>
      <c r="RV2" s="167"/>
      <c r="RW2" s="167"/>
      <c r="RX2" s="167"/>
      <c r="RY2" s="167"/>
      <c r="RZ2" s="167"/>
      <c r="SA2" s="167"/>
      <c r="SB2" s="167"/>
      <c r="SC2" s="167"/>
      <c r="SD2" s="167"/>
      <c r="SE2" s="167"/>
      <c r="SF2" s="167"/>
      <c r="SG2" s="167"/>
      <c r="SH2" s="167"/>
      <c r="SI2" s="167"/>
      <c r="SJ2" s="167"/>
      <c r="SK2" s="167"/>
      <c r="SL2" s="167"/>
      <c r="SM2" s="167"/>
      <c r="SN2" s="167"/>
      <c r="SO2" s="167"/>
      <c r="SP2" s="167"/>
      <c r="SQ2" s="167"/>
      <c r="SR2" s="167"/>
      <c r="SS2" s="167"/>
      <c r="ST2" s="167"/>
      <c r="SU2" s="167"/>
      <c r="SV2" s="167"/>
      <c r="SW2" s="167"/>
      <c r="SX2" s="167"/>
      <c r="SY2" s="167"/>
      <c r="SZ2" s="167"/>
      <c r="TA2" s="167"/>
      <c r="TB2" s="167"/>
      <c r="TC2" s="167"/>
      <c r="TD2" s="167"/>
      <c r="TE2" s="167"/>
      <c r="TF2" s="167"/>
      <c r="TG2" s="167"/>
      <c r="TH2" s="167"/>
      <c r="TI2" s="167"/>
      <c r="TJ2" s="167"/>
      <c r="TK2" s="167"/>
      <c r="TL2" s="167"/>
      <c r="TM2" s="167"/>
      <c r="TN2" s="167"/>
      <c r="TO2" s="167"/>
      <c r="TP2" s="167"/>
      <c r="TQ2" s="167"/>
      <c r="TR2" s="167"/>
      <c r="TS2" s="167"/>
      <c r="TT2" s="167"/>
      <c r="TU2" s="167"/>
      <c r="TV2" s="167"/>
      <c r="TW2" s="167"/>
      <c r="TX2" s="167"/>
      <c r="TY2" s="167"/>
      <c r="TZ2" s="167"/>
      <c r="UA2" s="167"/>
      <c r="UB2" s="167"/>
      <c r="UC2" s="167"/>
      <c r="UD2" s="167"/>
      <c r="UE2" s="167"/>
      <c r="UF2" s="167"/>
      <c r="UG2" s="167"/>
      <c r="UH2" s="167"/>
      <c r="UI2" s="167"/>
      <c r="UJ2" s="167"/>
      <c r="UK2" s="167"/>
      <c r="UL2" s="167"/>
      <c r="UM2" s="167"/>
      <c r="UN2" s="167"/>
      <c r="UO2" s="167"/>
      <c r="UP2" s="167"/>
      <c r="UQ2" s="167"/>
      <c r="UR2" s="167"/>
      <c r="US2" s="167"/>
      <c r="UT2" s="167"/>
      <c r="UU2" s="167"/>
      <c r="UV2" s="167"/>
      <c r="UW2" s="167"/>
      <c r="UX2" s="167"/>
      <c r="UY2" s="167"/>
      <c r="UZ2" s="167"/>
      <c r="VA2" s="167"/>
      <c r="VB2" s="167"/>
      <c r="VC2" s="167"/>
      <c r="VD2" s="167"/>
      <c r="VE2" s="167"/>
      <c r="VF2" s="167"/>
      <c r="VG2" s="167"/>
      <c r="VH2" s="167"/>
      <c r="VI2" s="167"/>
      <c r="VJ2" s="167"/>
      <c r="VK2" s="167"/>
      <c r="VL2" s="167"/>
      <c r="VM2" s="167"/>
      <c r="VN2" s="167"/>
      <c r="VO2" s="167"/>
      <c r="VP2" s="167"/>
      <c r="VQ2" s="167"/>
      <c r="VR2" s="167"/>
      <c r="VS2" s="167"/>
      <c r="VT2" s="167"/>
      <c r="VU2" s="167"/>
      <c r="VV2" s="167"/>
      <c r="VW2" s="167"/>
      <c r="VX2" s="167"/>
      <c r="VY2" s="167"/>
      <c r="VZ2" s="167"/>
      <c r="WA2" s="167"/>
      <c r="WB2" s="167"/>
      <c r="WC2" s="167"/>
      <c r="WD2" s="167"/>
      <c r="WE2" s="167"/>
      <c r="WF2" s="167"/>
      <c r="WG2" s="167"/>
      <c r="WH2" s="167"/>
      <c r="WI2" s="167"/>
      <c r="WJ2" s="167"/>
      <c r="WK2" s="167"/>
      <c r="WL2" s="167"/>
      <c r="WM2" s="167"/>
      <c r="WN2" s="167"/>
      <c r="WO2" s="167"/>
      <c r="WP2" s="167"/>
      <c r="WQ2" s="167"/>
      <c r="WR2" s="167"/>
      <c r="WS2" s="167"/>
      <c r="WT2" s="167"/>
      <c r="WU2" s="167"/>
      <c r="WV2" s="167"/>
      <c r="WW2" s="167"/>
      <c r="WX2" s="167"/>
      <c r="WY2" s="167"/>
      <c r="WZ2" s="167"/>
      <c r="XA2" s="167"/>
      <c r="XB2" s="167"/>
      <c r="XC2" s="167"/>
      <c r="XD2" s="167"/>
      <c r="XE2" s="167"/>
      <c r="XF2" s="167"/>
      <c r="XG2" s="167"/>
      <c r="XH2" s="167"/>
      <c r="XI2" s="167"/>
      <c r="XJ2" s="167"/>
      <c r="XK2" s="167"/>
      <c r="XL2" s="167"/>
      <c r="XM2" s="167"/>
      <c r="XN2" s="167"/>
      <c r="XO2" s="167"/>
      <c r="XP2" s="167"/>
      <c r="XQ2" s="167"/>
      <c r="XR2" s="167"/>
      <c r="XS2" s="167"/>
      <c r="XT2" s="167"/>
      <c r="XU2" s="167"/>
      <c r="XV2" s="167"/>
      <c r="XW2" s="167"/>
      <c r="XX2" s="167"/>
      <c r="XY2" s="167"/>
      <c r="XZ2" s="167"/>
      <c r="YA2" s="167"/>
      <c r="YB2" s="167"/>
      <c r="YC2" s="167"/>
      <c r="YD2" s="167"/>
      <c r="YE2" s="167"/>
      <c r="YF2" s="167"/>
      <c r="YG2" s="167"/>
      <c r="YH2" s="167"/>
      <c r="YI2" s="167"/>
      <c r="YJ2" s="167"/>
      <c r="YK2" s="167"/>
      <c r="YL2" s="167"/>
      <c r="YM2" s="167"/>
      <c r="YN2" s="167"/>
      <c r="YO2" s="167"/>
      <c r="YP2" s="167"/>
      <c r="YQ2" s="167"/>
      <c r="YR2" s="167"/>
      <c r="YS2" s="167"/>
      <c r="YT2" s="167"/>
      <c r="YU2" s="167"/>
      <c r="YV2" s="167"/>
      <c r="YW2" s="167"/>
      <c r="YX2" s="167"/>
      <c r="YY2" s="167"/>
      <c r="YZ2" s="167"/>
      <c r="ZA2" s="167"/>
      <c r="ZB2" s="167"/>
      <c r="ZC2" s="167"/>
      <c r="ZD2" s="167"/>
      <c r="ZE2" s="167"/>
      <c r="ZF2" s="167"/>
      <c r="ZG2" s="167"/>
      <c r="ZH2" s="167"/>
      <c r="ZI2" s="167"/>
      <c r="ZJ2" s="167"/>
      <c r="ZK2" s="167"/>
      <c r="ZL2" s="167"/>
      <c r="ZM2" s="167"/>
      <c r="ZN2" s="167"/>
      <c r="ZO2" s="167"/>
      <c r="ZP2" s="167"/>
      <c r="ZQ2" s="167"/>
      <c r="ZR2" s="167"/>
      <c r="ZS2" s="167"/>
      <c r="ZT2" s="167"/>
      <c r="ZU2" s="167"/>
      <c r="ZV2" s="167"/>
      <c r="ZW2" s="167"/>
      <c r="ZX2" s="167"/>
      <c r="ZY2" s="167"/>
      <c r="ZZ2" s="167"/>
      <c r="AAA2" s="167"/>
      <c r="AAB2" s="167"/>
      <c r="AAC2" s="167"/>
      <c r="AAD2" s="167"/>
      <c r="AAE2" s="167"/>
      <c r="AAF2" s="167"/>
      <c r="AAG2" s="167"/>
      <c r="AAH2" s="167"/>
      <c r="AAI2" s="167"/>
      <c r="AAJ2" s="167"/>
      <c r="AAK2" s="167"/>
      <c r="AAL2" s="167"/>
      <c r="AAM2" s="167"/>
      <c r="AAN2" s="167"/>
      <c r="AAO2" s="167"/>
      <c r="AAP2" s="167"/>
      <c r="AAQ2" s="167"/>
      <c r="AAR2" s="167"/>
      <c r="AAS2" s="167"/>
      <c r="AAT2" s="167"/>
      <c r="AAU2" s="167"/>
      <c r="AAV2" s="167"/>
      <c r="AAW2" s="167"/>
      <c r="AAX2" s="167"/>
      <c r="AAY2" s="167"/>
      <c r="AAZ2" s="167"/>
      <c r="ABA2" s="167"/>
      <c r="ABB2" s="167"/>
      <c r="ABC2" s="167"/>
      <c r="ABD2" s="167"/>
      <c r="ABE2" s="167"/>
      <c r="ABF2" s="167"/>
      <c r="ABG2" s="167"/>
      <c r="ABH2" s="167"/>
      <c r="ABI2" s="167"/>
      <c r="ABJ2" s="167"/>
      <c r="ABK2" s="167"/>
      <c r="ABL2" s="167"/>
      <c r="ABM2" s="167"/>
      <c r="ABN2" s="167"/>
      <c r="ABO2" s="167"/>
      <c r="ABP2" s="167"/>
      <c r="ABQ2" s="167"/>
      <c r="ABR2" s="167"/>
      <c r="ABS2" s="167"/>
      <c r="ABT2" s="167"/>
      <c r="ABU2" s="167"/>
      <c r="ABV2" s="167"/>
      <c r="ABW2" s="167"/>
      <c r="ABX2" s="167"/>
      <c r="ABY2" s="167"/>
      <c r="ABZ2" s="167"/>
      <c r="ACA2" s="167"/>
      <c r="ACB2" s="167"/>
      <c r="ACC2" s="167"/>
      <c r="ACD2" s="167"/>
      <c r="ACE2" s="167"/>
      <c r="ACF2" s="167"/>
      <c r="ACG2" s="167"/>
      <c r="ACH2" s="167"/>
      <c r="ACI2" s="167"/>
      <c r="ACJ2" s="167"/>
      <c r="ACK2" s="167"/>
      <c r="ACL2" s="167"/>
      <c r="ACM2" s="167"/>
      <c r="ACN2" s="167"/>
      <c r="ACO2" s="167"/>
      <c r="ACP2" s="167"/>
      <c r="ACQ2" s="167"/>
      <c r="ACR2" s="167"/>
      <c r="ACS2" s="167"/>
      <c r="ACT2" s="167"/>
      <c r="ACU2" s="167"/>
      <c r="ACV2" s="167"/>
      <c r="ACW2" s="167"/>
      <c r="ACX2" s="167"/>
      <c r="ACY2" s="167"/>
      <c r="ACZ2" s="167"/>
      <c r="ADA2" s="167"/>
      <c r="ADB2" s="167"/>
      <c r="ADC2" s="167"/>
      <c r="ADD2" s="167"/>
      <c r="ADE2" s="167"/>
      <c r="ADF2" s="167"/>
      <c r="ADG2" s="167"/>
      <c r="ADH2" s="167"/>
      <c r="ADI2" s="167"/>
      <c r="ADJ2" s="167"/>
      <c r="ADK2" s="167"/>
      <c r="ADL2" s="167"/>
      <c r="ADM2" s="167"/>
      <c r="ADN2" s="167"/>
      <c r="ADO2" s="167"/>
      <c r="ADP2" s="167"/>
      <c r="ADQ2" s="167"/>
      <c r="ADR2" s="167"/>
      <c r="ADS2" s="167"/>
      <c r="ADT2" s="167"/>
      <c r="ADU2" s="167"/>
      <c r="ADV2" s="167"/>
      <c r="ADW2" s="167"/>
      <c r="ADX2" s="167"/>
      <c r="ADY2" s="167"/>
      <c r="ADZ2" s="167"/>
      <c r="AEA2" s="167"/>
      <c r="AEB2" s="167"/>
      <c r="AEC2" s="167"/>
      <c r="AED2" s="167"/>
      <c r="AEE2" s="167"/>
      <c r="AEF2" s="167"/>
      <c r="AEG2" s="167"/>
      <c r="AEH2" s="167"/>
      <c r="AEI2" s="167"/>
      <c r="AEJ2" s="167"/>
      <c r="AEK2" s="167"/>
      <c r="AEL2" s="167"/>
      <c r="AEM2" s="167"/>
      <c r="AEN2" s="167"/>
      <c r="AEO2" s="167"/>
      <c r="AEP2" s="167"/>
      <c r="AEQ2" s="167"/>
      <c r="AER2" s="167"/>
      <c r="AES2" s="167"/>
      <c r="AET2" s="167"/>
      <c r="AEU2" s="167"/>
      <c r="AEV2" s="167"/>
      <c r="AEW2" s="167"/>
      <c r="AEX2" s="167"/>
      <c r="AEY2" s="167"/>
      <c r="AEZ2" s="167"/>
      <c r="AFA2" s="167"/>
      <c r="AFB2" s="167"/>
      <c r="AFC2" s="167"/>
      <c r="AFD2" s="167"/>
      <c r="AFE2" s="167"/>
      <c r="AFF2" s="167"/>
      <c r="AFG2" s="167"/>
      <c r="AFH2" s="167"/>
      <c r="AFI2" s="167"/>
      <c r="AFJ2" s="167"/>
      <c r="AFK2" s="167"/>
      <c r="AFL2" s="167"/>
      <c r="AFM2" s="167"/>
      <c r="AFN2" s="167"/>
      <c r="AFO2" s="167"/>
      <c r="AFP2" s="167"/>
      <c r="AFQ2" s="167"/>
      <c r="AFR2" s="167"/>
      <c r="AFS2" s="167"/>
      <c r="AFT2" s="167"/>
      <c r="AFU2" s="167"/>
      <c r="AFV2" s="167"/>
      <c r="AFW2" s="167"/>
      <c r="AFX2" s="167"/>
      <c r="AFY2" s="167"/>
      <c r="AFZ2" s="167"/>
      <c r="AGA2" s="167"/>
      <c r="AGB2" s="167"/>
      <c r="AGC2" s="167"/>
      <c r="AGD2" s="167"/>
      <c r="AGE2" s="167"/>
      <c r="AGF2" s="167"/>
      <c r="AGG2" s="167"/>
      <c r="AGH2" s="167"/>
      <c r="AGI2" s="167"/>
      <c r="AGJ2" s="167"/>
      <c r="AGK2" s="167"/>
      <c r="AGL2" s="167"/>
      <c r="AGM2" s="167"/>
      <c r="AGN2" s="167"/>
      <c r="AGO2" s="167"/>
      <c r="AGP2" s="167"/>
      <c r="AGQ2" s="167"/>
      <c r="AGR2" s="167"/>
      <c r="AGS2" s="167"/>
      <c r="AGT2" s="167"/>
      <c r="AGU2" s="167"/>
      <c r="AGV2" s="167"/>
      <c r="AGW2" s="167"/>
      <c r="AGX2" s="167"/>
      <c r="AGY2" s="167"/>
      <c r="AGZ2" s="167"/>
      <c r="AHA2" s="167"/>
      <c r="AHB2" s="167"/>
      <c r="AHC2" s="167"/>
      <c r="AHD2" s="167"/>
      <c r="AHE2" s="167"/>
      <c r="AHF2" s="167"/>
      <c r="AHG2" s="167"/>
      <c r="AHH2" s="167"/>
      <c r="AHI2" s="167"/>
      <c r="AHJ2" s="167"/>
      <c r="AHK2" s="167"/>
      <c r="AHL2" s="167"/>
      <c r="AHM2" s="167"/>
      <c r="AHN2" s="167"/>
      <c r="AHO2" s="167"/>
      <c r="AHP2" s="167"/>
      <c r="AHQ2" s="167"/>
      <c r="AHR2" s="167"/>
      <c r="AHS2" s="167"/>
      <c r="AHT2" s="167"/>
      <c r="AHU2" s="167"/>
      <c r="AHV2" s="167"/>
      <c r="AHW2" s="167"/>
      <c r="AHX2" s="167"/>
      <c r="AHY2" s="167"/>
      <c r="AHZ2" s="167"/>
      <c r="AIA2" s="167"/>
      <c r="AIB2" s="167"/>
      <c r="AIC2" s="167"/>
      <c r="AID2" s="167"/>
      <c r="AIE2" s="167"/>
      <c r="AIF2" s="167"/>
      <c r="AIG2" s="167"/>
      <c r="AIH2" s="167"/>
      <c r="AII2" s="167"/>
      <c r="AIJ2" s="167"/>
      <c r="AIK2" s="167"/>
      <c r="AIL2" s="167"/>
      <c r="AIM2" s="167"/>
      <c r="AIN2" s="167"/>
      <c r="AIO2" s="167"/>
      <c r="AIP2" s="167"/>
      <c r="AIQ2" s="167"/>
      <c r="AIR2" s="167"/>
      <c r="AIS2" s="167"/>
      <c r="AIT2" s="167"/>
      <c r="AIU2" s="167"/>
      <c r="AIV2" s="167"/>
      <c r="AIW2" s="167"/>
      <c r="AIX2" s="167"/>
      <c r="AIY2" s="167"/>
      <c r="AIZ2" s="167"/>
      <c r="AJA2" s="167"/>
      <c r="AJB2" s="167"/>
      <c r="AJC2" s="167"/>
      <c r="AJD2" s="167"/>
      <c r="AJE2" s="167"/>
      <c r="AJF2" s="167"/>
      <c r="AJG2" s="167"/>
      <c r="AJH2" s="167"/>
      <c r="AJI2" s="167"/>
      <c r="AJJ2" s="167"/>
      <c r="AJK2" s="167"/>
      <c r="AJL2" s="167"/>
      <c r="AJM2" s="167"/>
      <c r="AJN2" s="167"/>
      <c r="AJO2" s="167"/>
      <c r="AJP2" s="167"/>
      <c r="AJQ2" s="167"/>
      <c r="AJR2" s="167"/>
      <c r="AJS2" s="167"/>
      <c r="AJT2" s="167"/>
      <c r="AJU2" s="167"/>
      <c r="AJV2" s="167"/>
      <c r="AJW2" s="167"/>
      <c r="AJX2" s="167"/>
      <c r="AJY2" s="167"/>
      <c r="AJZ2" s="167"/>
      <c r="AKA2" s="167"/>
      <c r="AKB2" s="167"/>
      <c r="AKC2" s="167"/>
      <c r="AKD2" s="167"/>
      <c r="AKE2" s="167"/>
      <c r="AKF2" s="167"/>
      <c r="AKG2" s="167"/>
      <c r="AKH2" s="167"/>
      <c r="AKI2" s="167"/>
      <c r="AKJ2" s="167"/>
      <c r="AKK2" s="167"/>
      <c r="AKL2" s="167"/>
      <c r="AKM2" s="167"/>
      <c r="AKN2" s="167"/>
      <c r="AKO2" s="167"/>
      <c r="AKP2" s="167"/>
      <c r="AKQ2" s="167"/>
      <c r="AKR2" s="167"/>
      <c r="AKS2" s="167"/>
      <c r="AKT2" s="167"/>
      <c r="AKU2" s="167"/>
      <c r="AKV2" s="167"/>
      <c r="AKW2" s="167"/>
      <c r="AKX2" s="167"/>
      <c r="AKY2" s="167"/>
      <c r="AKZ2" s="167"/>
      <c r="ALA2" s="167"/>
      <c r="ALB2" s="167"/>
      <c r="ALC2" s="167"/>
      <c r="ALD2" s="167"/>
      <c r="ALE2" s="167"/>
      <c r="ALF2" s="167"/>
      <c r="ALG2" s="167"/>
      <c r="ALH2" s="167"/>
      <c r="ALI2" s="167"/>
      <c r="ALJ2" s="167"/>
      <c r="ALK2" s="167"/>
      <c r="ALL2" s="167"/>
      <c r="ALM2" s="167"/>
      <c r="ALN2" s="167"/>
      <c r="ALO2" s="167"/>
      <c r="ALP2" s="167"/>
      <c r="ALQ2" s="167"/>
      <c r="ALR2" s="167"/>
      <c r="ALS2" s="167"/>
      <c r="ALT2" s="167"/>
      <c r="ALU2" s="167"/>
      <c r="ALV2" s="167"/>
      <c r="ALW2" s="167"/>
      <c r="ALX2" s="167"/>
      <c r="ALY2" s="167"/>
      <c r="ALZ2" s="167"/>
      <c r="AMA2" s="167"/>
      <c r="AMB2" s="167"/>
      <c r="AMC2" s="167"/>
      <c r="AMD2" s="167"/>
      <c r="AME2" s="167"/>
      <c r="AMF2" s="167"/>
      <c r="AMG2" s="167"/>
      <c r="AMH2" s="167"/>
      <c r="AMI2" s="167"/>
      <c r="AMJ2" s="167"/>
    </row>
    <row r="3" spans="1:1024" s="169" customFormat="1" x14ac:dyDescent="0.25"/>
    <row r="4" spans="1:1024" s="169" customFormat="1" x14ac:dyDescent="0.25">
      <c r="B4" s="227" t="s">
        <v>320</v>
      </c>
      <c r="C4" s="597" t="s">
        <v>319</v>
      </c>
      <c r="D4" s="597"/>
      <c r="E4" s="597"/>
      <c r="F4" s="597"/>
    </row>
    <row r="5" spans="1:1024" s="169" customFormat="1" ht="18" customHeight="1" x14ac:dyDescent="0.25">
      <c r="B5" s="227" t="s">
        <v>318</v>
      </c>
      <c r="C5" s="597" t="s">
        <v>317</v>
      </c>
      <c r="D5" s="597"/>
      <c r="E5" s="597"/>
      <c r="F5" s="597"/>
    </row>
    <row r="6" spans="1:1024" s="169" customFormat="1" x14ac:dyDescent="0.25">
      <c r="B6" s="227" t="s">
        <v>316</v>
      </c>
      <c r="C6" s="597" t="s">
        <v>315</v>
      </c>
      <c r="D6" s="597"/>
      <c r="E6" s="597"/>
      <c r="F6" s="597"/>
    </row>
    <row r="7" spans="1:1024" s="169" customFormat="1" x14ac:dyDescent="0.25">
      <c r="B7" s="227" t="s">
        <v>314</v>
      </c>
      <c r="C7" s="597" t="s">
        <v>313</v>
      </c>
      <c r="D7" s="597"/>
      <c r="E7" s="597"/>
      <c r="F7" s="597"/>
    </row>
    <row r="8" spans="1:1024" s="169" customFormat="1" ht="13.5" customHeight="1" x14ac:dyDescent="0.25">
      <c r="B8" s="227" t="s">
        <v>312</v>
      </c>
      <c r="C8" s="597" t="s">
        <v>340</v>
      </c>
      <c r="D8" s="597"/>
      <c r="E8" s="597"/>
      <c r="F8" s="597"/>
    </row>
    <row r="9" spans="1:1024" s="169" customFormat="1" x14ac:dyDescent="0.25">
      <c r="B9" s="227" t="s">
        <v>310</v>
      </c>
      <c r="C9" s="598">
        <v>5</v>
      </c>
      <c r="D9" s="598"/>
      <c r="E9" s="598"/>
      <c r="F9" s="598"/>
    </row>
    <row r="10" spans="1:1024" s="169" customFormat="1" x14ac:dyDescent="0.25">
      <c r="B10" s="182"/>
      <c r="C10" s="182"/>
      <c r="D10" s="182"/>
      <c r="E10" s="182"/>
      <c r="F10" s="182"/>
    </row>
    <row r="11" spans="1:1024" s="169" customFormat="1" x14ac:dyDescent="0.25">
      <c r="B11" s="603" t="s">
        <v>309</v>
      </c>
      <c r="C11" s="603"/>
      <c r="D11" s="603"/>
      <c r="E11" s="603"/>
      <c r="F11" s="603"/>
    </row>
    <row r="12" spans="1:1024" s="169" customFormat="1" x14ac:dyDescent="0.25">
      <c r="B12" s="604" t="s">
        <v>304</v>
      </c>
      <c r="C12" s="604"/>
      <c r="D12" s="604" t="s">
        <v>308</v>
      </c>
      <c r="E12" s="604"/>
      <c r="F12" s="604"/>
    </row>
    <row r="13" spans="1:1024" s="169" customFormat="1" ht="59.1" customHeight="1" x14ac:dyDescent="0.25">
      <c r="B13" s="606">
        <v>42772</v>
      </c>
      <c r="C13" s="606"/>
      <c r="D13" s="607" t="s">
        <v>339</v>
      </c>
      <c r="E13" s="607"/>
      <c r="F13" s="607"/>
    </row>
    <row r="14" spans="1:1024" s="169" customFormat="1" x14ac:dyDescent="0.25">
      <c r="B14" s="177"/>
      <c r="C14" s="177"/>
      <c r="D14" s="177"/>
      <c r="E14" s="177"/>
      <c r="F14" s="177"/>
    </row>
    <row r="15" spans="1:1024" s="169" customFormat="1" x14ac:dyDescent="0.25">
      <c r="B15" s="603" t="s">
        <v>306</v>
      </c>
      <c r="C15" s="603"/>
      <c r="D15" s="603"/>
      <c r="E15" s="603"/>
      <c r="F15" s="603"/>
    </row>
    <row r="16" spans="1:1024" s="169" customFormat="1" x14ac:dyDescent="0.25">
      <c r="B16" s="605" t="s">
        <v>305</v>
      </c>
      <c r="C16" s="605"/>
      <c r="D16" s="605"/>
      <c r="E16" s="605" t="s">
        <v>304</v>
      </c>
      <c r="F16" s="605"/>
    </row>
    <row r="17" spans="2:7" s="169" customFormat="1" x14ac:dyDescent="0.25">
      <c r="B17" s="600" t="s">
        <v>303</v>
      </c>
      <c r="C17" s="600"/>
      <c r="D17" s="600"/>
      <c r="E17" s="601">
        <v>42901</v>
      </c>
      <c r="F17" s="602"/>
    </row>
    <row r="18" spans="2:7" s="169" customFormat="1" x14ac:dyDescent="0.25">
      <c r="B18" s="600" t="s">
        <v>302</v>
      </c>
      <c r="C18" s="600"/>
      <c r="D18" s="600"/>
      <c r="E18" s="601">
        <v>42901</v>
      </c>
      <c r="F18" s="602"/>
    </row>
    <row r="19" spans="2:7" s="169" customFormat="1" x14ac:dyDescent="0.25">
      <c r="B19" s="600" t="s">
        <v>301</v>
      </c>
      <c r="C19" s="600"/>
      <c r="D19" s="600"/>
      <c r="E19" s="601">
        <v>42901</v>
      </c>
      <c r="F19" s="602"/>
    </row>
    <row r="20" spans="2:7" s="169" customFormat="1" x14ac:dyDescent="0.25">
      <c r="B20" s="180"/>
      <c r="C20" s="180"/>
      <c r="D20" s="180"/>
      <c r="E20" s="181"/>
      <c r="F20" s="180"/>
    </row>
    <row r="21" spans="2:7" s="169" customFormat="1" ht="31.5" x14ac:dyDescent="0.25">
      <c r="B21" s="178" t="s">
        <v>300</v>
      </c>
      <c r="C21" s="179" t="s">
        <v>299</v>
      </c>
      <c r="D21" s="179" t="s">
        <v>298</v>
      </c>
      <c r="E21" s="179" t="s">
        <v>297</v>
      </c>
      <c r="F21" s="178" t="s">
        <v>296</v>
      </c>
    </row>
    <row r="22" spans="2:7" s="169" customFormat="1" ht="47.25" x14ac:dyDescent="0.25">
      <c r="B22" s="228" t="s">
        <v>338</v>
      </c>
      <c r="C22" s="229">
        <v>22.5</v>
      </c>
      <c r="D22" s="229">
        <v>1</v>
      </c>
      <c r="E22" s="229">
        <v>1</v>
      </c>
      <c r="F22" s="230" t="s">
        <v>337</v>
      </c>
    </row>
    <row r="23" spans="2:7" s="169" customFormat="1" ht="15.6" customHeight="1" x14ac:dyDescent="0.25">
      <c r="B23" s="177"/>
      <c r="C23" s="177"/>
      <c r="D23" s="177"/>
      <c r="E23" s="177"/>
      <c r="F23" s="177"/>
    </row>
    <row r="24" spans="2:7" s="169" customFormat="1" x14ac:dyDescent="0.25">
      <c r="B24" s="609" t="s">
        <v>293</v>
      </c>
      <c r="C24" s="609"/>
      <c r="D24" s="609"/>
      <c r="E24" s="609"/>
      <c r="F24" s="609"/>
    </row>
    <row r="25" spans="2:7" s="169" customFormat="1" ht="46.5" customHeight="1" x14ac:dyDescent="0.25">
      <c r="B25" s="610" t="s">
        <v>336</v>
      </c>
      <c r="C25" s="610"/>
      <c r="D25" s="610"/>
      <c r="E25" s="610"/>
      <c r="F25" s="610"/>
    </row>
    <row r="26" spans="2:7" s="169" customFormat="1" ht="20.45" customHeight="1" x14ac:dyDescent="0.25">
      <c r="B26" s="175"/>
      <c r="C26" s="175"/>
      <c r="D26" s="175"/>
      <c r="E26" s="175"/>
      <c r="F26" s="175"/>
      <c r="G26" s="176"/>
    </row>
    <row r="27" spans="2:7" s="169" customFormat="1" ht="18" customHeight="1" x14ac:dyDescent="0.25">
      <c r="B27" s="611" t="s">
        <v>292</v>
      </c>
      <c r="C27" s="611"/>
      <c r="D27" s="611"/>
      <c r="E27" s="611"/>
      <c r="F27" s="611"/>
    </row>
    <row r="28" spans="2:7" s="169" customFormat="1" ht="111.95" customHeight="1" x14ac:dyDescent="0.25">
      <c r="B28" s="612" t="s">
        <v>335</v>
      </c>
      <c r="C28" s="612"/>
      <c r="D28" s="612"/>
      <c r="E28" s="612"/>
      <c r="F28" s="612"/>
    </row>
    <row r="29" spans="2:7" s="169" customFormat="1" ht="15" customHeight="1" x14ac:dyDescent="0.25">
      <c r="B29" s="170"/>
      <c r="C29" s="170"/>
      <c r="D29" s="170"/>
      <c r="E29" s="170"/>
      <c r="F29" s="170"/>
    </row>
    <row r="30" spans="2:7" s="169" customFormat="1" ht="17.25" customHeight="1" x14ac:dyDescent="0.25">
      <c r="B30" s="609" t="s">
        <v>430</v>
      </c>
      <c r="C30" s="609"/>
      <c r="D30" s="609"/>
      <c r="E30" s="609"/>
      <c r="F30" s="609"/>
    </row>
    <row r="31" spans="2:7" s="169" customFormat="1" ht="28.5" customHeight="1" x14ac:dyDescent="0.25">
      <c r="B31" s="610" t="s">
        <v>432</v>
      </c>
      <c r="C31" s="610"/>
      <c r="D31" s="610"/>
      <c r="E31" s="610"/>
      <c r="F31" s="610"/>
    </row>
    <row r="32" spans="2:7" s="169" customFormat="1" ht="15.75" customHeight="1" x14ac:dyDescent="0.25">
      <c r="B32" s="170"/>
      <c r="C32" s="170"/>
      <c r="D32" s="170"/>
      <c r="E32" s="170"/>
      <c r="F32" s="170"/>
    </row>
    <row r="33" spans="2:6" s="169" customFormat="1" x14ac:dyDescent="0.25">
      <c r="B33" s="609" t="s">
        <v>431</v>
      </c>
      <c r="C33" s="609"/>
      <c r="D33" s="609"/>
      <c r="E33" s="609"/>
      <c r="F33" s="609"/>
    </row>
    <row r="34" spans="2:6" s="169" customFormat="1" x14ac:dyDescent="0.25">
      <c r="B34" s="608" t="s">
        <v>334</v>
      </c>
      <c r="C34" s="608"/>
      <c r="D34" s="608"/>
      <c r="E34" s="608"/>
      <c r="F34" s="608"/>
    </row>
    <row r="35" spans="2:6" s="169" customFormat="1" x14ac:dyDescent="0.25">
      <c r="B35" s="608" t="s">
        <v>333</v>
      </c>
      <c r="C35" s="608"/>
      <c r="D35" s="608"/>
      <c r="E35" s="608"/>
      <c r="F35" s="608"/>
    </row>
    <row r="36" spans="2:6" s="169" customFormat="1" x14ac:dyDescent="0.25">
      <c r="B36" s="608" t="s">
        <v>332</v>
      </c>
      <c r="C36" s="608"/>
      <c r="D36" s="608"/>
      <c r="E36" s="608"/>
      <c r="F36" s="608"/>
    </row>
    <row r="37" spans="2:6" s="169" customFormat="1" x14ac:dyDescent="0.25">
      <c r="B37" s="608" t="s">
        <v>331</v>
      </c>
      <c r="C37" s="608"/>
      <c r="D37" s="608"/>
      <c r="E37" s="608"/>
      <c r="F37" s="608"/>
    </row>
    <row r="38" spans="2:6" s="169" customFormat="1" x14ac:dyDescent="0.25">
      <c r="B38" s="608" t="s">
        <v>330</v>
      </c>
      <c r="C38" s="608"/>
      <c r="D38" s="608"/>
      <c r="E38" s="608"/>
      <c r="F38" s="608"/>
    </row>
    <row r="39" spans="2:6" s="169" customFormat="1" x14ac:dyDescent="0.25">
      <c r="B39" s="608" t="s">
        <v>329</v>
      </c>
      <c r="C39" s="608"/>
      <c r="D39" s="608"/>
      <c r="E39" s="608"/>
      <c r="F39" s="608"/>
    </row>
    <row r="40" spans="2:6" s="169" customFormat="1" ht="15.75" customHeight="1" x14ac:dyDescent="0.25">
      <c r="B40" s="608" t="s">
        <v>328</v>
      </c>
      <c r="C40" s="608"/>
      <c r="D40" s="608"/>
      <c r="E40" s="608"/>
      <c r="F40" s="608"/>
    </row>
    <row r="41" spans="2:6" s="169" customFormat="1" x14ac:dyDescent="0.25">
      <c r="B41" s="608" t="s">
        <v>327</v>
      </c>
      <c r="C41" s="608"/>
      <c r="D41" s="608"/>
      <c r="E41" s="608"/>
      <c r="F41" s="608"/>
    </row>
    <row r="42" spans="2:6" s="169" customFormat="1" x14ac:dyDescent="0.25">
      <c r="B42" s="608" t="s">
        <v>326</v>
      </c>
      <c r="C42" s="608"/>
      <c r="D42" s="608"/>
      <c r="E42" s="608"/>
      <c r="F42" s="608"/>
    </row>
    <row r="43" spans="2:6" s="169" customFormat="1" x14ac:dyDescent="0.25">
      <c r="B43" s="608" t="s">
        <v>325</v>
      </c>
      <c r="C43" s="608"/>
      <c r="D43" s="608"/>
      <c r="E43" s="608"/>
      <c r="F43" s="608"/>
    </row>
    <row r="44" spans="2:6" s="169" customFormat="1" ht="16.5" customHeight="1" x14ac:dyDescent="0.25">
      <c r="B44" s="608" t="s">
        <v>324</v>
      </c>
      <c r="C44" s="608"/>
      <c r="D44" s="608"/>
      <c r="E44" s="608"/>
      <c r="F44" s="608"/>
    </row>
    <row r="45" spans="2:6" s="169" customFormat="1" x14ac:dyDescent="0.25">
      <c r="B45" s="175"/>
      <c r="C45" s="174"/>
      <c r="D45" s="174"/>
      <c r="E45" s="174"/>
      <c r="F45" s="174"/>
    </row>
    <row r="46" spans="2:6" s="169" customFormat="1" ht="0.75" customHeight="1" x14ac:dyDescent="0.25">
      <c r="B46" s="175"/>
      <c r="C46" s="174"/>
      <c r="D46" s="174"/>
      <c r="E46" s="174"/>
      <c r="F46" s="174"/>
    </row>
    <row r="47" spans="2:6" s="169" customFormat="1" hidden="1" x14ac:dyDescent="0.25">
      <c r="B47" s="175"/>
      <c r="C47" s="174"/>
      <c r="D47" s="174"/>
      <c r="E47" s="174"/>
      <c r="F47" s="174"/>
    </row>
    <row r="48" spans="2:6" s="169" customFormat="1" ht="13.35" customHeight="1" x14ac:dyDescent="0.25">
      <c r="B48" s="170"/>
      <c r="C48" s="170"/>
      <c r="D48" s="170"/>
      <c r="E48" s="170"/>
      <c r="F48" s="170"/>
    </row>
    <row r="49" spans="2:7" s="169" customFormat="1" ht="18.75" customHeight="1" x14ac:dyDescent="0.25">
      <c r="B49" s="609" t="s">
        <v>282</v>
      </c>
      <c r="C49" s="609"/>
      <c r="D49" s="609"/>
      <c r="E49" s="609"/>
      <c r="F49" s="609"/>
    </row>
    <row r="50" spans="2:7" s="169" customFormat="1" ht="387" customHeight="1" x14ac:dyDescent="0.25">
      <c r="B50" s="620" t="s">
        <v>434</v>
      </c>
      <c r="C50" s="621"/>
      <c r="D50" s="621"/>
      <c r="E50" s="621"/>
      <c r="F50" s="622"/>
      <c r="G50" s="173"/>
    </row>
    <row r="51" spans="2:7" s="169" customFormat="1" ht="12.6" customHeight="1" x14ac:dyDescent="0.25">
      <c r="B51" s="623"/>
      <c r="C51" s="624"/>
      <c r="D51" s="624"/>
      <c r="E51" s="624"/>
      <c r="F51" s="625"/>
    </row>
    <row r="52" spans="2:7" s="169" customFormat="1" ht="17.25" customHeight="1" x14ac:dyDescent="0.25">
      <c r="B52" s="172"/>
      <c r="C52" s="172"/>
      <c r="D52" s="172"/>
      <c r="E52" s="172"/>
      <c r="F52" s="172"/>
    </row>
    <row r="53" spans="2:7" s="169" customFormat="1" x14ac:dyDescent="0.25">
      <c r="B53" s="609" t="s">
        <v>435</v>
      </c>
      <c r="C53" s="609"/>
      <c r="D53" s="609"/>
      <c r="E53" s="609"/>
      <c r="F53" s="609"/>
    </row>
    <row r="54" spans="2:7" s="169" customFormat="1" x14ac:dyDescent="0.25">
      <c r="B54" s="613" t="s">
        <v>277</v>
      </c>
      <c r="C54" s="614"/>
      <c r="D54" s="614"/>
      <c r="E54" s="614"/>
      <c r="F54" s="615"/>
    </row>
    <row r="55" spans="2:7" s="169" customFormat="1" x14ac:dyDescent="0.25">
      <c r="B55" s="170"/>
      <c r="C55" s="170"/>
      <c r="D55" s="170"/>
      <c r="E55" s="170"/>
      <c r="F55" s="170"/>
    </row>
    <row r="56" spans="2:7" s="169" customFormat="1" x14ac:dyDescent="0.25">
      <c r="B56" s="609" t="s">
        <v>276</v>
      </c>
      <c r="C56" s="609"/>
      <c r="D56" s="609"/>
      <c r="E56" s="609"/>
      <c r="F56" s="609"/>
    </row>
    <row r="57" spans="2:7" s="169" customFormat="1" x14ac:dyDescent="0.25">
      <c r="B57" s="608" t="s">
        <v>323</v>
      </c>
      <c r="C57" s="608"/>
      <c r="D57" s="608"/>
      <c r="E57" s="608"/>
      <c r="F57" s="608"/>
    </row>
    <row r="58" spans="2:7" s="169" customFormat="1" ht="10.7" customHeight="1" x14ac:dyDescent="0.25">
      <c r="B58" s="170"/>
      <c r="C58" s="170"/>
      <c r="D58" s="170"/>
      <c r="E58" s="170"/>
      <c r="F58" s="170"/>
    </row>
    <row r="59" spans="2:7" s="169" customFormat="1" ht="36.75" customHeight="1" x14ac:dyDescent="0.25">
      <c r="B59" s="618" t="s">
        <v>274</v>
      </c>
      <c r="C59" s="618"/>
      <c r="D59" s="618"/>
      <c r="E59" s="618"/>
      <c r="F59" s="618"/>
    </row>
    <row r="60" spans="2:7" s="169" customFormat="1" x14ac:dyDescent="0.25">
      <c r="B60" s="171" t="s">
        <v>273</v>
      </c>
      <c r="C60" s="171" t="s">
        <v>272</v>
      </c>
      <c r="D60" s="609" t="s">
        <v>271</v>
      </c>
      <c r="E60" s="609"/>
      <c r="F60" s="609"/>
    </row>
    <row r="61" spans="2:7" s="169" customFormat="1" ht="19.5" customHeight="1" x14ac:dyDescent="0.25">
      <c r="B61" s="231" t="s">
        <v>322</v>
      </c>
      <c r="C61" s="232" t="s">
        <v>268</v>
      </c>
      <c r="D61" s="619" t="s">
        <v>321</v>
      </c>
      <c r="E61" s="619"/>
      <c r="F61" s="619"/>
    </row>
    <row r="62" spans="2:7" s="169" customFormat="1" x14ac:dyDescent="0.25">
      <c r="B62" s="232"/>
      <c r="C62" s="232"/>
      <c r="D62" s="619"/>
      <c r="E62" s="619"/>
      <c r="F62" s="619"/>
    </row>
    <row r="63" spans="2:7" s="169" customFormat="1" x14ac:dyDescent="0.25">
      <c r="B63" s="232"/>
      <c r="C63" s="232"/>
      <c r="D63" s="619"/>
      <c r="E63" s="619"/>
      <c r="F63" s="619"/>
    </row>
    <row r="64" spans="2:7" s="169" customFormat="1" ht="17.100000000000001" customHeight="1" x14ac:dyDescent="0.25">
      <c r="B64" s="170"/>
      <c r="C64" s="170"/>
      <c r="D64" s="170"/>
      <c r="E64" s="170"/>
      <c r="F64" s="170"/>
    </row>
    <row r="65" spans="2:6" s="169" customFormat="1" x14ac:dyDescent="0.25">
      <c r="B65" s="609" t="s">
        <v>266</v>
      </c>
      <c r="C65" s="609"/>
      <c r="D65" s="609"/>
      <c r="E65" s="609"/>
      <c r="F65" s="609"/>
    </row>
    <row r="66" spans="2:6" s="169" customFormat="1" ht="15.6" customHeight="1" x14ac:dyDescent="0.25">
      <c r="B66" s="616"/>
      <c r="C66" s="617"/>
      <c r="D66" s="617"/>
      <c r="E66" s="617"/>
      <c r="F66" s="617"/>
    </row>
    <row r="67" spans="2:6" ht="15" customHeight="1" x14ac:dyDescent="0.25"/>
  </sheetData>
  <mergeCells count="53">
    <mergeCell ref="B41:F41"/>
    <mergeCell ref="B44:F44"/>
    <mergeCell ref="B54:F54"/>
    <mergeCell ref="B66:F66"/>
    <mergeCell ref="B65:F65"/>
    <mergeCell ref="B59:F59"/>
    <mergeCell ref="D60:F60"/>
    <mergeCell ref="D61:F61"/>
    <mergeCell ref="D62:F62"/>
    <mergeCell ref="D63:F63"/>
    <mergeCell ref="B53:F53"/>
    <mergeCell ref="B56:F56"/>
    <mergeCell ref="B57:F57"/>
    <mergeCell ref="B49:F49"/>
    <mergeCell ref="B50:F50"/>
    <mergeCell ref="B51:F51"/>
    <mergeCell ref="B43:F43"/>
    <mergeCell ref="B24:F24"/>
    <mergeCell ref="B25:F25"/>
    <mergeCell ref="B27:F27"/>
    <mergeCell ref="B28:F28"/>
    <mergeCell ref="B30:F30"/>
    <mergeCell ref="B31:F31"/>
    <mergeCell ref="B42:F42"/>
    <mergeCell ref="B33:F33"/>
    <mergeCell ref="B34:F34"/>
    <mergeCell ref="B35:F35"/>
    <mergeCell ref="B36:F36"/>
    <mergeCell ref="B37:F37"/>
    <mergeCell ref="B38:F38"/>
    <mergeCell ref="B39:F39"/>
    <mergeCell ref="B40:F40"/>
    <mergeCell ref="B17:D17"/>
    <mergeCell ref="E17:F17"/>
    <mergeCell ref="B19:D19"/>
    <mergeCell ref="E19:F19"/>
    <mergeCell ref="B11:F11"/>
    <mergeCell ref="B12:C12"/>
    <mergeCell ref="B15:F15"/>
    <mergeCell ref="B16:D16"/>
    <mergeCell ref="E16:F16"/>
    <mergeCell ref="D12:F12"/>
    <mergeCell ref="B18:D18"/>
    <mergeCell ref="E18:F18"/>
    <mergeCell ref="B13:C13"/>
    <mergeCell ref="D13:F13"/>
    <mergeCell ref="C8:F8"/>
    <mergeCell ref="C9:F9"/>
    <mergeCell ref="B2:F2"/>
    <mergeCell ref="C4:F4"/>
    <mergeCell ref="C5:F5"/>
    <mergeCell ref="C6:F6"/>
    <mergeCell ref="C7:F7"/>
  </mergeCells>
  <dataValidations count="2">
    <dataValidation type="list" allowBlank="1" showInputMessage="1" showErrorMessage="1" sqref="C61:C63">
      <formula1>"Académique,Professionnel,Associatif,Autre"</formula1>
      <formula2>0</formula2>
    </dataValidation>
    <dataValidation type="list" allowBlank="1" showInputMessage="1" showErrorMessage="1" sqref="C4">
      <formula1>"Mise à jour à partir du plan d'études,Nouvelle création"</formula1>
      <formula2>0</formula2>
    </dataValidation>
  </dataValidations>
  <hyperlinks>
    <hyperlink ref="B1" location="'Schéma d''enseignement'!G32" display="Schéma d'enseignement"/>
  </hyperlink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44</vt:i4>
      </vt:variant>
      <vt:variant>
        <vt:lpstr>Plages nommées</vt:lpstr>
      </vt:variant>
      <vt:variant>
        <vt:i4>3</vt:i4>
      </vt:variant>
    </vt:vector>
  </HeadingPairs>
  <TitlesOfParts>
    <vt:vector size="47" baseType="lpstr">
      <vt:lpstr>Page de garde</vt:lpstr>
      <vt:lpstr>Contributeurs</vt:lpstr>
      <vt:lpstr>Métiers visés </vt:lpstr>
      <vt:lpstr>Comptétences adressées</vt:lpstr>
      <vt:lpstr>Schéma d'enseignement</vt:lpstr>
      <vt:lpstr>Cohérence</vt:lpstr>
      <vt:lpstr>Matières optionnelles</vt:lpstr>
      <vt:lpstr>Semestre 3 </vt:lpstr>
      <vt:lpstr>SE pour l'embarqué</vt:lpstr>
      <vt:lpstr>Atelier SE pour l'embarqué</vt:lpstr>
      <vt:lpstr>Atelier systèmes électroniques</vt:lpstr>
      <vt:lpstr>Protocoles et services réseaux</vt:lpstr>
      <vt:lpstr>AT protocoles &amp; services réseau</vt:lpstr>
      <vt:lpstr>Base de données</vt:lpstr>
      <vt:lpstr>Atelier base de données</vt:lpstr>
      <vt:lpstr>Programmation objet</vt:lpstr>
      <vt:lpstr>AT programmation objet</vt:lpstr>
      <vt:lpstr>Communication en entreprise</vt:lpstr>
      <vt:lpstr>High tech english</vt:lpstr>
      <vt:lpstr>Semestre 4</vt:lpstr>
      <vt:lpstr>Circuits numériques</vt:lpstr>
      <vt:lpstr>Atelier Circuits numériques</vt:lpstr>
      <vt:lpstr>Atelier microcontroleur</vt:lpstr>
      <vt:lpstr>Modélisation objet (UML 2.0)</vt:lpstr>
      <vt:lpstr>Développement web coté serveur</vt:lpstr>
      <vt:lpstr>AT Dév web coté serveur</vt:lpstr>
      <vt:lpstr>Dév d'applis mobiles natives</vt:lpstr>
      <vt:lpstr>AT dév d'applis mob natives</vt:lpstr>
      <vt:lpstr>Etude et management des proj</vt:lpstr>
      <vt:lpstr>Busniess English</vt:lpstr>
      <vt:lpstr>Semestre 5</vt:lpstr>
      <vt:lpstr>AT Prot rapide des applis EMB</vt:lpstr>
      <vt:lpstr>Dév mobile avancé</vt:lpstr>
      <vt:lpstr>AT dév mobile avancé</vt:lpstr>
      <vt:lpstr>Atelier SoC</vt:lpstr>
      <vt:lpstr>Fondements IoT</vt:lpstr>
      <vt:lpstr>Atelier IoT</vt:lpstr>
      <vt:lpstr>Atelier services web</vt:lpstr>
      <vt:lpstr>AT intégrat. &amp; déploiement web</vt:lpstr>
      <vt:lpstr>TRE</vt:lpstr>
      <vt:lpstr>TOEIC</vt:lpstr>
      <vt:lpstr>EC Optionnelles</vt:lpstr>
      <vt:lpstr>Mini Projet</vt:lpstr>
      <vt:lpstr>Système Mgmt Qualité</vt:lpstr>
      <vt:lpstr>'Mini Projet'!Zone_d_impression</vt:lpstr>
      <vt:lpstr>'Système Mgmt Qualité'!Zone_d_impression</vt:lpstr>
      <vt:lpstr>TRE!Zone_d_impression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Khelil Belkhodja</dc:creator>
  <cp:lastModifiedBy>Utilisateur Windows</cp:lastModifiedBy>
  <dcterms:created xsi:type="dcterms:W3CDTF">2018-04-24T09:44:12Z</dcterms:created>
  <dcterms:modified xsi:type="dcterms:W3CDTF">2018-08-13T22:53:19Z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
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updateLinks="never" codeName="ThisWorkbook"/>
  <mc:AlternateContent xmlns:mc="http://schemas.openxmlformats.org/markup-compatibility/2006">
    <mc:Choice Requires="x15">
      <x15ac:absPath xmlns:x15ac="http://schemas.microsoft.com/office/spreadsheetml/2010/11/ac" url="D:\travaux\ISET\Reforme\2018\documents\version finale Juillet 2018 Validé par CNSET\2. DSI\"/>
    </mc:Choice>
  </mc:AlternateContent>
  <bookViews>
    <workbookView xWindow="0" yWindow="0" windowWidth="19200" windowHeight="6945" tabRatio="766"/>
  </bookViews>
  <sheets>
    <sheet name="Page de garde" sheetId="85" r:id="rId1"/>
    <sheet name="Contributeurs" sheetId="1" r:id="rId2"/>
    <sheet name="Métiers visés " sheetId="2" r:id="rId3"/>
    <sheet name="Comptétences adressées" sheetId="3" r:id="rId4"/>
    <sheet name="Schéma d'enseignement" sheetId="4" r:id="rId5"/>
    <sheet name="Cohérence" sheetId="5" r:id="rId6"/>
    <sheet name="Matières optionnelles" sheetId="71" r:id="rId7"/>
    <sheet name="Semestre 3" sheetId="7" r:id="rId8"/>
    <sheet name="Base de données" sheetId="36" r:id="rId9"/>
    <sheet name="Atelier Base de données" sheetId="37" r:id="rId10"/>
    <sheet name="Modélisation Objet (UML2)" sheetId="38" r:id="rId11"/>
    <sheet name="Programmation Objet" sheetId="39" r:id="rId12"/>
    <sheet name="Atelier Programmation Objet" sheetId="40" r:id="rId13"/>
    <sheet name="Atelier Framework Côté Client" sheetId="41" r:id="rId14"/>
    <sheet name="Développement Côté Serveur" sheetId="42" r:id="rId15"/>
    <sheet name="At Développement Côté Serveur" sheetId="43" r:id="rId16"/>
    <sheet name="Communication en entreprise" sheetId="74" r:id="rId17"/>
    <sheet name="high tech english" sheetId="86" r:id="rId18"/>
    <sheet name="Semestre 4" sheetId="15" r:id="rId19"/>
    <sheet name="Projet d’Intégration s4" sheetId="46" r:id="rId20"/>
    <sheet name="Atelier framework coté serveur" sheetId="47" r:id="rId21"/>
    <sheet name="Architecture logicielle" sheetId="48" r:id="rId22"/>
    <sheet name="At Environnement de Dev" sheetId="49" r:id="rId23"/>
    <sheet name="Programmation Objet Avancée" sheetId="50" r:id="rId24"/>
    <sheet name="AT Programmation Objet Avancée" sheetId="51" r:id="rId25"/>
    <sheet name="SGBD" sheetId="52" r:id="rId26"/>
    <sheet name="Atelier SGBD" sheetId="53" r:id="rId27"/>
    <sheet name="Etude et management des proj" sheetId="73" r:id="rId28"/>
    <sheet name="busniess English" sheetId="87" r:id="rId29"/>
    <sheet name="Art du codage" sheetId="76" r:id="rId30"/>
    <sheet name="Sécurité applicative  " sheetId="77" r:id="rId31"/>
    <sheet name="Marketing Digital " sheetId="80" r:id="rId32"/>
    <sheet name="Sécurité des systèmes d'informa" sheetId="81" r:id="rId33"/>
    <sheet name="Tests et validation logiciels " sheetId="82" r:id="rId34"/>
    <sheet name="Semestre 5" sheetId="26" r:id="rId35"/>
    <sheet name="SOA " sheetId="62" r:id="rId36"/>
    <sheet name="Atelier SOA et techniques Integ" sheetId="63" r:id="rId37"/>
    <sheet name="Gestion des données Massives" sheetId="64" r:id="rId38"/>
    <sheet name="Atelier Base de Données Avancée" sheetId="65" r:id="rId39"/>
    <sheet name="Méthodologie de Conception Obj" sheetId="66" r:id="rId40"/>
    <sheet name="Projet d’Intégration s5" sheetId="67" r:id="rId41"/>
    <sheet name="Développement Mobile" sheetId="68" r:id="rId42"/>
    <sheet name="AT Développement Mobile natif" sheetId="69" r:id="rId43"/>
    <sheet name="AT Framework cross-platform" sheetId="70" r:id="rId44"/>
    <sheet name="TRE" sheetId="75" r:id="rId45"/>
    <sheet name="toeic" sheetId="88" r:id="rId46"/>
    <sheet name="Etude de synthèse info. Si" sheetId="78" r:id="rId47"/>
    <sheet name="Test et Validation du Logiciel" sheetId="79" r:id="rId48"/>
    <sheet name="Intérgation et qualité du code" sheetId="83" r:id="rId49"/>
    <sheet name="Informatique décisionnelle " sheetId="84" r:id="rId50"/>
  </sheets>
  <externalReferences>
    <externalReference r:id="rId51"/>
  </externalReferences>
  <definedNames>
    <definedName name="_xlnm._FilterDatabase" localSheetId="2" hidden="1">'Métiers visés '!$C$4:$F$9</definedName>
    <definedName name="ArchitectureLogicielle">'Architecture logicielle'!$B$1</definedName>
    <definedName name="ArtCodage">'Art du codage'!$B$1</definedName>
    <definedName name="ATBaseDonnées">'Atelier Base de données'!$C$4</definedName>
    <definedName name="AtCorssPlforme">'AT Framework cross-platform'!$B$3</definedName>
    <definedName name="AtDevCoteServeur">'At Développement Côté Serveur'!$B$1</definedName>
    <definedName name="AtDevMobile">'AT Développement Mobile natif'!$B$1</definedName>
    <definedName name="AtDMassive">'Atelier Base de Données Avancée'!$B$1</definedName>
    <definedName name="AtEnvDeveloppement">'At Environnement de Dev'!$B$1</definedName>
    <definedName name="AtFrameWorkCLient">'Atelier Framework Côté Client'!$B$1</definedName>
    <definedName name="AtFrameworkCoteServeur">'Atelier framework coté serveur'!$B$1</definedName>
    <definedName name="ATProgObj">'Atelier Programmation Objet'!$B$1</definedName>
    <definedName name="AtProgOOAvancée">'AT Programmation Objet Avancée'!$B$1</definedName>
    <definedName name="AtSGBD">'Atelier SGBD'!$B$1</definedName>
    <definedName name="AtSOA">'Atelier SOA et techniques Integ'!$B$1</definedName>
    <definedName name="BaseDonnées">'Base de données'!$C$4</definedName>
    <definedName name="BusinessEnglish">'busniess English'!$B$1</definedName>
    <definedName name="CommEntreprise">'Communication en entreprise'!$A$1</definedName>
    <definedName name="DevCoteServeur">'Développement Côté Serveur'!$B$1</definedName>
    <definedName name="DevelopMobile">'Développement Mobile'!$B$1</definedName>
    <definedName name="EtSyntinfoSI">'Etude de synthèse info. Si'!$B$1</definedName>
    <definedName name="EtudMgProjet">'Etude et management des proj'!$B$1</definedName>
    <definedName name="GestDMassive">'Gestion des données Massives'!$B$1</definedName>
    <definedName name="HighTechEnglish">'high tech english'!$B$1</definedName>
    <definedName name="InfoDecisionnel">'Informatique décisionnelle '!$B$1</definedName>
    <definedName name="IntegrationQualiteCode">'Intérgation et qualité du code'!$B$1</definedName>
    <definedName name="MarkDigital">'Marketing Digital '!$B$1</definedName>
    <definedName name="MethConceptionObjet">'Méthodologie de Conception Obj'!$B$1</definedName>
    <definedName name="ModelisationObjet">'Modélisation Objet (UML2)'!$B$4</definedName>
    <definedName name="Print_Area_0" localSheetId="47">'Test et Validation du Logiciel'!$A$1:$G$78</definedName>
    <definedName name="Print_Area_0_0" localSheetId="47">'Test et Validation du Logiciel'!$A$1:$G$78</definedName>
    <definedName name="Print_Area_0_0_0" localSheetId="47">'Test et Validation du Logiciel'!$A$1:$G$78</definedName>
    <definedName name="Print_Area_0_0_0_0" localSheetId="47">'Test et Validation du Logiciel'!$A$1:$G$78</definedName>
    <definedName name="ProgObjet">'Programmation Objet'!$B$1</definedName>
    <definedName name="ProgOO">'Programmation Objet Avancée'!$B$1</definedName>
    <definedName name="ProgOOAvancée">'Programmation Objet Avancée'!$B$1</definedName>
    <definedName name="ProjetIntegration">'Projet d’Intégration s4'!$B$4</definedName>
    <definedName name="ProjetIntS5">'Projet d’Intégration s5'!$B$1</definedName>
    <definedName name="SchemaEnseignement">'Schéma d''enseignement'!$C$2</definedName>
    <definedName name="SecuriteApp">'Sécurité applicative  '!$B$1</definedName>
    <definedName name="SecuriteSysInfo">'Sécurité des systèmes d''informa'!$B$1</definedName>
    <definedName name="SGBD">SGBD!$B$1</definedName>
    <definedName name="SOA">'SOA '!$B$1</definedName>
    <definedName name="TestValidationLog">'Test et Validation du Logiciel'!$B$1</definedName>
    <definedName name="TestValidationLogiciel">'Tests et validation logiciels '!$B$1</definedName>
    <definedName name="TOIEC">toeic!$B$1</definedName>
    <definedName name="TRechEmploi">TRE!$B$1</definedName>
    <definedName name="_xlnm.Print_Area" localSheetId="21">'Architecture logicielle'!$A$4:$I$56</definedName>
    <definedName name="_xlnm.Print_Area" localSheetId="29">'Art du codage'!$A$1:$G$113</definedName>
    <definedName name="_xlnm.Print_Area" localSheetId="15">'At Développement Côté Serveur'!$A$4:$I$58</definedName>
    <definedName name="_xlnm.Print_Area" localSheetId="42">'AT Développement Mobile natif'!$A$4:$I$56</definedName>
    <definedName name="_xlnm.Print_Area" localSheetId="22">'At Environnement de Dev'!$A$4:$I$58</definedName>
    <definedName name="_xlnm.Print_Area" localSheetId="43">'AT Framework cross-platform'!$A$4:$I$62</definedName>
    <definedName name="_xlnm.Print_Area" localSheetId="24">'AT Programmation Objet Avancée'!$A$4:$I$57</definedName>
    <definedName name="_xlnm.Print_Area" localSheetId="9">'Atelier Base de données'!$A$4:$I$52</definedName>
    <definedName name="_xlnm.Print_Area" localSheetId="38">'Atelier Base de Données Avancée'!$A$4:$I$55</definedName>
    <definedName name="_xlnm.Print_Area" localSheetId="13">'Atelier Framework Côté Client'!$A$4:$I$59</definedName>
    <definedName name="_xlnm.Print_Area" localSheetId="20">'Atelier framework coté serveur'!$A$4:$I$58</definedName>
    <definedName name="_xlnm.Print_Area" localSheetId="12">'Atelier Programmation Objet'!$A$4:$I$64</definedName>
    <definedName name="_xlnm.Print_Area" localSheetId="26">'Atelier SGBD'!$A$4:$I$56</definedName>
    <definedName name="_xlnm.Print_Area" localSheetId="36">'Atelier SOA et techniques Integ'!$A$4:$I$62</definedName>
    <definedName name="_xlnm.Print_Area" localSheetId="8">'Base de données'!$A$4:$I$54</definedName>
    <definedName name="_xlnm.Print_Area" localSheetId="14">'Développement Côté Serveur'!$A$4:$I$59</definedName>
    <definedName name="_xlnm.Print_Area" localSheetId="41">'Développement Mobile'!$A$4:$I$56</definedName>
    <definedName name="_xlnm.Print_Area" localSheetId="46">'Etude de synthèse info. Si'!$A$1:$G$73</definedName>
    <definedName name="_xlnm.Print_Area" localSheetId="37">'Gestion des données Massives'!$A$4:$I$57</definedName>
    <definedName name="_xlnm.Print_Area" localSheetId="49">'Informatique décisionnelle '!$A$1:$F$92</definedName>
    <definedName name="_xlnm.Print_Area" localSheetId="48">'Intérgation et qualité du code'!$A$1:$G$91</definedName>
    <definedName name="_xlnm.Print_Area" localSheetId="31">'Marketing Digital '!$A$1:$F$109</definedName>
    <definedName name="_xlnm.Print_Area" localSheetId="39">'Méthodologie de Conception Obj'!$A$4:$I$56</definedName>
    <definedName name="_xlnm.Print_Area" localSheetId="10">'Modélisation Objet (UML2)'!$A$4:$I$62</definedName>
    <definedName name="_xlnm.Print_Area" localSheetId="11">'Programmation Objet'!$A$4:$I$52</definedName>
    <definedName name="_xlnm.Print_Area" localSheetId="23">'Programmation Objet Avancée'!$A$4:$I$59</definedName>
    <definedName name="_xlnm.Print_Area" localSheetId="30">'Sécurité applicative  '!$A$1:$G$92</definedName>
    <definedName name="_xlnm.Print_Area" localSheetId="25">SGBD!$A$4:$I$57</definedName>
    <definedName name="_xlnm.Print_Area" localSheetId="35">'SOA '!$A$4:$I$59</definedName>
    <definedName name="_xlnm.Print_Area" localSheetId="47">'Test et Validation du Logiciel'!$A$1:$G$78</definedName>
    <definedName name="_xlnm.Print_Area" localSheetId="44">TRE!$A$4:$I$59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0" i="4" l="1"/>
  <c r="F9" i="4"/>
  <c r="I50" i="4" l="1"/>
  <c r="H51" i="4"/>
  <c r="H50" i="4"/>
  <c r="K45" i="4"/>
  <c r="J45" i="4"/>
  <c r="I45" i="4"/>
  <c r="K31" i="4"/>
  <c r="J31" i="4"/>
  <c r="I51" i="4" s="1"/>
  <c r="I31" i="4"/>
  <c r="K18" i="4"/>
  <c r="J18" i="4"/>
  <c r="I18" i="4"/>
  <c r="I52" i="4" l="1"/>
  <c r="M45" i="4"/>
  <c r="N45" i="4"/>
  <c r="O45" i="4"/>
  <c r="L45" i="4"/>
  <c r="M31" i="4"/>
  <c r="N31" i="4"/>
  <c r="O31" i="4"/>
  <c r="L31" i="4"/>
  <c r="M18" i="4"/>
  <c r="N18" i="4"/>
  <c r="O18" i="4"/>
  <c r="L18" i="4"/>
  <c r="F41" i="4" l="1"/>
  <c r="F38" i="4" l="1"/>
  <c r="F36" i="4"/>
  <c r="F34" i="4"/>
  <c r="F32" i="4"/>
  <c r="F27" i="4"/>
  <c r="F25" i="4"/>
  <c r="F23" i="4"/>
  <c r="F21" i="4"/>
  <c r="F19" i="4"/>
  <c r="F12" i="4" l="1"/>
  <c r="H45" i="4" l="1"/>
  <c r="H52" i="4" s="1"/>
  <c r="H31" i="4"/>
  <c r="H18" i="4"/>
  <c r="F45" i="4"/>
  <c r="F31" i="4" l="1"/>
  <c r="H46" i="4"/>
  <c r="F18" i="4"/>
  <c r="F46" i="4" l="1"/>
</calcChain>
</file>

<file path=xl/sharedStrings.xml><?xml version="1.0" encoding="utf-8"?>
<sst xmlns="http://schemas.openxmlformats.org/spreadsheetml/2006/main" count="3090" uniqueCount="872">
  <si>
    <t xml:space="preserve">Partcipation </t>
  </si>
  <si>
    <t xml:space="preserve">Parcours </t>
  </si>
  <si>
    <t>#</t>
  </si>
  <si>
    <t xml:space="preserve">Contributeurs académique et professionnel </t>
  </si>
  <si>
    <t>Nom</t>
  </si>
  <si>
    <t xml:space="preserve">Organisme </t>
  </si>
  <si>
    <t xml:space="preserve">Poste </t>
  </si>
  <si>
    <t xml:space="preserve">Directeur </t>
  </si>
  <si>
    <t xml:space="preserve">Description </t>
  </si>
  <si>
    <t>Analyse statistique des données</t>
  </si>
  <si>
    <t>Assurance qualité informatique</t>
  </si>
  <si>
    <t>Conception des applications</t>
  </si>
  <si>
    <t>Conception et développement</t>
  </si>
  <si>
    <t>Gestion de la sécurité de l'information</t>
  </si>
  <si>
    <t>Gestion des données</t>
  </si>
  <si>
    <t>Gestion des problèmes</t>
  </si>
  <si>
    <t>Gouvernance informatique</t>
  </si>
  <si>
    <t>identification des besoins</t>
  </si>
  <si>
    <t>Ingénierie système</t>
  </si>
  <si>
    <t>Intégration des systèmes</t>
  </si>
  <si>
    <t>Tests</t>
  </si>
  <si>
    <t>Tests de pénétration</t>
  </si>
  <si>
    <t xml:space="preserve">Compétences techniques </t>
  </si>
  <si>
    <t xml:space="preserve">Éléments constitutifs </t>
  </si>
  <si>
    <t>Unités d'enseignement</t>
  </si>
  <si>
    <t xml:space="preserve">Appelation </t>
  </si>
  <si>
    <t xml:space="preserve">Volume horaire </t>
  </si>
  <si>
    <t>Bases de Données</t>
  </si>
  <si>
    <t xml:space="preserve">Base de données </t>
  </si>
  <si>
    <t>Programmation Objet</t>
  </si>
  <si>
    <t>total</t>
  </si>
  <si>
    <t>Projet d’Intégration</t>
  </si>
  <si>
    <t xml:space="preserve">total </t>
  </si>
  <si>
    <t xml:space="preserve">Type </t>
  </si>
  <si>
    <t>Fondamentale</t>
  </si>
  <si>
    <t xml:space="preserve">Transversale </t>
  </si>
  <si>
    <t>Optionnelle</t>
  </si>
  <si>
    <t>Est ce que le pré-requis est couvert dans le parcours lui même ?</t>
  </si>
  <si>
    <t>Matières du tronc commun : quelles matières permettent de répondre au pré-requis</t>
  </si>
  <si>
    <t>Semestre 3</t>
  </si>
  <si>
    <t>Semestre 4</t>
  </si>
  <si>
    <t>Semestre 5</t>
  </si>
  <si>
    <t>Semestre 1</t>
  </si>
  <si>
    <t>Semestre 2</t>
  </si>
  <si>
    <t>mathématique appliquée 1</t>
  </si>
  <si>
    <t>Algorithmique et  Programmation I</t>
  </si>
  <si>
    <t xml:space="preserve">Architecture et système </t>
  </si>
  <si>
    <t>Développement web et multimédia I</t>
  </si>
  <si>
    <t>mathématique appliquée II</t>
  </si>
  <si>
    <t xml:space="preserve">Système I </t>
  </si>
  <si>
    <t>Algorithmique et  Programmation II</t>
  </si>
  <si>
    <t>Développement web et multimédia II</t>
  </si>
  <si>
    <t>Mathématique Appliquée (42)</t>
  </si>
  <si>
    <t>Atelier Mathématiques Appliquées (21)</t>
  </si>
  <si>
    <t>Algorithmique et programmation (63)</t>
  </si>
  <si>
    <t>Atelier Programmation  (42)</t>
  </si>
  <si>
    <t>Architecture des Ordinateurs (21)</t>
  </si>
  <si>
    <t>Systèmes Logiques (21)</t>
  </si>
  <si>
    <t>Atelier Systèmes Logiques (21)</t>
  </si>
  <si>
    <t>Développement web et multimédia I (21)</t>
  </si>
  <si>
    <t>Atelier Développement Web et Multimédia I (42)</t>
  </si>
  <si>
    <t>Recherche Opérationnelle (21)</t>
  </si>
  <si>
    <t>Statistiques &amp; Probabilités (21)</t>
  </si>
  <si>
    <t>Systèmes d'Exploitation (42)</t>
  </si>
  <si>
    <t>Atelier Systèmes I (21)</t>
  </si>
  <si>
    <t>Algorithmique &amp; Programmation II (42)</t>
  </si>
  <si>
    <t>Atelier programmation II (42)</t>
  </si>
  <si>
    <t>Développement web et multimédia II (21)</t>
  </si>
  <si>
    <t>Atelier Développement Web et Multimédia II (42)</t>
  </si>
  <si>
    <t>Fondement des Réseaux (42)</t>
  </si>
  <si>
    <t>Etude et management de projets innovants</t>
  </si>
  <si>
    <t>Communication en entreprise</t>
  </si>
  <si>
    <t>X</t>
  </si>
  <si>
    <t>x</t>
  </si>
  <si>
    <t>IT Manager</t>
  </si>
  <si>
    <t xml:space="preserve">Directeur de département </t>
  </si>
  <si>
    <t>Réforme 2018</t>
  </si>
  <si>
    <t>Métiers visés par le parcours RSI</t>
  </si>
  <si>
    <t xml:space="preserve">Expérience minimum </t>
  </si>
  <si>
    <t>-</t>
  </si>
  <si>
    <t xml:space="preserve">Spécificité </t>
  </si>
  <si>
    <t>*nouveau métier non défini par le REM.REC</t>
  </si>
  <si>
    <t xml:space="preserve">Semestre </t>
  </si>
  <si>
    <t xml:space="preserve">Semestre 3 </t>
  </si>
  <si>
    <t xml:space="preserve">Semestre 4 </t>
  </si>
  <si>
    <t xml:space="preserve">Semestre 5 </t>
  </si>
  <si>
    <t xml:space="preserve">Fiche élément constitutif </t>
  </si>
  <si>
    <t>Statut</t>
  </si>
  <si>
    <t>Domaine de formation</t>
  </si>
  <si>
    <t>Mention</t>
  </si>
  <si>
    <t>Parcours</t>
  </si>
  <si>
    <t>Semestre</t>
  </si>
  <si>
    <t>Historique des mises à jour</t>
  </si>
  <si>
    <t>Date</t>
  </si>
  <si>
    <t>Nature du changement</t>
  </si>
  <si>
    <t>Elément constitutif</t>
  </si>
  <si>
    <t>Volume horaire</t>
  </si>
  <si>
    <t>Coefficient</t>
  </si>
  <si>
    <t>Crédit</t>
  </si>
  <si>
    <t>Système d'évaluation</t>
  </si>
  <si>
    <t>Objectifs généraux</t>
  </si>
  <si>
    <t>Objectifs spécifiques</t>
  </si>
  <si>
    <t>Mots clés</t>
  </si>
  <si>
    <t>Compétences cibles</t>
  </si>
  <si>
    <t>Gestion des actifs</t>
  </si>
  <si>
    <t>Contenu de la formation</t>
  </si>
  <si>
    <t>Pré-requis</t>
  </si>
  <si>
    <t>Benchmark et références similaires</t>
  </si>
  <si>
    <t>Autres</t>
  </si>
  <si>
    <t xml:space="preserve">Unité d'enseignement </t>
  </si>
  <si>
    <t>Base de données</t>
  </si>
  <si>
    <t>Conception et Programmation Objet</t>
  </si>
  <si>
    <t xml:space="preserve">Technologie réseaux </t>
  </si>
  <si>
    <t xml:space="preserve">Les métiers sont classés par ordre de priorité </t>
  </si>
  <si>
    <t>La première référence pour la définition des métiers du parcours est le référentiel tunisien REM.REC, disponible sur le lien (digitaltalent.tn)</t>
  </si>
  <si>
    <t xml:space="preserve">NB : </t>
  </si>
  <si>
    <t>Ahmed Jmal</t>
  </si>
  <si>
    <t>Fadwa ben Abid</t>
  </si>
  <si>
    <t>Nissen el Masmoudi</t>
  </si>
  <si>
    <t>Mohamed Raouf Ourir</t>
  </si>
  <si>
    <t>Bassem HAMIDI</t>
  </si>
  <si>
    <t>Haifa Sgaier</t>
  </si>
  <si>
    <t>Mohtadi Zayen</t>
  </si>
  <si>
    <t>Chiraz Bousrih</t>
  </si>
  <si>
    <t>ISET Sfax</t>
  </si>
  <si>
    <t>ISET Kebili</t>
  </si>
  <si>
    <t>ISET Djerba</t>
  </si>
  <si>
    <t>Business &amp; Decision</t>
  </si>
  <si>
    <t>Vermeg</t>
  </si>
  <si>
    <t>FIS</t>
  </si>
  <si>
    <t>ISET Ksar Hellal</t>
  </si>
  <si>
    <t>Mariem El Abed</t>
  </si>
  <si>
    <t>Tech Leader</t>
  </si>
  <si>
    <t>Mohamed Anis Mejri</t>
  </si>
  <si>
    <t>ISET Kelibia</t>
  </si>
  <si>
    <t xml:space="preserve">Meriem Sanhaji </t>
  </si>
  <si>
    <t xml:space="preserve">Ressource humaine </t>
  </si>
  <si>
    <t>Responsable de practice</t>
  </si>
  <si>
    <t>Manager vermeg academy</t>
  </si>
  <si>
    <t>Technical Leader</t>
  </si>
  <si>
    <t xml:space="preserve">Concepteur </t>
  </si>
  <si>
    <t xml:space="preserve">Développeur </t>
  </si>
  <si>
    <t>Testeur</t>
  </si>
  <si>
    <t xml:space="preserve">Administrateur de base de données </t>
  </si>
  <si>
    <t xml:space="preserve">Analyste de données </t>
  </si>
  <si>
    <t>Conception de l’architecture</t>
  </si>
  <si>
    <t>Gestion de la propriété intellectuelle</t>
  </si>
  <si>
    <t>Production de la documentation</t>
  </si>
  <si>
    <t>Schéma directeur informatique et alignement stratégique</t>
  </si>
  <si>
    <t xml:space="preserve">Développement des systèmes d'information  </t>
  </si>
  <si>
    <t>Matières du parcours DSI : dans quelles matières le pré-requis est demandé ?</t>
  </si>
  <si>
    <t>Prérequis pour le parcours DSI</t>
  </si>
  <si>
    <t>Bases de 
Données (21)</t>
  </si>
  <si>
    <t>Atelier Base de Données (42)</t>
  </si>
  <si>
    <t>Modélisation Objet (UML2) (42)</t>
  </si>
  <si>
    <t>Programmation Objet (21)</t>
  </si>
  <si>
    <t>Atelier de Programmation Objet (42)</t>
  </si>
  <si>
    <t>Atelier framework Coté Client (42)</t>
  </si>
  <si>
    <t>Développement Côté Serveur (21)</t>
  </si>
  <si>
    <t>Atelier Développement web coté serveur (21)</t>
  </si>
  <si>
    <t>Projet d’Intégration (21)</t>
  </si>
  <si>
    <t>Atelier framework coté serveur (42)</t>
  </si>
  <si>
    <t>Architecture logicielle (21)</t>
  </si>
  <si>
    <t>Atelier Environnement de Développement (42)</t>
  </si>
  <si>
    <t>Programmation Objet Avancée (21)</t>
  </si>
  <si>
    <t>Atelier Programmation Objet Avancée (42)</t>
  </si>
  <si>
    <t>SGBD (21)</t>
  </si>
  <si>
    <t>Atelier SGBD (42)</t>
  </si>
  <si>
    <t>Gestion des données Massives (21)</t>
  </si>
  <si>
    <t>Atelier Base de Données Avancées avancé (42)</t>
  </si>
  <si>
    <t xml:space="preserve">Méthodologie de Conception Objet (21) </t>
  </si>
  <si>
    <t>Développement Mobile (21)</t>
  </si>
  <si>
    <t>Atelier développement Mobile natif (42)</t>
  </si>
  <si>
    <t>Atelier Framework cross-platform (42)</t>
  </si>
  <si>
    <t>Algorithmique et structure de données</t>
  </si>
  <si>
    <t>non</t>
  </si>
  <si>
    <t>Programmation structurée</t>
  </si>
  <si>
    <t xml:space="preserve">non </t>
  </si>
  <si>
    <t>Javascript</t>
  </si>
  <si>
    <t>HTML 5</t>
  </si>
  <si>
    <t>Programmation objet</t>
  </si>
  <si>
    <t>Oui</t>
  </si>
  <si>
    <t>Programmation objet avancée</t>
  </si>
  <si>
    <t>Base de données SQL</t>
  </si>
  <si>
    <t>Génie logiciel</t>
  </si>
  <si>
    <t>Architecture logicielle</t>
  </si>
  <si>
    <t>SGBD</t>
  </si>
  <si>
    <t>Conception</t>
  </si>
  <si>
    <t>PHP</t>
  </si>
  <si>
    <t>Développement web</t>
  </si>
  <si>
    <t>Développement mobile</t>
  </si>
  <si>
    <t>Programmation Java</t>
  </si>
  <si>
    <t>XML</t>
  </si>
  <si>
    <t>Systèmes d'exploitation</t>
  </si>
  <si>
    <t>CSS 3</t>
  </si>
  <si>
    <t>Atelier Base de Données</t>
  </si>
  <si>
    <t>Modélisation Objet (UML2)</t>
  </si>
  <si>
    <t>Atelier de Programmation Objet</t>
  </si>
  <si>
    <t>Développement Web</t>
  </si>
  <si>
    <t>Atelier framework Coté Client</t>
  </si>
  <si>
    <t>Atelier Développement web coté serveur</t>
  </si>
  <si>
    <t>développement  web</t>
  </si>
  <si>
    <t>Atelier framework coté serveur</t>
  </si>
  <si>
    <t>Architecture Logicielle</t>
  </si>
  <si>
    <t>Atelier Environnement de Développement</t>
  </si>
  <si>
    <t>Programmation Objet Avancée</t>
  </si>
  <si>
    <t>Atelier Programmation Objet Avancée</t>
  </si>
  <si>
    <t>Atelier SGBD</t>
  </si>
  <si>
    <t>SOA (Architecture orientée service)</t>
  </si>
  <si>
    <t>SOA</t>
  </si>
  <si>
    <t>Atelier SOA</t>
  </si>
  <si>
    <t>Gestion de Données Avancées</t>
  </si>
  <si>
    <t>Gestion des données Massives</t>
  </si>
  <si>
    <t>Atelier Base de Données Avancées</t>
  </si>
  <si>
    <t>Méthodologie de Conception</t>
  </si>
  <si>
    <t>Méthodologie de Conception Objet</t>
  </si>
  <si>
    <t xml:space="preserve">Développement mobile et web </t>
  </si>
  <si>
    <t>Développement Mobile</t>
  </si>
  <si>
    <t>Atelier développement Mobile natif</t>
  </si>
  <si>
    <t>Atelier Framework cross-platform</t>
  </si>
  <si>
    <t xml:space="preserve">Unité optionnelle </t>
  </si>
  <si>
    <t>Fiche élément constitutif : Base de Données</t>
  </si>
  <si>
    <t>Sciences et Technologies</t>
  </si>
  <si>
    <t>Technologies de l’Informatique (TI)</t>
  </si>
  <si>
    <t>Développement des Systèmes  d’Information</t>
  </si>
  <si>
    <t>Unité d'enseignenement</t>
  </si>
  <si>
    <t>S3</t>
  </si>
  <si>
    <t>Création</t>
  </si>
  <si>
    <t>Contrôle continu</t>
  </si>
  <si>
    <t>Maîtriser les concepts relatifs aux BD relationnelles permettant leur création et leur manipulation</t>
  </si>
  <si>
    <t>Comprendre les concepts sous-jacents aux bases de données
Approfondir les concepts de modélisation, de conception et d’implémentation de BD
Concevoir une BD en respectant les règles et les normes des modèles de données
Convertir un schéma conceptuel en un schéma logique (relationnel) cohérent
Appliquer les opérations de l’algèbre relationnelle pour interroger une BD
Appliquer la modélisation du schéma relationnel par décomposition</t>
  </si>
  <si>
    <t>Base de données, modèle E/A, conception, schéma relationnel, algèbre relationnelle, normalisation</t>
  </si>
  <si>
    <r>
      <rPr>
        <b/>
        <sz val="12"/>
        <rFont val="Calibri"/>
        <family val="2"/>
        <scheme val="minor"/>
      </rPr>
      <t xml:space="preserve">Chapitre 1 : </t>
    </r>
    <r>
      <rPr>
        <sz val="12"/>
        <rFont val="Calibri"/>
        <family val="2"/>
        <scheme val="minor"/>
      </rPr>
      <t xml:space="preserve">Introduction à l’environnement BD 
    Limites de l’utilisation des fichiers 
    Composantes de l’environnement BD. 
    Cycle de vie d’une BD. 
    Architecture standard ANSI/SPARC 
    Notions de modèle et schéma. 
    Historique des modèles. 
</t>
    </r>
    <r>
      <rPr>
        <b/>
        <sz val="12"/>
        <rFont val="Calibri"/>
        <family val="2"/>
        <scheme val="minor"/>
      </rPr>
      <t>Chapitre 2 :</t>
    </r>
    <r>
      <rPr>
        <sz val="12"/>
        <rFont val="Calibri"/>
        <family val="2"/>
        <scheme val="minor"/>
      </rPr>
      <t xml:space="preserve"> Modèle Entités/Relations ou Associations (E/R ou E/A) 
    Définition 
    Origine du modèle 
    Concepts et formalisme 
    Règles de construction d’un modèle E/R 
</t>
    </r>
    <r>
      <rPr>
        <b/>
        <sz val="12"/>
        <rFont val="Calibri"/>
        <family val="2"/>
        <scheme val="minor"/>
      </rPr>
      <t xml:space="preserve">Chapitre 3 : </t>
    </r>
    <r>
      <rPr>
        <sz val="12"/>
        <rFont val="Calibri"/>
        <family val="2"/>
        <scheme val="minor"/>
      </rPr>
      <t xml:space="preserve">Modèle relationnel 
    Concepts de base. 
    Règles d’intégrité structurelle. 
    Règles de traduction ou passage du diagramme E/R au schéma relationnel 
</t>
    </r>
    <r>
      <rPr>
        <b/>
        <sz val="12"/>
        <rFont val="Calibri"/>
        <family val="2"/>
        <scheme val="minor"/>
      </rPr>
      <t>Chapitre 4 :</t>
    </r>
    <r>
      <rPr>
        <sz val="12"/>
        <rFont val="Calibri"/>
        <family val="2"/>
        <scheme val="minor"/>
      </rPr>
      <t xml:space="preserve"> Algèbre relationnelle 
    Algèbre relationnelle 
    Opérations ensemblistes 
    Opérations spécifiques.
</t>
    </r>
    <r>
      <rPr>
        <b/>
        <sz val="12"/>
        <rFont val="Calibri"/>
        <family val="2"/>
        <scheme val="minor"/>
      </rPr>
      <t xml:space="preserve">Chapitre 5 : </t>
    </r>
    <r>
      <rPr>
        <sz val="12"/>
        <rFont val="Calibri"/>
        <family val="2"/>
        <scheme val="minor"/>
      </rPr>
      <t xml:space="preserve">Dépendances fonctionnelles / Normalisation 
    Dépendances fonctionnelles 
    Normalisation
</t>
    </r>
  </si>
  <si>
    <t>Orientations et moyens pédagogiques</t>
  </si>
  <si>
    <t>Condensé du cours</t>
  </si>
  <si>
    <t>Travaux dirigés</t>
  </si>
  <si>
    <t>Travaux personnalisés</t>
  </si>
  <si>
    <t>Cours interactif</t>
  </si>
  <si>
    <t>Mini projet</t>
  </si>
  <si>
    <t>Cette matière requiert que l'étudiant ait suivi  
Unités d'enseignement Algorithmique et structures de données
Unités d'enseignement Programmation structurée</t>
  </si>
  <si>
    <t>Participants / contributeurs à la formation en dehors de l'établissement (spécifier l'intervention et le cadre)</t>
  </si>
  <si>
    <t>Contributeur</t>
  </si>
  <si>
    <t>Catégorie</t>
  </si>
  <si>
    <t>Contribution</t>
  </si>
  <si>
    <t xml:space="preserve">Gardarin G., Bases de Données - objet/relationnel, Eyrolles, 1999, ISBN: 2-212-09060-9
Gardarin G., Maîtriser les Bases de Données: modèles et langages, Eyrolles
Carrez C., Des Structures aux Bases de Données, Masson
Marcenac, P., SGBD relationnels, Optimisation des performances, Eyrolles
Date C.J., An Introduction to Database Systems, Addison Wesley
</t>
  </si>
  <si>
    <t>Fiche élément constitutif : Atelier Base de Données</t>
  </si>
  <si>
    <t>Atelier Base de données</t>
  </si>
  <si>
    <t>Maîtriser la manipulation des BD relationnelles en passant de leurs créations à leurs mise à jour puis leurs sauvegarde et suppression</t>
  </si>
  <si>
    <r>
      <rPr>
        <b/>
        <sz val="12"/>
        <rFont val="Calibri"/>
        <family val="2"/>
        <scheme val="minor"/>
      </rPr>
      <t xml:space="preserve">Atelier 1 : </t>
    </r>
    <r>
      <rPr>
        <sz val="12"/>
        <rFont val="Calibri"/>
        <family val="2"/>
        <scheme val="minor"/>
      </rPr>
      <t xml:space="preserve">Introduction à l’environnement Oracle Database 11g 
</t>
    </r>
    <r>
      <rPr>
        <b/>
        <sz val="12"/>
        <rFont val="Calibri"/>
        <family val="2"/>
        <scheme val="minor"/>
      </rPr>
      <t xml:space="preserve">Atelier 2 : </t>
    </r>
    <r>
      <rPr>
        <sz val="12"/>
        <rFont val="Calibri"/>
        <family val="2"/>
        <scheme val="minor"/>
      </rPr>
      <t xml:space="preserve">Introduction à l’utilisation de l'environnement SQL*Plus 
</t>
    </r>
    <r>
      <rPr>
        <b/>
        <sz val="12"/>
        <rFont val="Calibri"/>
        <family val="2"/>
        <scheme val="minor"/>
      </rPr>
      <t xml:space="preserve">Atelier 3 : </t>
    </r>
    <r>
      <rPr>
        <sz val="12"/>
        <rFont val="Calibri"/>
        <family val="2"/>
        <scheme val="minor"/>
      </rPr>
      <t xml:space="preserve">Extraire des données à l'aide de l'instruction SQL SELECT, Restreindre et trier les données 
</t>
    </r>
    <r>
      <rPr>
        <b/>
        <sz val="12"/>
        <rFont val="Calibri"/>
        <family val="2"/>
        <scheme val="minor"/>
      </rPr>
      <t xml:space="preserve">Atelier 4 : </t>
    </r>
    <r>
      <rPr>
        <sz val="12"/>
        <rFont val="Calibri"/>
        <family val="2"/>
        <scheme val="minor"/>
      </rPr>
      <t xml:space="preserve">Utiliser des fonctions monoligne afin de personnaliser la sortie 
</t>
    </r>
    <r>
      <rPr>
        <b/>
        <sz val="12"/>
        <rFont val="Calibri"/>
        <family val="2"/>
        <scheme val="minor"/>
      </rPr>
      <t xml:space="preserve">Atelier 5 : </t>
    </r>
    <r>
      <rPr>
        <sz val="12"/>
        <rFont val="Calibri"/>
        <family val="2"/>
        <scheme val="minor"/>
      </rPr>
      <t xml:space="preserve">Afficher des données agrégées à l'aide des fonctions de groupe 
</t>
    </r>
    <r>
      <rPr>
        <b/>
        <sz val="12"/>
        <rFont val="Calibri"/>
        <family val="2"/>
        <scheme val="minor"/>
      </rPr>
      <t xml:space="preserve">Atelier 6 : </t>
    </r>
    <r>
      <rPr>
        <sz val="12"/>
        <rFont val="Calibri"/>
        <family val="2"/>
        <scheme val="minor"/>
      </rPr>
      <t xml:space="preserve">Afficher des données de plusieurs tables 
</t>
    </r>
    <r>
      <rPr>
        <b/>
        <sz val="12"/>
        <rFont val="Calibri"/>
        <family val="2"/>
        <scheme val="minor"/>
      </rPr>
      <t xml:space="preserve">Atelier 7 : </t>
    </r>
    <r>
      <rPr>
        <sz val="12"/>
        <rFont val="Calibri"/>
        <family val="2"/>
        <scheme val="minor"/>
      </rPr>
      <t xml:space="preserve">Utiliser des sous-interrogations pour résoudre des interrogations 
</t>
    </r>
    <r>
      <rPr>
        <b/>
        <sz val="12"/>
        <rFont val="Calibri"/>
        <family val="2"/>
        <scheme val="minor"/>
      </rPr>
      <t xml:space="preserve">Atelier 8 : </t>
    </r>
    <r>
      <rPr>
        <sz val="12"/>
        <rFont val="Calibri"/>
        <family val="2"/>
        <scheme val="minor"/>
      </rPr>
      <t xml:space="preserve">Utiliser les opérateurs ensemblistes 
</t>
    </r>
    <r>
      <rPr>
        <b/>
        <sz val="12"/>
        <rFont val="Calibri"/>
        <family val="2"/>
        <scheme val="minor"/>
      </rPr>
      <t xml:space="preserve">Atelier 9 : </t>
    </r>
    <r>
      <rPr>
        <sz val="12"/>
        <rFont val="Calibri"/>
        <family val="2"/>
        <scheme val="minor"/>
      </rPr>
      <t xml:space="preserve">Utiliser des instructions LDD pour créer et gérer des tables 
</t>
    </r>
    <r>
      <rPr>
        <b/>
        <sz val="12"/>
        <rFont val="Calibri"/>
        <family val="2"/>
        <scheme val="minor"/>
      </rPr>
      <t xml:space="preserve">Atelier 10 : </t>
    </r>
    <r>
      <rPr>
        <sz val="12"/>
        <rFont val="Calibri"/>
        <family val="2"/>
        <scheme val="minor"/>
      </rPr>
      <t xml:space="preserve">Créer d'autres objets de schéma 
</t>
    </r>
    <r>
      <rPr>
        <b/>
        <sz val="12"/>
        <rFont val="Calibri"/>
        <family val="2"/>
        <scheme val="minor"/>
      </rPr>
      <t xml:space="preserve">Atelier 11 : </t>
    </r>
    <r>
      <rPr>
        <sz val="12"/>
        <rFont val="Calibri"/>
        <family val="2"/>
        <scheme val="minor"/>
      </rPr>
      <t xml:space="preserve">Gérer les objets du schéma 
</t>
    </r>
    <r>
      <rPr>
        <b/>
        <sz val="12"/>
        <rFont val="Calibri"/>
        <family val="2"/>
        <scheme val="minor"/>
      </rPr>
      <t xml:space="preserve">Atelier 12 : </t>
    </r>
    <r>
      <rPr>
        <sz val="12"/>
        <rFont val="Calibri"/>
        <family val="2"/>
        <scheme val="minor"/>
      </rPr>
      <t>Gérer les objets à l'aide de vues du dictionnaire de données</t>
    </r>
  </si>
  <si>
    <t>Fascicule de travaux pratiques</t>
  </si>
  <si>
    <t>Laboratoires d’informatique</t>
  </si>
  <si>
    <t>SGBD : Oracle ou équivalent</t>
  </si>
  <si>
    <t xml:space="preserve">Soutou C., SQL Pour Oracle (avec exercices corrigés), 7ème Edition, Eyrolles, 2015
Godoc E., SQL : les fondamentaux du langage, ENI, 2014
Date C.J., A Guide to SQL Standard, Addison Wesley
J. Pratt P., Initiation à SQL (cours et exercices corrigés), Eyrolles, 2001
Brouad F. et Soutou C., SQL (cours et exercices corrigés), Coll. Synthex, Pearson Education, 2005
</t>
  </si>
  <si>
    <t>Fiche élément constitutif : Modélisation Objet (UML2)</t>
  </si>
  <si>
    <t>Maîtriser la lecture, la concepton et la compréhension des modèles d’un système d’information en utilisant le langage UML2.</t>
  </si>
  <si>
    <t>Positionner UML dans la cartographie des outils de modélisation.
Comprendre les différentes vues d’un système d’information : comportement, interaction, structure.
Concevoir des modèles orientés objet avec UML.
Connaître l’utilité de chaque type de diagramme dans le processus de développement.
Améliorer la productivité logicielle en appliquant correctement la modélisation UML.H23</t>
  </si>
  <si>
    <t>Conception, UML2, Modélisation objet, OMG</t>
  </si>
  <si>
    <t>Forme de base</t>
  </si>
  <si>
    <t>Optionnel</t>
  </si>
  <si>
    <t>Optionnel, pas forcément avec correction (home work)</t>
  </si>
  <si>
    <t>Avancement au fur et à mesure du cours, est évalué</t>
  </si>
  <si>
    <t>NA</t>
  </si>
  <si>
    <t>Fiche élément constitutif : Programmation Objet</t>
  </si>
  <si>
    <t>Maîtriser les concepts objets et leur mise en exergue (conception et éditions de programmes orientés objets)</t>
  </si>
  <si>
    <t>Comprendre les concepts de programmation orientée objet
Maîtriser l’implémentation des classes d’objets (attributs, méthodes, visibilité, constructeurs, destructeur)
Pouvoir implémenter des classes avec le principe d’héritage
Ecrire des programmes avec des objets de différentes classes 
Comprendre le principe des execptions</t>
  </si>
  <si>
    <t xml:space="preserve">POO, attribut, méthode, encapsulation, mode de visibilité, objet, classe </t>
  </si>
  <si>
    <r>
      <rPr>
        <b/>
        <sz val="12"/>
        <rFont val="Calibri"/>
        <family val="2"/>
        <scheme val="minor"/>
      </rPr>
      <t>Chapitre 1 :</t>
    </r>
    <r>
      <rPr>
        <sz val="12"/>
        <rFont val="Calibri"/>
        <family val="2"/>
        <scheme val="minor"/>
      </rPr>
      <t xml:space="preserve"> Les concepts clé de l’orienté objet : Encapsulation, objet, classe, attribut, méthode
</t>
    </r>
    <r>
      <rPr>
        <b/>
        <sz val="12"/>
        <rFont val="Calibri"/>
        <family val="2"/>
        <scheme val="minor"/>
      </rPr>
      <t>Chapitre 2 :</t>
    </r>
    <r>
      <rPr>
        <sz val="12"/>
        <rFont val="Calibri"/>
        <family val="2"/>
        <scheme val="minor"/>
      </rPr>
      <t xml:space="preserve"> La notion des classes et Objets
</t>
    </r>
    <r>
      <rPr>
        <b/>
        <sz val="12"/>
        <rFont val="Calibri"/>
        <family val="2"/>
        <scheme val="minor"/>
      </rPr>
      <t xml:space="preserve">Chapitre 3 : </t>
    </r>
    <r>
      <rPr>
        <sz val="12"/>
        <rFont val="Calibri"/>
        <family val="2"/>
        <scheme val="minor"/>
      </rPr>
      <t xml:space="preserve">L’encapsulation : mode de visibilité (public et privé), les constructeurs et le destructeur
</t>
    </r>
    <r>
      <rPr>
        <b/>
        <sz val="12"/>
        <rFont val="Calibri"/>
        <family val="2"/>
        <scheme val="minor"/>
      </rPr>
      <t xml:space="preserve">Chapitre 4 : </t>
    </r>
    <r>
      <rPr>
        <sz val="12"/>
        <rFont val="Calibri"/>
        <family val="2"/>
        <scheme val="minor"/>
      </rPr>
      <t xml:space="preserve">Relations entre classes (association et agrégation), l’héritage et l’encapsulation
</t>
    </r>
    <r>
      <rPr>
        <b/>
        <sz val="12"/>
        <rFont val="Calibri"/>
        <family val="2"/>
        <scheme val="minor"/>
      </rPr>
      <t xml:space="preserve">Chapitre 5 : </t>
    </r>
    <r>
      <rPr>
        <sz val="12"/>
        <rFont val="Calibri"/>
        <family val="2"/>
        <scheme val="minor"/>
      </rPr>
      <t xml:space="preserve">Polymorphisme, classes abstraites et interfaces
</t>
    </r>
    <r>
      <rPr>
        <b/>
        <sz val="12"/>
        <rFont val="Calibri"/>
        <family val="2"/>
        <scheme val="minor"/>
      </rPr>
      <t xml:space="preserve">Chapitre 6 : </t>
    </r>
    <r>
      <rPr>
        <sz val="12"/>
        <rFont val="Calibri"/>
        <family val="2"/>
        <scheme val="minor"/>
      </rPr>
      <t xml:space="preserve">La gestion des exceptions
</t>
    </r>
  </si>
  <si>
    <t>Claude Delannoy : programmer en java, Eyrolles 2012 ISBN10 : 2212135661
M. Bouzeghoub, G. Gardarin, P. Valduriez, Les objets, Eyrolles 1998.
E.Puybaret, Java - 1 Premières applications professionnelles en Java, Les Cahiers du Programmeur 2003.
G.Clavel, et al., Java, La synthèse, Dunod 2003.
H. Bersini, La programmation orientée objet, Cours et exercices en UML 2, avec Java, C# 2, C++, Python, PHP 5 et LINQ, Eyrolles 2008
C.Delannoy, S'initier à la programmation : Avec des exemples en C, C++, C#, Java et PHP, Eyrolles, 2008</t>
  </si>
  <si>
    <t>Fiche élément constitutif : Atelier de Programmation Objet</t>
  </si>
  <si>
    <t>Maîtriser le développement de programmes orientés objets sur les environnements appropriés</t>
  </si>
  <si>
    <t xml:space="preserve">Mettre en oeuvre des programmes objets selon les bonnes pratiques de développement
Maîtriser l’implémentation des classes d’objets (attributs, méthodes, visibilité, constructeurs, destructeur)
Pouvoir implémenter des classes avec le principe d’héritage
Ecrire des programmes avec des objets de différentes classes 
Implémenter le principe des execptions.
</t>
  </si>
  <si>
    <r>
      <rPr>
        <b/>
        <sz val="12"/>
        <rFont val="Calibri"/>
        <family val="2"/>
        <scheme val="minor"/>
      </rPr>
      <t xml:space="preserve">Atelier 1 : </t>
    </r>
    <r>
      <rPr>
        <sz val="12"/>
        <rFont val="Calibri"/>
        <family val="2"/>
        <scheme val="minor"/>
      </rPr>
      <t xml:space="preserve">Edition de programme sur BlocNote et Compilation en ligne de commande
</t>
    </r>
    <r>
      <rPr>
        <b/>
        <sz val="12"/>
        <rFont val="Calibri"/>
        <family val="2"/>
        <scheme val="minor"/>
      </rPr>
      <t xml:space="preserve">Atelier 2 : </t>
    </r>
    <r>
      <rPr>
        <sz val="12"/>
        <rFont val="Calibri"/>
        <family val="2"/>
        <scheme val="minor"/>
      </rPr>
      <t xml:space="preserve">Initiation à l'environnement et aux Techniques de débogage de code
</t>
    </r>
    <r>
      <rPr>
        <b/>
        <sz val="12"/>
        <rFont val="Calibri"/>
        <family val="2"/>
        <scheme val="minor"/>
      </rPr>
      <t xml:space="preserve">Atelier 3 : </t>
    </r>
    <r>
      <rPr>
        <sz val="12"/>
        <rFont val="Calibri"/>
        <family val="2"/>
        <scheme val="minor"/>
      </rPr>
      <t xml:space="preserve">Concepts Objet de Base : mode de visibilité (public et privé), les constructeurs, le destructeur et les outils de génération de code
</t>
    </r>
    <r>
      <rPr>
        <b/>
        <sz val="12"/>
        <rFont val="Calibri"/>
        <family val="2"/>
        <scheme val="minor"/>
      </rPr>
      <t xml:space="preserve">Atelier 4 : </t>
    </r>
    <r>
      <rPr>
        <sz val="12"/>
        <rFont val="Calibri"/>
        <family val="2"/>
        <scheme val="minor"/>
      </rPr>
      <t xml:space="preserve">Relations entre classes (association et agrégation), l’héritage et l’encapsulation
</t>
    </r>
    <r>
      <rPr>
        <b/>
        <sz val="12"/>
        <rFont val="Calibri"/>
        <family val="2"/>
        <scheme val="minor"/>
      </rPr>
      <t xml:space="preserve">Atelier 5 : </t>
    </r>
    <r>
      <rPr>
        <sz val="12"/>
        <rFont val="Calibri"/>
        <family val="2"/>
        <scheme val="minor"/>
      </rPr>
      <t xml:space="preserve">Polymorphisme, classes abstraites et interfaces
</t>
    </r>
    <r>
      <rPr>
        <b/>
        <sz val="12"/>
        <rFont val="Calibri"/>
        <family val="2"/>
        <scheme val="minor"/>
      </rPr>
      <t xml:space="preserve">Atelier 6 : </t>
    </r>
    <r>
      <rPr>
        <sz val="12"/>
        <rFont val="Calibri"/>
        <family val="2"/>
        <scheme val="minor"/>
      </rPr>
      <t xml:space="preserve">Les exceptions (Création et utilisation)
</t>
    </r>
  </si>
  <si>
    <t>IDE Objet : Eclipse ou équivalent</t>
  </si>
  <si>
    <t>Cette matière requiert que l'étudiant ait suivi  
1- Unités d'enseignement Programmation structurée</t>
  </si>
  <si>
    <t>Fiche élément constitutif : Atelier framework Coté Client</t>
  </si>
  <si>
    <t>Maîtriser le développement des sites Web riches à travers un Framework de développement coté client.</t>
  </si>
  <si>
    <t>Organiser et modulariser ses développements JavaScript grâce à un Framework
Découvrir les fonctionnalités du Framework Angular
Savoir développer une nouvelle application Web
Savoir concevoir une application Angular avec JavaScript et Type Script
Connaître les mécanismes avancés du Framework Angular JS</t>
  </si>
  <si>
    <t>Compétences architecturales</t>
  </si>
  <si>
    <t>IDE : Visual Studio Code ou équivalent</t>
  </si>
  <si>
    <t>Cette matière requiert que l'étudiant ait des connaissances en Algorithmique et Structure de données
JavaScript, HTML5</t>
  </si>
  <si>
    <t>Développeur front end</t>
  </si>
  <si>
    <t>Professionnel</t>
  </si>
  <si>
    <t xml:space="preserve">AngularJS :  Développez aujourd'hui les applications web de demain.  Pierre-Alexandre GURY et Sébastien OLLIVIER : février 2015.
AngularJS Deployment Essentials. Zachariah Moreno : février 2015
</t>
  </si>
  <si>
    <t>Fiche élément constitutif : Développement Côté Serveur</t>
  </si>
  <si>
    <t>Développement Coté Serveur</t>
  </si>
  <si>
    <t>À supprimer</t>
  </si>
  <si>
    <t>comprendre et maîtriser le processus de mise en œuvre et de développement d'une application Web dynamique</t>
  </si>
  <si>
    <t xml:space="preserve">Comprendre le principe de la programmation web dynamique.
Maîtriser la programmation orientée objet avec un langage de script coté serveur (PHP ou équivalent)
Connaître la panoplie des solutions web dynamiques.
Maîtriser le processus de mise en œuvre d'une application Web dynamique avec un langage de script coté serveur (PHP ou équivalent)
Comprendre l’intérêt de la sécurité des pages web à travers le langage un langage de script coté serveur (PHP ou équivalent)
</t>
  </si>
  <si>
    <t>Programmation web dynamique, PHP5, MySQL, Serveur Apache, Easy PHP, Wamp, Xamp</t>
  </si>
  <si>
    <r>
      <rPr>
        <b/>
        <sz val="12"/>
        <rFont val="Calibri"/>
        <family val="2"/>
        <scheme val="minor"/>
      </rPr>
      <t xml:space="preserve">Chapitre 1 : </t>
    </r>
    <r>
      <rPr>
        <sz val="12"/>
        <rFont val="Calibri"/>
        <family val="2"/>
        <scheme val="minor"/>
      </rPr>
      <t xml:space="preserve">Les Bases d'un langage de script coté serveur (PHP ou équivalent)
</t>
    </r>
    <r>
      <rPr>
        <b/>
        <sz val="12"/>
        <rFont val="Calibri"/>
        <family val="2"/>
        <scheme val="minor"/>
      </rPr>
      <t xml:space="preserve">Chapitre 2 : </t>
    </r>
    <r>
      <rPr>
        <sz val="12"/>
        <rFont val="Calibri"/>
        <family val="2"/>
        <scheme val="minor"/>
      </rPr>
      <t xml:space="preserve">L’orienté objet avec un langage de script coté serveur (PHP ou équivalent)
</t>
    </r>
    <r>
      <rPr>
        <b/>
        <sz val="12"/>
        <rFont val="Calibri"/>
        <family val="2"/>
        <scheme val="minor"/>
      </rPr>
      <t xml:space="preserve">Chapitre 3 : </t>
    </r>
    <r>
      <rPr>
        <sz val="12"/>
        <rFont val="Calibri"/>
        <family val="2"/>
        <scheme val="minor"/>
      </rPr>
      <t xml:space="preserve">Formulaires et accès aux bases de données
</t>
    </r>
    <r>
      <rPr>
        <b/>
        <sz val="12"/>
        <rFont val="Calibri"/>
        <family val="2"/>
        <scheme val="minor"/>
      </rPr>
      <t xml:space="preserve">Chapitre 4 : </t>
    </r>
    <r>
      <rPr>
        <sz val="12"/>
        <rFont val="Calibri"/>
        <family val="2"/>
        <scheme val="minor"/>
      </rPr>
      <t xml:space="preserve">Cookies, sessions et E-mails
</t>
    </r>
    <r>
      <rPr>
        <b/>
        <sz val="12"/>
        <rFont val="Calibri"/>
        <family val="2"/>
        <scheme val="minor"/>
      </rPr>
      <t xml:space="preserve">Chapitre 5 : </t>
    </r>
    <r>
      <rPr>
        <sz val="12"/>
        <rFont val="Calibri"/>
        <family val="2"/>
        <scheme val="minor"/>
      </rPr>
      <t xml:space="preserve">La Sécurité avec un langage de script coté serveur (PHP ou équivalent)
</t>
    </r>
  </si>
  <si>
    <t>Cette matière requiert que l'étudiant ait des connaissances en  
Algorithmique et Structure de données
Programmation
JavaScript, HTML5</t>
  </si>
  <si>
    <t xml:space="preserve">PHP 5 Cours et exercices - PHP 5.4  : Jean Engels, Eyrolles , PHP 5 avancé, Eyrolles.
PHP 5  : Johann-Christian Hanke , Compétence Micro
PHP 5.5 - Développez un site web dynamique et interactif : Olivier Heurtel, Eni
PHP et MySQL : Luke Welling, Laura Thomson Editeur(s) : Pearson
</t>
  </si>
  <si>
    <t>Fiche élément constitutif : Atelier Développement web coté serveur</t>
  </si>
  <si>
    <t>Atelier Développement Coté Serveur</t>
  </si>
  <si>
    <t>Maîtriser le développement d'une application Web dynamique moyennant un langage de script coté serveur (PHP ou équivalent)</t>
  </si>
  <si>
    <t xml:space="preserve">Comprendre les étapes de mise en place de plateforme de développement avec un langage de script coté serveur (PHP ou équivalent)
Maitriser les notions de base d'un langage de script coté serveur (PHP ou équivalent)
Maitriser l’envoie, récupération &amp; validation des formulaires avec GET, POST.
Maitriser l’utilisation des cookies et des sessions moyennant un langage de script coté serveur (PHP ou équivalent)
Être capable de développer un script avec un langage de script coté serveur (PHP ou équivalent) en utilisant la POO
 Maitriser les opérations CRUD sur le sgbd MySQL avec extension MySQL et Mysql
</t>
  </si>
  <si>
    <t>Web dynamique, php, session, PhpMyAmin, MySQL</t>
  </si>
  <si>
    <t>IDE : Dreamweaver ou équivalent</t>
  </si>
  <si>
    <t xml:space="preserve">Les Cahiers du Programmeur PHP 5, Stéphane Mariel, Eyrolles
PHP 5 Cours et exercices - PHP 5.4  : Jean Engels, Eyrolles , PHP 5 avancé, Eyrolles.
PHP 5  : Johann-Christian Hanke , Compétence Micro
PHP 5.5 - Développez un site web dynamique et interactif : Olivier Heurtel, Eni
PHP et MySQL : Luke Welling, Laura Thomson Editeur(s) : Pearson
</t>
  </si>
  <si>
    <t>Cette matière requiert que l'étudiant ait suivi ….</t>
  </si>
  <si>
    <t>Fiche élément constitutif : Projet d’Intégration</t>
  </si>
  <si>
    <t>S4</t>
  </si>
  <si>
    <t>Creation</t>
  </si>
  <si>
    <t>Apprendre à mettre en pratique toutes ses connaissances théoriques acquises par l'étudiant</t>
  </si>
  <si>
    <t>Passer par les différentes phases d’un cycle de vie de développement logiciel.
Comprendre l’utilité des concepts du génie logiciel.
Comprendre l’utilité des design pattern.
Maîtriser les fonctionnalités principales d’un environnement de développement.
Mettre en pratique les techniques de communication orale.</t>
  </si>
  <si>
    <t>Projet pratique, projet tutoré, application intégrée, travail collaboratif,UML, développement, JEE, .Net, Visual Studio, Eclipse, Design pattern</t>
  </si>
  <si>
    <r>
      <rPr>
        <b/>
        <sz val="12"/>
        <rFont val="Calibri"/>
        <family val="2"/>
        <scheme val="minor"/>
      </rPr>
      <t>Phase 1 : Cadrage</t>
    </r>
    <r>
      <rPr>
        <sz val="12"/>
        <rFont val="Calibri"/>
        <family val="2"/>
        <scheme val="minor"/>
      </rPr>
      <t xml:space="preserve">
</t>
    </r>
    <r>
      <rPr>
        <b/>
        <sz val="12"/>
        <rFont val="Calibri"/>
        <family val="2"/>
        <scheme val="minor"/>
      </rPr>
      <t>Atelier 1 :</t>
    </r>
    <r>
      <rPr>
        <sz val="12"/>
        <rFont val="Calibri"/>
        <family val="2"/>
        <scheme val="minor"/>
      </rPr>
      <t xml:space="preserve"> Présentation des idées de projets, constitution des groupes ainsi que du chronogramme et de la méthode d'évaluation(voir recommandations pédagogiques)
</t>
    </r>
    <r>
      <rPr>
        <b/>
        <sz val="12"/>
        <rFont val="Calibri"/>
        <family val="2"/>
        <scheme val="minor"/>
      </rPr>
      <t>Atelier 2 :</t>
    </r>
    <r>
      <rPr>
        <sz val="12"/>
        <rFont val="Calibri"/>
        <family val="2"/>
        <scheme val="minor"/>
      </rPr>
      <t xml:space="preserve"> Elaboration du cahier des charges, état de l’art et préparation d’une maquette du projet.
</t>
    </r>
    <r>
      <rPr>
        <b/>
        <sz val="12"/>
        <rFont val="Calibri"/>
        <family val="2"/>
        <scheme val="minor"/>
      </rPr>
      <t>Atelier 3:</t>
    </r>
    <r>
      <rPr>
        <sz val="12"/>
        <rFont val="Calibri"/>
        <family val="2"/>
        <scheme val="minor"/>
      </rPr>
      <t xml:space="preserve"> Elaboration des diagrammes: cas d'utilisation + Description textuelle, Classes d'analyse.
</t>
    </r>
    <r>
      <rPr>
        <b/>
        <sz val="12"/>
        <rFont val="Calibri"/>
        <family val="2"/>
        <scheme val="minor"/>
      </rPr>
      <t>Phase 2 : Design</t>
    </r>
    <r>
      <rPr>
        <sz val="12"/>
        <rFont val="Calibri"/>
        <family val="2"/>
        <scheme val="minor"/>
      </rPr>
      <t xml:space="preserve">
</t>
    </r>
    <r>
      <rPr>
        <b/>
        <sz val="12"/>
        <rFont val="Calibri"/>
        <family val="2"/>
        <scheme val="minor"/>
      </rPr>
      <t xml:space="preserve">Atelier 4 : </t>
    </r>
    <r>
      <rPr>
        <sz val="12"/>
        <rFont val="Calibri"/>
        <family val="2"/>
        <scheme val="minor"/>
      </rPr>
      <t xml:space="preserve">Elaboration du diagramme de classes de conception, Elaboration des diagrammes de comportement: Séquence et/ou activité, Validation du choix de l'architecture logicielle.
</t>
    </r>
    <r>
      <rPr>
        <b/>
        <sz val="12"/>
        <rFont val="Calibri"/>
        <family val="2"/>
        <scheme val="minor"/>
      </rPr>
      <t>Phase 3 : Construction</t>
    </r>
    <r>
      <rPr>
        <sz val="12"/>
        <rFont val="Calibri"/>
        <family val="2"/>
        <scheme val="minor"/>
      </rPr>
      <t xml:space="preserve">
</t>
    </r>
    <r>
      <rPr>
        <b/>
        <sz val="12"/>
        <rFont val="Calibri"/>
        <family val="2"/>
        <scheme val="minor"/>
      </rPr>
      <t>Atelier 5 :</t>
    </r>
    <r>
      <rPr>
        <sz val="12"/>
        <rFont val="Calibri"/>
        <family val="2"/>
        <scheme val="minor"/>
      </rPr>
      <t xml:space="preserve"> Mise en place du socle technique: IDE, plugin, compte git/svn, outil de communication, outil de suivi d'avancement, planification avec GANTT
</t>
    </r>
    <r>
      <rPr>
        <b/>
        <sz val="12"/>
        <rFont val="Calibri"/>
        <family val="2"/>
        <scheme val="minor"/>
      </rPr>
      <t>Atelier 6 :</t>
    </r>
    <r>
      <rPr>
        <sz val="12"/>
        <rFont val="Calibri"/>
        <family val="2"/>
        <scheme val="minor"/>
      </rPr>
      <t xml:space="preserve"> Implémentation de la base de données, Elaboration de la couche Métier (Business Layer), Elaboration de la couche d'accès aux données(Data Access Layer).
</t>
    </r>
    <r>
      <rPr>
        <b/>
        <sz val="12"/>
        <rFont val="Calibri"/>
        <family val="2"/>
        <scheme val="minor"/>
      </rPr>
      <t>Atelier 7:</t>
    </r>
    <r>
      <rPr>
        <sz val="12"/>
        <rFont val="Calibri"/>
        <family val="2"/>
        <scheme val="minor"/>
      </rPr>
      <t xml:space="preserve"> Implémentation des vues, des contrôleurs et des fonctionnalités en prenant en considération les tests (JUnit, Unit Test).
</t>
    </r>
    <r>
      <rPr>
        <b/>
        <sz val="12"/>
        <rFont val="Calibri"/>
        <family val="2"/>
        <scheme val="minor"/>
      </rPr>
      <t>Phase 4 : Finalisation</t>
    </r>
    <r>
      <rPr>
        <sz val="12"/>
        <rFont val="Calibri"/>
        <family val="2"/>
        <scheme val="minor"/>
      </rPr>
      <t xml:space="preserve">
</t>
    </r>
    <r>
      <rPr>
        <b/>
        <sz val="12"/>
        <rFont val="Calibri"/>
        <family val="2"/>
        <scheme val="minor"/>
      </rPr>
      <t>Ateliers 8 :</t>
    </r>
    <r>
      <rPr>
        <sz val="12"/>
        <rFont val="Calibri"/>
        <family val="2"/>
        <scheme val="minor"/>
      </rPr>
      <t xml:space="preserve"> Préparation du manuel d’utilisation ou du tutoriel d’utilisation.
</t>
    </r>
    <r>
      <rPr>
        <b/>
        <sz val="12"/>
        <rFont val="Calibri"/>
        <family val="2"/>
        <scheme val="minor"/>
      </rPr>
      <t xml:space="preserve">Ateliers 9 : </t>
    </r>
    <r>
      <rPr>
        <sz val="12"/>
        <rFont val="Calibri"/>
        <family val="2"/>
        <scheme val="minor"/>
      </rPr>
      <t>Préparation de la présentation et du speech.</t>
    </r>
  </si>
  <si>
    <t>UE : Génie logiciel, UE : Architecture logicielle, UE: SGBD, UE: Cultures &amp; langues</t>
  </si>
  <si>
    <t>Les    Standards    du    CDIO (Conceive Design Implement Operate). Disponible: www.cdio.org, [Consulté: 03-05-2017]</t>
  </si>
  <si>
    <t>Fiche élément constitutif : Atelier framework coté serveur</t>
  </si>
  <si>
    <t>Maitriser le développement des sites Web modulaires et sécurisés basés sur une architecture à la fois complexe mais  claire et transparente moyennant des frameworks</t>
  </si>
  <si>
    <t>MVC, MVC2, Bundle, Twig, ORM</t>
  </si>
  <si>
    <t>Fiche élément constitutif : Architecture logicielle</t>
  </si>
  <si>
    <t>Comprendre et choisir les architectures logicielles appropriées selon la problématique posée.</t>
  </si>
  <si>
    <t xml:space="preserve">Connaître les différents types d’architectures physiques.
Comprendre les design Pattern et leurs utilisations.
Maîtriser la couche persistance à travers des exemples de manipulation de données.
Comprendre l’utilité des Web-services et leurs rôles dans l’architecture logicielle.
</t>
  </si>
  <si>
    <t>Architecture logicielles, Design Pattern, persistance, style architectural, web-services, Middleware</t>
  </si>
  <si>
    <r>
      <rPr>
        <b/>
        <sz val="12"/>
        <rFont val="Calibri"/>
        <family val="2"/>
        <scheme val="minor"/>
      </rPr>
      <t>Chapitre 1 : Introduction à l'architecture logicielle</t>
    </r>
    <r>
      <rPr>
        <sz val="12"/>
        <rFont val="Calibri"/>
        <family val="2"/>
        <scheme val="minor"/>
      </rPr>
      <t xml:space="preserve">
Définitions et principaux thèmes du domaine
Motivations pour la construction d'architecture. 
Concepts et avantages des architectures logicielles.
Rôle de l’architecte
</t>
    </r>
    <r>
      <rPr>
        <b/>
        <sz val="12"/>
        <rFont val="Calibri"/>
        <family val="2"/>
        <scheme val="minor"/>
      </rPr>
      <t xml:space="preserve">Chapitre 2 : Patrons de conception élémentaire (Design Patterns) </t>
    </r>
    <r>
      <rPr>
        <sz val="12"/>
        <rFont val="Calibri"/>
        <family val="2"/>
        <scheme val="minor"/>
      </rPr>
      <t xml:space="preserve">
Patrons de création (Creational) 
Patrons de structure (Structural) 
Patrons de comportement (Behavioral) 
</t>
    </r>
    <r>
      <rPr>
        <b/>
        <sz val="12"/>
        <rFont val="Calibri"/>
        <family val="2"/>
        <scheme val="minor"/>
      </rPr>
      <t>Chapitre 3 : La persistance</t>
    </r>
    <r>
      <rPr>
        <sz val="12"/>
        <rFont val="Calibri"/>
        <family val="2"/>
        <scheme val="minor"/>
      </rPr>
      <t xml:space="preserve">
Mapping objet / relationnel
Modèle de persistance (DAO)
JPA et Hibernate
Persistance sur .Net
Transactions et verrous
</t>
    </r>
    <r>
      <rPr>
        <b/>
        <sz val="12"/>
        <rFont val="Calibri"/>
        <family val="2"/>
        <scheme val="minor"/>
      </rPr>
      <t/>
    </r>
  </si>
  <si>
    <t>UE: Programmation objet, UE : Développement web, UE : Base de données</t>
  </si>
  <si>
    <t xml:space="preserve">Martin Fowler and al, "Patterns of Enterprise Application Architecture", Addison-Wesley, 2002.Eric Gamma and al, "Design Patterns: Elements of Reusable Object-Oriented Software", Addison-Wesley, 1995.
Anthony Patricio and Olivier Salvatori, "Hibernate 3.0 : Gestion optimale de la persistance dans les applications Java/J2EE", Eyrolles, 2005.
</t>
  </si>
  <si>
    <t>Fiche élément constitutif At Environnement de Dev</t>
  </si>
  <si>
    <t xml:space="preserve">Cet atelier vise à développer chez l’apprenant les compétences adéquates et pratiques pour développer des applications logicielles réparties.
A la fin de ce didacticiel, l’étudiant serait capable de :
Mettre en œuvre des architectures logicielles ainsi que leurs composants.
Appliquer les principes architecturaux moyennant un environnement de développement 
</t>
  </si>
  <si>
    <t>Appréhender la structure d'une plateforme J2EE et ses composants de base.
Se familiariser avec les composants web d’une architecture J2EE.
Discerner les différents types d’EJB et savoir les développer.</t>
  </si>
  <si>
    <r>
      <rPr>
        <b/>
        <sz val="12"/>
        <rFont val="Calibri"/>
        <family val="2"/>
        <scheme val="minor"/>
      </rPr>
      <t xml:space="preserve">Atelier 1 :  </t>
    </r>
    <r>
      <rPr>
        <sz val="12"/>
        <rFont val="Calibri"/>
        <family val="2"/>
        <scheme val="minor"/>
      </rPr>
      <t xml:space="preserve">Survol de l’architecture J2EE
</t>
    </r>
    <r>
      <rPr>
        <b/>
        <sz val="12"/>
        <rFont val="Calibri"/>
        <family val="2"/>
        <scheme val="minor"/>
      </rPr>
      <t xml:space="preserve">Atelier 2 : </t>
    </r>
    <r>
      <rPr>
        <sz val="12"/>
        <rFont val="Calibri"/>
        <family val="2"/>
        <scheme val="minor"/>
      </rPr>
      <t xml:space="preserve">Les composants web de l’architecture J2EE 
Les Servlets 
Les JSP
Les Java Bean
</t>
    </r>
    <r>
      <rPr>
        <b/>
        <sz val="12"/>
        <rFont val="Calibri"/>
        <family val="2"/>
        <scheme val="minor"/>
      </rPr>
      <t xml:space="preserve">Atelier 3 : </t>
    </r>
    <r>
      <rPr>
        <sz val="12"/>
        <rFont val="Calibri"/>
        <family val="2"/>
        <scheme val="minor"/>
      </rPr>
      <t xml:space="preserve">Les Entreprise Java Beans (EJB)
Session Beans
Entity Beans
Message Driven Beans
</t>
    </r>
    <r>
      <rPr>
        <b/>
        <sz val="12"/>
        <rFont val="Calibri"/>
        <family val="2"/>
        <scheme val="minor"/>
      </rPr>
      <t xml:space="preserve">Atelier 4 : </t>
    </r>
    <r>
      <rPr>
        <sz val="12"/>
        <rFont val="Calibri"/>
        <family val="2"/>
        <scheme val="minor"/>
      </rPr>
      <t xml:space="preserve">Persistance de données
JPA
Hiberbate
</t>
    </r>
    <r>
      <rPr>
        <b/>
        <sz val="12"/>
        <rFont val="Calibri"/>
        <family val="2"/>
        <scheme val="minor"/>
      </rPr>
      <t xml:space="preserve">Atelier 5 : </t>
    </r>
    <r>
      <rPr>
        <sz val="12"/>
        <rFont val="Calibri"/>
        <family val="2"/>
        <scheme val="minor"/>
      </rPr>
      <t xml:space="preserve">Framework MVC en Spring
</t>
    </r>
  </si>
  <si>
    <t>IDE : Eclipse JEE ou équivalent</t>
  </si>
  <si>
    <t>UE Programmation Objet     
UE Programmation Objet Avancée
UE Développement Web</t>
  </si>
  <si>
    <t>Michael Sikora: EJB3 Developer Guide</t>
  </si>
  <si>
    <t>Fiche élément constitutif : Programmation Objet Avancée</t>
  </si>
  <si>
    <t xml:space="preserve">Acquérir les connaissances nécessaires pour développer une application JAVA en utilisant des concepts avancés, basés sur les notions acquises dans le module POO.
</t>
  </si>
  <si>
    <t>Comprendre et implémenter des classes paramétrables
Connaitre et utiliser les collections pour gérer les données applicatives
Comprendre l’échange des données entre le programme et des sources  de données externes 
Maitriser les étapes de connexion et de manipulation des données d’une BD
Répartir différents traitements d'un même programme en plusieurs unités distinctes pour permettre leur exécution simultanée</t>
  </si>
  <si>
    <t>Généricité, Collections, Thread, Input-OutPut Stream</t>
  </si>
  <si>
    <r>
      <rPr>
        <b/>
        <sz val="12"/>
        <rFont val="Calibri"/>
        <family val="2"/>
        <scheme val="minor"/>
      </rPr>
      <t xml:space="preserve">Chapitre 1 : </t>
    </r>
    <r>
      <rPr>
        <sz val="12"/>
        <rFont val="Calibri"/>
        <family val="2"/>
        <scheme val="minor"/>
      </rPr>
      <t xml:space="preserve">La gestion des événements
</t>
    </r>
    <r>
      <rPr>
        <b/>
        <sz val="12"/>
        <rFont val="Calibri"/>
        <family val="2"/>
        <scheme val="minor"/>
      </rPr>
      <t>Chapitre 2 :</t>
    </r>
    <r>
      <rPr>
        <sz val="12"/>
        <rFont val="Calibri"/>
        <family val="2"/>
        <scheme val="minor"/>
      </rPr>
      <t xml:space="preserve"> La généricité
</t>
    </r>
    <r>
      <rPr>
        <b/>
        <sz val="12"/>
        <rFont val="Calibri"/>
        <family val="2"/>
        <scheme val="minor"/>
      </rPr>
      <t xml:space="preserve">Chapitre 3 : </t>
    </r>
    <r>
      <rPr>
        <sz val="12"/>
        <rFont val="Calibri"/>
        <family val="2"/>
        <scheme val="minor"/>
      </rPr>
      <t xml:space="preserve">Les collections
</t>
    </r>
    <r>
      <rPr>
        <b/>
        <sz val="12"/>
        <rFont val="Calibri"/>
        <family val="2"/>
        <scheme val="minor"/>
      </rPr>
      <t>Chapitre 4 :</t>
    </r>
    <r>
      <rPr>
        <sz val="12"/>
        <rFont val="Calibri"/>
        <family val="2"/>
        <scheme val="minor"/>
      </rPr>
      <t xml:space="preserve"> La gestion des entrées/Sorties
</t>
    </r>
    <r>
      <rPr>
        <b/>
        <sz val="12"/>
        <rFont val="Calibri"/>
        <family val="2"/>
        <scheme val="minor"/>
      </rPr>
      <t xml:space="preserve">Chapitre 5 : </t>
    </r>
    <r>
      <rPr>
        <sz val="12"/>
        <rFont val="Calibri"/>
        <family val="2"/>
        <scheme val="minor"/>
      </rPr>
      <t xml:space="preserve">Accès aux bases de données
</t>
    </r>
    <r>
      <rPr>
        <b/>
        <sz val="12"/>
        <rFont val="Calibri"/>
        <family val="2"/>
        <scheme val="minor"/>
      </rPr>
      <t xml:space="preserve">Chapitre 6 : </t>
    </r>
    <r>
      <rPr>
        <sz val="12"/>
        <rFont val="Calibri"/>
        <family val="2"/>
        <scheme val="minor"/>
      </rPr>
      <t xml:space="preserve">La programmation  concurrente
</t>
    </r>
  </si>
  <si>
    <t>UE: Programmation Orientée Objet, Base de Données</t>
  </si>
  <si>
    <t>OCP Java SE 7 Programmer II certification guide prepare for the IZO- 804 Exam. Mala Gupta  septembre 2015
OCP: Oracle Certified Professional Java SE 8 Programmer II Study Guide. Jeanne Boyarsky  &amp; Scott Selikoff 
Programming in C#: Exam Ref 70-483. Wouter De Kort : Juillet 2013
 Exam 70-483: A Professional Guide to C# Certification.  Ali Asad et Hamza Ali : Juillet 2017 .</t>
  </si>
  <si>
    <t>Fiche élément constitutif AT Programmation Objet Avancée</t>
  </si>
  <si>
    <t>AT Programmation Objet Avancée</t>
  </si>
  <si>
    <t>Cet atelier permet à l’étudiant d’acquérir les connaissances nécessaires pour le développement des applications clients riches basées sur des concepts de programmation orientée objet avancée.</t>
  </si>
  <si>
    <t>Comprendre et manipuler les composants graphiques nécessaires pour le développement des applications riches (javafx/wpf)
Créer des classes paramétrables pour un développement plus simple et plus sécurisée
Utiliser  les différentes collections définies par un langage POO 
Utiliser  les différentes classes d’entrée/sortie pour la gestion des sources de données externes
Utiliser les différentes classes assurant la gestion de données des bases de données
Utiliser les threads pour le développement des applications concurrentes.</t>
  </si>
  <si>
    <t>Généricité, Collections, Thread, Input-OutPut Stream, JavaFX, WPF</t>
  </si>
  <si>
    <r>
      <rPr>
        <b/>
        <sz val="12"/>
        <rFont val="Calibri"/>
        <family val="2"/>
        <scheme val="minor"/>
      </rPr>
      <t xml:space="preserve">Atelier 1 : </t>
    </r>
    <r>
      <rPr>
        <sz val="12"/>
        <rFont val="Calibri"/>
        <family val="2"/>
        <scheme val="minor"/>
      </rPr>
      <t xml:space="preserve">Prise en main de l'environnement de développement des  applications  riches
</t>
    </r>
    <r>
      <rPr>
        <b/>
        <sz val="12"/>
        <rFont val="Calibri"/>
        <family val="2"/>
        <scheme val="minor"/>
      </rPr>
      <t xml:space="preserve">Atelier 2 : </t>
    </r>
    <r>
      <rPr>
        <sz val="12"/>
        <rFont val="Calibri"/>
        <family val="2"/>
        <scheme val="minor"/>
      </rPr>
      <t xml:space="preserve">Les contrôles utilisateurs graphiques (UI Control) de la couche présentation
</t>
    </r>
    <r>
      <rPr>
        <b/>
        <sz val="12"/>
        <rFont val="Calibri"/>
        <family val="2"/>
        <scheme val="minor"/>
      </rPr>
      <t>Atelier 3 :</t>
    </r>
    <r>
      <rPr>
        <sz val="12"/>
        <rFont val="Calibri"/>
        <family val="2"/>
        <scheme val="minor"/>
      </rPr>
      <t xml:space="preserve"> DataBiding et la gestion des évènements
</t>
    </r>
    <r>
      <rPr>
        <b/>
        <sz val="12"/>
        <rFont val="Calibri"/>
        <family val="2"/>
        <scheme val="minor"/>
      </rPr>
      <t>Atelier 4 :</t>
    </r>
    <r>
      <rPr>
        <sz val="12"/>
        <rFont val="Calibri"/>
        <family val="2"/>
        <scheme val="minor"/>
      </rPr>
      <t xml:space="preserve"> La généricité et les collections 
</t>
    </r>
    <r>
      <rPr>
        <b/>
        <sz val="12"/>
        <rFont val="Calibri"/>
        <family val="2"/>
        <scheme val="minor"/>
      </rPr>
      <t>Atelier 5 :</t>
    </r>
    <r>
      <rPr>
        <sz val="12"/>
        <rFont val="Calibri"/>
        <family val="2"/>
        <scheme val="minor"/>
      </rPr>
      <t xml:space="preserve"> Les API d’entrée/Sortie
</t>
    </r>
    <r>
      <rPr>
        <b/>
        <sz val="12"/>
        <rFont val="Calibri"/>
        <family val="2"/>
        <scheme val="minor"/>
      </rPr>
      <t>Atelier 6 :</t>
    </r>
    <r>
      <rPr>
        <sz val="12"/>
        <rFont val="Calibri"/>
        <family val="2"/>
        <scheme val="minor"/>
      </rPr>
      <t xml:space="preserve"> L’accès aux bases de données
</t>
    </r>
    <r>
      <rPr>
        <b/>
        <sz val="12"/>
        <rFont val="Calibri"/>
        <family val="2"/>
        <scheme val="minor"/>
      </rPr>
      <t>Atelier 7 :</t>
    </r>
    <r>
      <rPr>
        <sz val="12"/>
        <rFont val="Calibri"/>
        <family val="2"/>
        <scheme val="minor"/>
      </rPr>
      <t xml:space="preserve"> Développements des applications concurrentes</t>
    </r>
  </si>
  <si>
    <t>IDE : Eclipse, Visual Studio ou équivalent</t>
  </si>
  <si>
    <t xml:space="preserve">OCP Java SE 7 Programmer II certification guide prepare for the IZO- 804 Exam. Mala Gupta :  septembre 2015.
OCP: Oracle Certified Professional Java SE 8 Programmer II Study Guide. Jeanne Boyarsky  &amp; Scott Selikoff .
JavaFX For Dummies . Doug Lowe : septembre 2014
Learn JavaFX 8: Building User Experience and Interfaces With Java 8. Kishori Sharan : Mars 2015.
 WPF For Students. Robert Gorham : Avril 2017.
 WPF 4.5 Unleashed. Adam Nathan : Juillet 2013.
Programming in C#: Exam Ref 70-483. Wouter De Kort : Juillet 2013
 Exam 70-483: A Professional Guide to C# Certification.  Ali Asad et Hamza Ali : Juillet 2017 .
</t>
  </si>
  <si>
    <t>Fiche élément constitutif : SGBD</t>
  </si>
  <si>
    <t>Maîtriser la gestion, l’optimisation et l’administration des SGBD relationnels.</t>
  </si>
  <si>
    <t>Présenter l’architecture générale et les fonctions d’un SGBD. 
Comprendre l’organisation physique des données stockées. 
Solutionner les problèmes d’accès concurrentiels. 
Optimiser l'utilisation des ressources et la performance d’un SGBD. 
Solutionner les problèmes engendrés par les pannes.
Gérer les comptes utilisateur de base de données.</t>
  </si>
  <si>
    <t>SGBD, stockage, accès concurrentiel, optimisation, administration, reprise après panne</t>
  </si>
  <si>
    <r>
      <rPr>
        <b/>
        <sz val="12"/>
        <rFont val="Calibri"/>
        <family val="2"/>
        <scheme val="minor"/>
      </rPr>
      <t xml:space="preserve">Chapitre 1 : </t>
    </r>
    <r>
      <rPr>
        <sz val="12"/>
        <rFont val="Calibri"/>
        <family val="2"/>
        <scheme val="minor"/>
      </rPr>
      <t xml:space="preserve">Environnement d’un SGBD 
</t>
    </r>
    <r>
      <rPr>
        <b/>
        <sz val="12"/>
        <rFont val="Calibri"/>
        <family val="2"/>
        <scheme val="minor"/>
      </rPr>
      <t xml:space="preserve">Chapitre 2 : </t>
    </r>
    <r>
      <rPr>
        <sz val="12"/>
        <rFont val="Calibri"/>
        <family val="2"/>
        <scheme val="minor"/>
      </rPr>
      <t xml:space="preserve">Organisation et stockage des données 
</t>
    </r>
    <r>
      <rPr>
        <b/>
        <sz val="12"/>
        <rFont val="Calibri"/>
        <family val="2"/>
        <scheme val="minor"/>
      </rPr>
      <t>Chapitre 3 :</t>
    </r>
    <r>
      <rPr>
        <sz val="12"/>
        <rFont val="Calibri"/>
        <family val="2"/>
        <scheme val="minor"/>
      </rPr>
      <t xml:space="preserve"> Gestion des transactions / de la concurrence
</t>
    </r>
    <r>
      <rPr>
        <b/>
        <sz val="12"/>
        <rFont val="Calibri"/>
        <family val="2"/>
        <scheme val="minor"/>
      </rPr>
      <t xml:space="preserve">Chapitre 4 : </t>
    </r>
    <r>
      <rPr>
        <sz val="12"/>
        <rFont val="Calibri"/>
        <family val="2"/>
        <scheme val="minor"/>
      </rPr>
      <t xml:space="preserve">Reprise après panne 
</t>
    </r>
    <r>
      <rPr>
        <b/>
        <sz val="12"/>
        <rFont val="Calibri"/>
        <family val="2"/>
        <scheme val="minor"/>
      </rPr>
      <t xml:space="preserve">Chapitre 5 : </t>
    </r>
    <r>
      <rPr>
        <sz val="12"/>
        <rFont val="Calibri"/>
        <family val="2"/>
        <scheme val="minor"/>
      </rPr>
      <t xml:space="preserve">Évaluation et optimisation des requêtes 
</t>
    </r>
    <r>
      <rPr>
        <b/>
        <sz val="12"/>
        <rFont val="Calibri"/>
        <family val="2"/>
        <scheme val="minor"/>
      </rPr>
      <t>Chapitre 6 :</t>
    </r>
    <r>
      <rPr>
        <sz val="12"/>
        <rFont val="Calibri"/>
        <family val="2"/>
        <scheme val="minor"/>
      </rPr>
      <t xml:space="preserve"> Gestion des utilisateurs, privilèges et rôles
</t>
    </r>
  </si>
  <si>
    <t>UE: Algorithmique et structures de données, Programmation structurée, Base de données</t>
  </si>
  <si>
    <t>Gardarin G., Bases de Données - objet/relationnel, Eyrolles, 1999, ISBN: 2-212-09060-9
Gardarin G., Maîtriser les Bases de Données: modèles et langages, Eyrolles
Carrez C., Des Structures aux Bases de Données, Masson
Marcenac, P., SGBD relationnels, Optimisation des performances, Eyrolles
Date C.J., An Introduction to Database Systems, Addison Wesley</t>
  </si>
  <si>
    <t>Fiche élément constitutif Atelier SGBD</t>
  </si>
  <si>
    <t>Maîtriser le langage PL/SQL en vue de développer des applications base de données.</t>
  </si>
  <si>
    <t>Identifier les extensions de programmation fournies par PL/SQL à SQL
Écrire du code PL/SQL permettant l'interaction avec la base de données
Concevoir des blocs PL/SQL anonymes qui s'exécutent de manière efficace
Utiliser des structures de programmation PL/SQL et des instructions de contrôle conditionnel
Traiter les erreurs d'exécution
Manipuler des procédures, des fonctions stockées et des packages
Manipuler des triggers</t>
  </si>
  <si>
    <t>SGBD, PL/SQL, Bloc anonyme, exception, procédure, function, package, trigger</t>
  </si>
  <si>
    <r>
      <rPr>
        <b/>
        <sz val="12"/>
        <rFont val="Calibri"/>
        <family val="2"/>
        <scheme val="minor"/>
      </rPr>
      <t xml:space="preserve">Atelier 1 : </t>
    </r>
    <r>
      <rPr>
        <sz val="12"/>
        <rFont val="Calibri"/>
        <family val="2"/>
        <scheme val="minor"/>
      </rPr>
      <t xml:space="preserve">Introduction au langage PL/SQL
</t>
    </r>
    <r>
      <rPr>
        <b/>
        <sz val="12"/>
        <rFont val="Calibri"/>
        <family val="2"/>
        <scheme val="minor"/>
      </rPr>
      <t xml:space="preserve">Atelier 2 : </t>
    </r>
    <r>
      <rPr>
        <sz val="12"/>
        <rFont val="Calibri"/>
        <family val="2"/>
        <scheme val="minor"/>
      </rPr>
      <t xml:space="preserve">Déclaration des variables PL/SQL
</t>
    </r>
    <r>
      <rPr>
        <b/>
        <sz val="12"/>
        <rFont val="Calibri"/>
        <family val="2"/>
        <scheme val="minor"/>
      </rPr>
      <t xml:space="preserve">Atelier 3 : </t>
    </r>
    <r>
      <rPr>
        <sz val="12"/>
        <rFont val="Calibri"/>
        <family val="2"/>
        <scheme val="minor"/>
      </rPr>
      <t xml:space="preserve">Écriture des instructions exécutables
</t>
    </r>
    <r>
      <rPr>
        <b/>
        <sz val="12"/>
        <rFont val="Calibri"/>
        <family val="2"/>
        <scheme val="minor"/>
      </rPr>
      <t xml:space="preserve">Atelier 4 : </t>
    </r>
    <r>
      <rPr>
        <sz val="12"/>
        <rFont val="Calibri"/>
        <family val="2"/>
        <scheme val="minor"/>
      </rPr>
      <t xml:space="preserve">Interaction avec le serveur de base de données : Instructions SQL dans les programmes PL/SQL
</t>
    </r>
    <r>
      <rPr>
        <b/>
        <sz val="12"/>
        <rFont val="Calibri"/>
        <family val="2"/>
        <scheme val="minor"/>
      </rPr>
      <t xml:space="preserve">Atelier 5 : </t>
    </r>
    <r>
      <rPr>
        <sz val="12"/>
        <rFont val="Calibri"/>
        <family val="2"/>
        <scheme val="minor"/>
      </rPr>
      <t xml:space="preserve">Écriture des structures de contrôle
</t>
    </r>
    <r>
      <rPr>
        <b/>
        <sz val="12"/>
        <rFont val="Calibri"/>
        <family val="2"/>
        <scheme val="minor"/>
      </rPr>
      <t xml:space="preserve">Atelier 6 : </t>
    </r>
    <r>
      <rPr>
        <sz val="12"/>
        <rFont val="Calibri"/>
        <family val="2"/>
        <scheme val="minor"/>
      </rPr>
      <t xml:space="preserve">Utilisation des curseurs explicites
</t>
    </r>
    <r>
      <rPr>
        <b/>
        <sz val="12"/>
        <rFont val="Calibri"/>
        <family val="2"/>
        <scheme val="minor"/>
      </rPr>
      <t xml:space="preserve">Atelier 7 : </t>
    </r>
    <r>
      <rPr>
        <sz val="12"/>
        <rFont val="Calibri"/>
        <family val="2"/>
        <scheme val="minor"/>
      </rPr>
      <t xml:space="preserve">Traitement des exceptions
</t>
    </r>
    <r>
      <rPr>
        <b/>
        <sz val="12"/>
        <rFont val="Calibri"/>
        <family val="2"/>
        <scheme val="minor"/>
      </rPr>
      <t xml:space="preserve">Atelier 8 : </t>
    </r>
    <r>
      <rPr>
        <sz val="12"/>
        <rFont val="Calibri"/>
        <family val="2"/>
        <scheme val="minor"/>
      </rPr>
      <t xml:space="preserve">Manipulation des procédures et des fonctions stockées
</t>
    </r>
    <r>
      <rPr>
        <b/>
        <sz val="12"/>
        <rFont val="Calibri"/>
        <family val="2"/>
        <scheme val="minor"/>
      </rPr>
      <t xml:space="preserve">Atelier 9 : </t>
    </r>
    <r>
      <rPr>
        <sz val="12"/>
        <rFont val="Calibri"/>
        <family val="2"/>
        <scheme val="minor"/>
      </rPr>
      <t xml:space="preserve">Manipulation des packages
</t>
    </r>
    <r>
      <rPr>
        <b/>
        <sz val="12"/>
        <rFont val="Calibri"/>
        <family val="2"/>
        <scheme val="minor"/>
      </rPr>
      <t xml:space="preserve">Atelier 10 : </t>
    </r>
    <r>
      <rPr>
        <sz val="12"/>
        <rFont val="Calibri"/>
        <family val="2"/>
        <scheme val="minor"/>
      </rPr>
      <t>Manipulation des déclencheurs</t>
    </r>
  </si>
  <si>
    <t>SGBD Oracle ou équivalent</t>
  </si>
  <si>
    <t xml:space="preserve">Bizoï R, PL/SQL pour Oracle 12c, Eyrolles , 2014
Feuerstein S, Oracle PL/SQL Programming, Oreilly, 2014
Saad M, PL/SQL sous Oracle 12c Guide du développeur, ENI, 2016
Feuerstein S, Oracle PL/SQL Best Practices: Optimizing Oracle Code, Oreilly, 2001
</t>
  </si>
  <si>
    <t>« Services Web avec SOAP, WSDL, UDDI, ebXML » de Jean Marie CHAUVET.
http://www.irisa.fr/coo/2001/W3CSOAP1.pdf
http://www.w3.org/2003/06/soap12-pressrelease.html.fr
http://igm.univ-mlv.fr/~dr/XPOSE2005/rouvio_WebServices/soap.html
http://www.commentcamarche.net
http://www-adele.imag.fr/users/Didier.Donsez/cours
http://www.w3schools.com/soap/</t>
  </si>
  <si>
    <t xml:space="preserve">Maîtrise de la manipulation des technologies XML
Savoir dégager des limites des technologies conventionnelles pour l'intégration d'applications interentreprises (B2B)
Savoir concevoir une application moyennant les technologies orientées services
Connaître les mécanismes avancés des architectures REST et SOAP
Maîtriser  les mécanismes avancés et les techniques de composition et d'intégration de services. 
</t>
  </si>
  <si>
    <t>Pratiquer maîtriser les technologies d'intégration d'applications orientées services</t>
  </si>
  <si>
    <t>S5</t>
  </si>
  <si>
    <t>Architecture orientée services</t>
  </si>
  <si>
    <t>Fiche élément constitutif : SOA</t>
  </si>
  <si>
    <t>Développeur back-end</t>
  </si>
  <si>
    <t>IDE Objet : Visual Studio, eclipse ou équivalent</t>
  </si>
  <si>
    <t xml:space="preserve"> Atelier SOA et techniques d'Implémentation</t>
  </si>
  <si>
    <t>Fiche élément constitutif : Atelier SOA et techniques d'Implémentation</t>
  </si>
  <si>
    <t xml:space="preserve">Les Big Data à découvert. Mokrane Bouzeghoub et Remy Mosseri  : Mars 2017.
Hadoop par la pratique. Jonathan R. Owens et Jon Lentz : Avril 2014.
Hadoop Blueprints. Anurag Shrivastava et Tanmay Deshpande : septembre 2016.
Big Data:Principles and best practices of scalable realtime data systems.  Nathan Marz et James Warren : Mai 2015. </t>
  </si>
  <si>
    <t>UE : SGBD, POOA</t>
  </si>
  <si>
    <r>
      <rPr>
        <b/>
        <sz val="12"/>
        <rFont val="Calibri"/>
        <family val="2"/>
        <scheme val="minor"/>
      </rPr>
      <t xml:space="preserve">Chapitre 1 : </t>
    </r>
    <r>
      <rPr>
        <sz val="12"/>
        <rFont val="Calibri"/>
        <family val="2"/>
        <scheme val="minor"/>
      </rPr>
      <t xml:space="preserve">Introduction au Big Data
</t>
    </r>
    <r>
      <rPr>
        <b/>
        <sz val="12"/>
        <rFont val="Calibri"/>
        <family val="2"/>
        <scheme val="minor"/>
      </rPr>
      <t xml:space="preserve">Chapitre 2 : </t>
    </r>
    <r>
      <rPr>
        <sz val="12"/>
        <rFont val="Calibri"/>
        <family val="2"/>
        <scheme val="minor"/>
      </rPr>
      <t xml:space="preserve">Les bases de données NoSQL:
</t>
    </r>
    <r>
      <rPr>
        <b/>
        <sz val="12"/>
        <rFont val="Calibri"/>
        <family val="2"/>
        <scheme val="minor"/>
      </rPr>
      <t xml:space="preserve">Chapitre 3 : </t>
    </r>
    <r>
      <rPr>
        <sz val="12"/>
        <rFont val="Calibri"/>
        <family val="2"/>
        <scheme val="minor"/>
      </rPr>
      <t xml:space="preserve">Hadoop : Un système de gestion de Fichiers réparties
</t>
    </r>
    <r>
      <rPr>
        <b/>
        <sz val="12"/>
        <rFont val="Calibri"/>
        <family val="2"/>
        <scheme val="minor"/>
      </rPr>
      <t xml:space="preserve">Chapitre 4 : </t>
    </r>
    <r>
      <rPr>
        <sz val="12"/>
        <rFont val="Calibri"/>
        <family val="2"/>
        <scheme val="minor"/>
      </rPr>
      <t xml:space="preserve">MapReduce : Diviser pour régner
</t>
    </r>
    <r>
      <rPr>
        <b/>
        <sz val="12"/>
        <rFont val="Calibri"/>
        <family val="2"/>
        <scheme val="minor"/>
      </rPr>
      <t xml:space="preserve">Chapitre 5 : </t>
    </r>
    <r>
      <rPr>
        <sz val="12"/>
        <rFont val="Calibri"/>
        <family val="2"/>
        <scheme val="minor"/>
      </rPr>
      <t>Les technologies d’interrogation du Big Data</t>
    </r>
  </si>
  <si>
    <t>NoSQL, HDFS, Hadoop, MapReduce, IoT, BigData</t>
  </si>
  <si>
    <t>Connaitre l’architecture, les composants, le fonctionnement et les outils du Big Data
Comparer les entrepôts de Big Data disponibles pour gérer des ensembles de données disparates et faire ressortir les différences.
Prévoir l’utilisation de Hadoop pour traiter des ensembles de données volumineux et faciliter la prise de décisions techniques et métier
Comprendre le principe du calcul parallèle et distribué des données massives à travers la patron d’architecture mMapReduce.
Sélectionner des outils de haut niveau comme Pig et Hive pour transformer et interroger le Big Data</t>
  </si>
  <si>
    <t>Acquérir les connaissances basique en gestion et traitement des données massives (Big Data) ainsi que des compétences pour l’utilisation d’outils adaptés.</t>
  </si>
  <si>
    <t>Gestion de données Avancées</t>
  </si>
  <si>
    <t>Fiche élément constitutif Gestion des données Massives</t>
  </si>
  <si>
    <t>Les Big Data à découvert. Mokrane Bouzeghoub et Remy Mosseri  : Mars 2017.
Hadoop par la pratique. Jonathan R. Owens et Jon Lentz : Avril 2014.
Hadoop Blueprints. Anurag Shrivastava et Tanmay Deshpande : septembre 2016.
Big Data:Principles and best practices of scalable realtime data systems.  Nathan Marz et James Warren : Mai 2015.
Business Intelligence avec SQL Server 2012 : Sébastien Fantini, Franck Gavand, Eni, 2012
Business Intelligence avec Oracle 10g : Claire Noirault, Eni, 2006.
MongoDB Data Modeling.  Wilson da Rocha Franca: 2015
HBase: The Definitive Guide.  Lars George  : 2015</t>
  </si>
  <si>
    <r>
      <rPr>
        <b/>
        <u val="double"/>
        <sz val="12"/>
        <rFont val="Calibri"/>
        <family val="2"/>
        <scheme val="minor"/>
      </rPr>
      <t>Partie I</t>
    </r>
    <r>
      <rPr>
        <sz val="12"/>
        <rFont val="Calibri"/>
        <family val="2"/>
        <scheme val="minor"/>
      </rPr>
      <t xml:space="preserve">
</t>
    </r>
    <r>
      <rPr>
        <b/>
        <sz val="12"/>
        <rFont val="Calibri"/>
        <family val="2"/>
        <scheme val="minor"/>
      </rPr>
      <t xml:space="preserve">Atelier 1 : </t>
    </r>
    <r>
      <rPr>
        <sz val="12"/>
        <rFont val="Calibri"/>
        <family val="2"/>
        <scheme val="minor"/>
      </rPr>
      <t xml:space="preserve">Mise en œuvre d’un processus ETL (extraire, transformer et charger des données) 
</t>
    </r>
    <r>
      <rPr>
        <b/>
        <sz val="12"/>
        <rFont val="Calibri"/>
        <family val="2"/>
        <scheme val="minor"/>
      </rPr>
      <t xml:space="preserve">Atelier 2 : </t>
    </r>
    <r>
      <rPr>
        <sz val="12"/>
        <rFont val="Calibri"/>
        <family val="2"/>
        <scheme val="minor"/>
      </rPr>
      <t xml:space="preserve">Mise en œuvre de flux de contrôle
</t>
    </r>
    <r>
      <rPr>
        <b/>
        <sz val="12"/>
        <rFont val="Calibri"/>
        <family val="2"/>
        <scheme val="minor"/>
      </rPr>
      <t xml:space="preserve">Atelier 3 : </t>
    </r>
    <r>
      <rPr>
        <sz val="12"/>
        <rFont val="Calibri"/>
        <family val="2"/>
        <scheme val="minor"/>
      </rPr>
      <t xml:space="preserve">Mise en œuvre d’un processus ETL incrémental (Extraire des données modifiées, Charger des données modifiées)
</t>
    </r>
    <r>
      <rPr>
        <b/>
        <sz val="12"/>
        <rFont val="Calibri"/>
        <family val="2"/>
        <scheme val="minor"/>
      </rPr>
      <t xml:space="preserve">Atelier 4 : </t>
    </r>
    <r>
      <rPr>
        <sz val="12"/>
        <rFont val="Calibri"/>
        <family val="2"/>
        <scheme val="minor"/>
      </rPr>
      <t xml:space="preserve">Mise en œuvre de modèle multidimensionnel pour un entrepôt de données (table de fait et dimensions)
</t>
    </r>
    <r>
      <rPr>
        <b/>
        <sz val="12"/>
        <rFont val="Calibri"/>
        <family val="2"/>
        <scheme val="minor"/>
      </rPr>
      <t xml:space="preserve">Atelier 5 : </t>
    </r>
    <r>
      <rPr>
        <sz val="12"/>
        <rFont val="Calibri"/>
        <family val="2"/>
        <scheme val="minor"/>
      </rPr>
      <t xml:space="preserve">Analyse : Mise en œuvre des requêtes analytiques ( SQL OLAP, MDX...)
</t>
    </r>
    <r>
      <rPr>
        <b/>
        <u val="double"/>
        <sz val="12"/>
        <rFont val="Calibri"/>
        <family val="2"/>
        <scheme val="minor"/>
      </rPr>
      <t>Partie II</t>
    </r>
    <r>
      <rPr>
        <sz val="12"/>
        <rFont val="Calibri"/>
        <family val="2"/>
        <scheme val="minor"/>
      </rPr>
      <t xml:space="preserve">
</t>
    </r>
    <r>
      <rPr>
        <b/>
        <sz val="12"/>
        <rFont val="Calibri"/>
        <family val="2"/>
        <scheme val="minor"/>
      </rPr>
      <t xml:space="preserve">Atelier 6 : </t>
    </r>
    <r>
      <rPr>
        <sz val="12"/>
        <rFont val="Calibri"/>
        <family val="2"/>
        <scheme val="minor"/>
      </rPr>
      <t xml:space="preserve">MongoDB : Manipulation, partitionnement (dataSharding), et Réplication de données.
</t>
    </r>
    <r>
      <rPr>
        <b/>
        <sz val="12"/>
        <rFont val="Calibri"/>
        <family val="2"/>
        <scheme val="minor"/>
      </rPr>
      <t xml:space="preserve">Atelier 7 : </t>
    </r>
    <r>
      <rPr>
        <sz val="12"/>
        <rFont val="Calibri"/>
        <family val="2"/>
        <scheme val="minor"/>
      </rPr>
      <t xml:space="preserve">Le système Hadoop : installation et configuration en mode mono-Node et muti-Node
</t>
    </r>
    <r>
      <rPr>
        <b/>
        <sz val="12"/>
        <rFont val="Calibri"/>
        <family val="2"/>
        <scheme val="minor"/>
      </rPr>
      <t xml:space="preserve">Atelier 8 : </t>
    </r>
    <r>
      <rPr>
        <sz val="12"/>
        <rFont val="Calibri"/>
        <family val="2"/>
        <scheme val="minor"/>
      </rPr>
      <t xml:space="preserve">Hbase : installation, configuration et manipulation d’une première base de Données Hbase.
</t>
    </r>
    <r>
      <rPr>
        <b/>
        <sz val="12"/>
        <rFont val="Calibri"/>
        <family val="2"/>
        <scheme val="minor"/>
      </rPr>
      <t xml:space="preserve">Atelier 9 : </t>
    </r>
    <r>
      <rPr>
        <sz val="12"/>
        <rFont val="Calibri"/>
        <family val="2"/>
        <scheme val="minor"/>
      </rPr>
      <t>Hive : un langage de requêtage de haut niveau pour l’extraction des informations</t>
    </r>
  </si>
  <si>
    <t>NoSQL, HDFS, Hadoop, MapReduce, IoT, Business Intelligence (BI), Entrepôt de données, OLTP, OLAP, Modèle en étoile, Flocon de neige, Constellation, Cube, MDX, Intégration, Analyse, Reporting</t>
  </si>
  <si>
    <t xml:space="preserve">Maîtriser les étapes d’un projet décisionnel :le chargement, la conception, l’analyse et le reporting
Différencier entre OLTP (Traitement transactionnel) et OLAP (Analyse)
Appliquer le langage MDX
Manipuler des données massives à travers une base de données NoSQL
Utiliser  Hadoop pour traiter des ensembles de données volumineux et faciliter la prise de décisions techniques et métier
Sélectionner des outils de haut niveau comme Pig et Hive pour transformer et interroger le Big Data
</t>
  </si>
  <si>
    <t>Comprendre les concepts d´entrepôts de données et de l’informatique décisionnelle.
Comprendre et manipuler des architectures nouvelle, souple et performante pour stocker et manipuler des grandes volumes de données.
Connaitre les technologies répondant aux 4V : Volume important, Variété d’informations, Vélocité des traitements, et Variabilité des sources</t>
  </si>
  <si>
    <t>Atelier Base de Données Avancée</t>
  </si>
  <si>
    <t>Fiche élément constitutif : Atelier Base de Données Avancée</t>
  </si>
  <si>
    <t xml:space="preserve">Philippe KRUCHTEN, « The Rational Unified Process, An Introduction », 3rd Edition,  Addison-Wesley, 2004.
O. EELES and al, « Building J2EE with Rational Unified Process », Addison-Wesley, 2002.
K. Schwaber, J. Sutherland, The Scrum Guide, Juillet 2013, Disponible:
http://www.scrumguides.org/docs/scrumguide/v1/scrum-guide- us.pdf, [Consulté: 03-05- 2017]
- M. Cohen, "Succeeding with Agile: Software Development Using Scrum", Addison-Wesley Professional, 2009.
</t>
  </si>
  <si>
    <t>UE: Génie logiciel</t>
  </si>
  <si>
    <r>
      <rPr>
        <b/>
        <sz val="12"/>
        <rFont val="Calibri"/>
        <family val="2"/>
        <scheme val="minor"/>
      </rPr>
      <t xml:space="preserve">Chapitre 1 : </t>
    </r>
    <r>
      <rPr>
        <sz val="12"/>
        <rFont val="Calibri"/>
        <family val="2"/>
        <scheme val="minor"/>
      </rPr>
      <t xml:space="preserve">Introduction aux approches méthodologiques : séquentielle, itérative et incrémentale.
</t>
    </r>
    <r>
      <rPr>
        <b/>
        <sz val="12"/>
        <rFont val="Calibri"/>
        <family val="2"/>
        <scheme val="minor"/>
      </rPr>
      <t xml:space="preserve">Chapitre 2 : </t>
    </r>
    <r>
      <rPr>
        <sz val="12"/>
        <rFont val="Calibri"/>
        <family val="2"/>
        <scheme val="minor"/>
      </rPr>
      <t xml:space="preserve">Les Méthodes Unifiées : Les Bases de l’Unification (UP, RUP,EUP)
</t>
    </r>
    <r>
      <rPr>
        <b/>
        <sz val="12"/>
        <rFont val="Calibri"/>
        <family val="2"/>
        <scheme val="minor"/>
      </rPr>
      <t xml:space="preserve">Chapitre 3 : </t>
    </r>
    <r>
      <rPr>
        <sz val="12"/>
        <rFont val="Calibri"/>
        <family val="2"/>
        <scheme val="minor"/>
      </rPr>
      <t xml:space="preserve">Description et Caractéristique du Processus Unifié (UP)
</t>
    </r>
    <r>
      <rPr>
        <b/>
        <sz val="12"/>
        <rFont val="Calibri"/>
        <family val="2"/>
        <scheme val="minor"/>
      </rPr>
      <t xml:space="preserve">Chapitre 4 : </t>
    </r>
    <r>
      <rPr>
        <sz val="12"/>
        <rFont val="Calibri"/>
        <family val="2"/>
        <scheme val="minor"/>
      </rPr>
      <t xml:space="preserve">Les Méthodes Agiles : Les Bases de l’Agilité.
</t>
    </r>
    <r>
      <rPr>
        <b/>
        <sz val="12"/>
        <rFont val="Calibri"/>
        <family val="2"/>
        <scheme val="minor"/>
      </rPr>
      <t xml:space="preserve">Chapitre 5 : </t>
    </r>
    <r>
      <rPr>
        <sz val="12"/>
        <rFont val="Calibri"/>
        <family val="2"/>
        <scheme val="minor"/>
      </rPr>
      <t xml:space="preserve">La méthode Scrum
</t>
    </r>
    <r>
      <rPr>
        <b/>
        <sz val="12"/>
        <rFont val="Calibri"/>
        <family val="2"/>
        <scheme val="minor"/>
      </rPr>
      <t xml:space="preserve">Chapitre 6 : </t>
    </r>
    <r>
      <rPr>
        <sz val="12"/>
        <rFont val="Calibri"/>
        <family val="2"/>
        <scheme val="minor"/>
      </rPr>
      <t xml:space="preserve">Le DevOps
</t>
    </r>
  </si>
  <si>
    <t>Conception, Système d’information, UML, UP, RUP, Agile, Scrum, DevOps, Génie Logiciel</t>
  </si>
  <si>
    <t xml:space="preserve">Apprendre à mettre en œuvre les modèles UML au sein d'un processus de développement
Faire la distinction entre les approches de développement : séquentielle, itérative et incrémentale.
Evoluer dans une équipe utilisant une approche méthodologique classique ou Agile.
</t>
  </si>
  <si>
    <t>A l’issue de ce cours, l’étudiant sera capable de faire le choix d’une méthodologie de conception et de connaître ses différentes composantes.</t>
  </si>
  <si>
    <t>Fiche élément constitutif : Méthodologie de Conception</t>
  </si>
  <si>
    <t xml:space="preserve">Les    Standards    du    CDIO (Conceive Design Implement Operate). Disponible: www.cdio.org, [Consulté: 03-05-2017]
K. Schwaber, J. Sutherland, The Scrum Guide, Juillet 2013, Disponible: http://www.scrumguides.org/docs/scrumguide/v1/scrum-guide-us.pdf, [Consulté: 03-05-2017]
</t>
  </si>
  <si>
    <t>UE : Génie logiciel, UE : Méthodologie de conception, UE: base de données avancées, UE: Développement Mobile et Web, UE: Cultures &amp; langues</t>
  </si>
  <si>
    <r>
      <rPr>
        <b/>
        <u val="double"/>
        <sz val="12"/>
        <rFont val="Calibri"/>
        <family val="2"/>
        <scheme val="minor"/>
      </rPr>
      <t>Sprint 0</t>
    </r>
    <r>
      <rPr>
        <sz val="12"/>
        <rFont val="Calibri"/>
        <family val="2"/>
        <scheme val="minor"/>
      </rPr>
      <t xml:space="preserve">
</t>
    </r>
    <r>
      <rPr>
        <b/>
        <sz val="12"/>
        <rFont val="Calibri"/>
        <family val="2"/>
        <scheme val="minor"/>
      </rPr>
      <t xml:space="preserve">Atelier 1 : </t>
    </r>
    <r>
      <rPr>
        <sz val="12"/>
        <rFont val="Calibri"/>
        <family val="2"/>
        <scheme val="minor"/>
      </rPr>
      <t xml:space="preserve">Présentation des idées de projets, constitution des groupes en utilisant une approche Agile: rôles, durée du sprint, outil de suivi, environnement de développement.
</t>
    </r>
    <r>
      <rPr>
        <b/>
        <sz val="12"/>
        <rFont val="Calibri"/>
        <family val="2"/>
        <scheme val="minor"/>
      </rPr>
      <t xml:space="preserve">Atelier 2 : </t>
    </r>
    <r>
      <rPr>
        <sz val="12"/>
        <rFont val="Calibri"/>
        <family val="2"/>
        <scheme val="minor"/>
      </rPr>
      <t xml:space="preserve">Elaboration du Business model canevas, Elaboration du Product Backlog(l'enseignant jouera le rôle du Product Owner selon Scrum)
</t>
    </r>
    <r>
      <rPr>
        <b/>
        <u val="double"/>
        <sz val="12"/>
        <rFont val="Calibri"/>
        <family val="2"/>
        <scheme val="minor"/>
      </rPr>
      <t>Sprint 1 à N</t>
    </r>
    <r>
      <rPr>
        <sz val="12"/>
        <rFont val="Calibri"/>
        <family val="2"/>
        <scheme val="minor"/>
      </rPr>
      <t xml:space="preserve">
</t>
    </r>
    <r>
      <rPr>
        <b/>
        <sz val="12"/>
        <rFont val="Calibri"/>
        <family val="2"/>
        <scheme val="minor"/>
      </rPr>
      <t>A chaque Sprint</t>
    </r>
    <r>
      <rPr>
        <sz val="12"/>
        <rFont val="Calibri"/>
        <family val="2"/>
        <scheme val="minor"/>
      </rPr>
      <t xml:space="preserve">
- Préparer le sprint backlog avec évaluation et affectation des tâches.
- Procéder à l'analyse et la conception des fonctionnalités du sprint
- Développer les fonctionnalités du sprint
- Démo et Validation des fonctionnalités du release
Chaque sprint fera l'objet d'une présentation avec Démo et document de conception.
</t>
    </r>
    <r>
      <rPr>
        <b/>
        <u val="double"/>
        <sz val="12"/>
        <rFont val="Calibri"/>
        <family val="2"/>
        <scheme val="minor"/>
      </rPr>
      <t>Finalisation: Préparation de la documentation du produit</t>
    </r>
    <r>
      <rPr>
        <sz val="12"/>
        <rFont val="Calibri"/>
        <family val="2"/>
        <scheme val="minor"/>
      </rPr>
      <t xml:space="preserve">
</t>
    </r>
    <r>
      <rPr>
        <b/>
        <sz val="12"/>
        <rFont val="Calibri"/>
        <family val="2"/>
        <scheme val="minor"/>
      </rPr>
      <t>Atelier 3 :</t>
    </r>
    <r>
      <rPr>
        <sz val="12"/>
        <rFont val="Calibri"/>
        <family val="2"/>
        <scheme val="minor"/>
      </rPr>
      <t xml:space="preserve"> Présentation technique du projet, présentation commercial du produit( poster, flyer, slogan, étude de marché)
Evaluation
</t>
    </r>
    <r>
      <rPr>
        <b/>
        <sz val="12"/>
        <rFont val="Calibri"/>
        <family val="2"/>
        <scheme val="minor"/>
      </rPr>
      <t>Atelier 4 :</t>
    </r>
    <r>
      <rPr>
        <sz val="12"/>
        <rFont val="Calibri"/>
        <family val="2"/>
        <scheme val="minor"/>
      </rPr>
      <t xml:space="preserve"> Soutenance.
</t>
    </r>
  </si>
  <si>
    <t>Projet pratique, projet tutoré, application intégrée, travail collaboratif, UML, développement, Agile, Scrum, mobile, backend web, framework web.</t>
  </si>
  <si>
    <t xml:space="preserve">Passer par les différentes phases d’un cycle de vie de développement logiciel.
Mettre en pratique une méthode Agile.
Maîtriser les phase de développement d'une application mobile avec un backend web.
Utiliser ses Soft Skills pour convaincre un auditoire de ses choix et de la  solution proposée.
</t>
  </si>
  <si>
    <t>Fiche élément constitutif : Développement Mobile</t>
  </si>
  <si>
    <t>Développement Mobile et Web</t>
  </si>
  <si>
    <t xml:space="preserve">Maîtriser le développement des applications mobiles dans des environnements mobiles modernes. </t>
  </si>
  <si>
    <t xml:space="preserve">Comprendre une plate-forme mobile pour développer des applications mobiles.
Comprendre l'architecture d’un système mobile.
Maîtriser le développement sous Android.
Pouvoir utiliser les ressources des téléphones mobiles comme la géolocalisation
Pouvoir s’interfacer avec des services distants et apprendre l'intégration d'applications mobiles avec des services web et cloud pour créer des applications mobiles.
Préparer les étudiants à la certification Associate Android Developer
</t>
  </si>
  <si>
    <t>Android, Ios, Activity, géolocalisation</t>
  </si>
  <si>
    <r>
      <rPr>
        <b/>
        <sz val="12"/>
        <rFont val="Calibri"/>
        <family val="2"/>
        <scheme val="minor"/>
      </rPr>
      <t xml:space="preserve">Chapitre 1 : </t>
    </r>
    <r>
      <rPr>
        <sz val="12"/>
        <rFont val="Calibri"/>
        <family val="2"/>
        <scheme val="minor"/>
      </rPr>
      <t xml:space="preserve">Introduction au Développement d’Applications Mobiles et ANDROID
</t>
    </r>
    <r>
      <rPr>
        <b/>
        <sz val="12"/>
        <rFont val="Calibri"/>
        <family val="2"/>
        <scheme val="minor"/>
      </rPr>
      <t xml:space="preserve">Chapitre 2 : </t>
    </r>
    <r>
      <rPr>
        <sz val="12"/>
        <rFont val="Calibri"/>
        <family val="2"/>
        <scheme val="minor"/>
      </rPr>
      <t xml:space="preserve">Éléments Graphiques Android : Layouts, Views, Resources, Adaptateurs, Fragments …
</t>
    </r>
    <r>
      <rPr>
        <b/>
        <sz val="12"/>
        <rFont val="Calibri"/>
        <family val="2"/>
        <scheme val="minor"/>
      </rPr>
      <t xml:space="preserve">Chapitre 3 : </t>
    </r>
    <r>
      <rPr>
        <sz val="12"/>
        <rFont val="Calibri"/>
        <family val="2"/>
        <scheme val="minor"/>
      </rPr>
      <t xml:space="preserve">Intents et activités : gestion des activités, cycle de vie, intent implicite et explicite
</t>
    </r>
    <r>
      <rPr>
        <b/>
        <sz val="12"/>
        <rFont val="Calibri"/>
        <family val="2"/>
        <scheme val="minor"/>
      </rPr>
      <t xml:space="preserve">Chapitre 4 : </t>
    </r>
    <r>
      <rPr>
        <sz val="12"/>
        <rFont val="Calibri"/>
        <family val="2"/>
        <scheme val="minor"/>
      </rPr>
      <t xml:space="preserve">Stockage des données : Shared Preferences, Stockage Interne, Stockage </t>
    </r>
    <r>
      <rPr>
        <b/>
        <sz val="12"/>
        <rFont val="Calibri"/>
        <family val="2"/>
        <scheme val="minor"/>
      </rPr>
      <t xml:space="preserve"> </t>
    </r>
    <r>
      <rPr>
        <sz val="12"/>
        <rFont val="Calibri"/>
        <family val="2"/>
        <scheme val="minor"/>
      </rPr>
      <t xml:space="preserve">Externe, Bases de Données SQLite, Le stockage sur le réseau
</t>
    </r>
    <r>
      <rPr>
        <b/>
        <sz val="12"/>
        <rFont val="Calibri"/>
        <family val="2"/>
        <scheme val="minor"/>
      </rPr>
      <t xml:space="preserve">Chapitre 5 : </t>
    </r>
    <r>
      <rPr>
        <sz val="12"/>
        <rFont val="Calibri"/>
        <family val="2"/>
        <scheme val="minor"/>
      </rPr>
      <t xml:space="preserve">Services, Broadcast Receivers, Content Providers ,Threads
Connectivité, capteurs  et géolocalisation
</t>
    </r>
    <r>
      <rPr>
        <b/>
        <sz val="12"/>
        <rFont val="Calibri"/>
        <family val="2"/>
        <scheme val="minor"/>
      </rPr>
      <t xml:space="preserve">Chapitre 6 : </t>
    </r>
    <r>
      <rPr>
        <sz val="12"/>
        <rFont val="Calibri"/>
        <family val="2"/>
        <scheme val="minor"/>
      </rPr>
      <t xml:space="preserve">Play store et monétisation d’un projet android
</t>
    </r>
  </si>
  <si>
    <t xml:space="preserve">Programmation Java,  XML, Systèmes d’exploitation, Bases de données, </t>
  </si>
  <si>
    <t xml:space="preserve">https://developers.google.com/training/android/
https://google.github.io/android-testing-support-library/
Reto Meier, Développement d’applications professionnelles avec Andoid 2
Murach’s Android Programming
Android - How to Program Paul, Harvey et Abbey Deitel-Pearson
</t>
  </si>
  <si>
    <t>Fiche élément constitutif AT Développement Mobile natif</t>
  </si>
  <si>
    <t>AT Développement Mobile natif</t>
  </si>
  <si>
    <t>Maîtriser les concepts liés à la réalisation d'applications pour les téléphones mobiles</t>
  </si>
  <si>
    <t>IDE : Eclipse, Android Studio ou équivalent</t>
  </si>
  <si>
    <t>www.android.com
http://kotlinlang.org</t>
  </si>
  <si>
    <t>Fiche élément constitutif : AT Framework cross-platform</t>
  </si>
  <si>
    <t>AT Framework cross-platform</t>
  </si>
  <si>
    <t>Maîtriser le développement des applications Multi-plateformes.</t>
  </si>
  <si>
    <t>HTML5, CSS3, JAVASCRIPT, Cross platform</t>
  </si>
  <si>
    <t>Présentation de Xamarin Framework</t>
  </si>
  <si>
    <t>IDE : Xamarin ou équivalent</t>
  </si>
  <si>
    <t>HTML5, CSS3, XML, Base de données</t>
  </si>
  <si>
    <t>Développeur mobile / cross platform</t>
  </si>
  <si>
    <r>
      <rPr>
        <b/>
        <sz val="12"/>
        <rFont val="Calibri"/>
        <family val="2"/>
        <scheme val="minor"/>
      </rPr>
      <t xml:space="preserve">Chapitre 1 : </t>
    </r>
    <r>
      <rPr>
        <sz val="12"/>
        <rFont val="Calibri"/>
        <family val="2"/>
        <scheme val="minor"/>
      </rPr>
      <t xml:space="preserve">Introduction à la modélisation Objet et à UML
</t>
    </r>
    <r>
      <rPr>
        <b/>
        <sz val="12"/>
        <rFont val="Calibri"/>
        <family val="2"/>
        <scheme val="minor"/>
      </rPr>
      <t>Chapitre 2 :</t>
    </r>
    <r>
      <rPr>
        <sz val="12"/>
        <rFont val="Calibri"/>
        <family val="2"/>
        <scheme val="minor"/>
      </rPr>
      <t xml:space="preserve"> Vue d’ensemble des diagrammes UML et axes de UML 2.x (Comportement, Interaction, Structure)
</t>
    </r>
    <r>
      <rPr>
        <b/>
        <sz val="12"/>
        <rFont val="Calibri"/>
        <family val="2"/>
        <scheme val="minor"/>
      </rPr>
      <t xml:space="preserve">Chapitre 3 </t>
    </r>
    <r>
      <rPr>
        <sz val="12"/>
        <rFont val="Calibri"/>
        <family val="2"/>
        <scheme val="minor"/>
      </rPr>
      <t xml:space="preserve">: Diagrammes de comportement (Cas d’utilisation)
</t>
    </r>
    <r>
      <rPr>
        <b/>
        <sz val="12"/>
        <rFont val="Calibri"/>
        <family val="2"/>
        <scheme val="minor"/>
      </rPr>
      <t xml:space="preserve">Chapitre 4 : </t>
    </r>
    <r>
      <rPr>
        <sz val="12"/>
        <rFont val="Calibri"/>
        <family val="2"/>
        <scheme val="minor"/>
      </rPr>
      <t xml:space="preserve">Diagrammes statiques (Classes et d’objets)
</t>
    </r>
    <r>
      <rPr>
        <b/>
        <sz val="12"/>
        <rFont val="Calibri"/>
        <family val="2"/>
        <scheme val="minor"/>
      </rPr>
      <t>Chapitre 5 :</t>
    </r>
    <r>
      <rPr>
        <sz val="12"/>
        <rFont val="Calibri"/>
        <family val="2"/>
        <scheme val="minor"/>
      </rPr>
      <t xml:space="preserve"> Diagrammes dynamiques (Séquence, états de transition des états dynamiques, d’activité)
</t>
    </r>
    <r>
      <rPr>
        <b/>
        <sz val="12"/>
        <rFont val="Calibri"/>
        <family val="2"/>
        <scheme val="minor"/>
      </rPr>
      <t xml:space="preserve">Chapitre 6 : </t>
    </r>
    <r>
      <rPr>
        <sz val="12"/>
        <rFont val="Calibri"/>
        <family val="2"/>
        <scheme val="minor"/>
      </rPr>
      <t>Diagrammes architecturaux (Déploiement et de Composants)</t>
    </r>
  </si>
  <si>
    <t xml:space="preserve">- Pascal Roques, UML2 par la pratique, études de cas et exercices corrigés, Eyrolles 2008.
- Martin Fowler, UML Distilled: A Brief Guide to the Standard Object Modeling Language, - Addison-Wesley Professional, 2003. 
Pascal Roques, Les cahiers du programmeur UML2, Modéliser une application Web, Eyrolles 2007.
M.Lopez, E.Pichon et J.Migueis, Intégrer UML dans vos projets, Eyrolle
Site de référence : www.omg.org/spec/uml
</t>
  </si>
  <si>
    <t>Cette matière requiert que l'étudiant ait des connaissances en  logique et abstraction des données (pas de matières particuières)</t>
  </si>
  <si>
    <t>Data binding,  MVC/MVVM,  lasy loading,  JavaScript, Type Script, Single Page Application (SPA) …</t>
  </si>
  <si>
    <r>
      <rPr>
        <b/>
        <sz val="12"/>
        <rFont val="Calibri"/>
        <family val="2"/>
        <scheme val="minor"/>
      </rPr>
      <t>Atelier 1 : Les grands principes d'AngularJS</t>
    </r>
    <r>
      <rPr>
        <sz val="12"/>
        <rFont val="Calibri"/>
        <family val="2"/>
        <scheme val="minor"/>
      </rPr>
      <t xml:space="preserve"> : (L'application Single Page, Le MVC avec AngularJS, L'injection de dépendance, Les services, Les limites de jQuery)
</t>
    </r>
    <r>
      <rPr>
        <b/>
        <sz val="12"/>
        <rFont val="Calibri"/>
        <family val="2"/>
        <scheme val="minor"/>
      </rPr>
      <t>Atelier 2</t>
    </r>
    <r>
      <rPr>
        <sz val="12"/>
        <rFont val="Calibri"/>
        <family val="2"/>
        <scheme val="minor"/>
      </rPr>
      <t xml:space="preserve"> : </t>
    </r>
    <r>
      <rPr>
        <b/>
        <sz val="12"/>
        <rFont val="Calibri"/>
        <family val="2"/>
        <scheme val="minor"/>
      </rPr>
      <t>Initiation Typescript</t>
    </r>
    <r>
      <rPr>
        <sz val="12"/>
        <rFont val="Calibri"/>
        <family val="2"/>
        <scheme val="minor"/>
      </rPr>
      <t xml:space="preserve"> : (Utilisation du langage Type script)
</t>
    </r>
    <r>
      <rPr>
        <b/>
        <sz val="12"/>
        <rFont val="Calibri"/>
        <family val="2"/>
        <scheme val="minor"/>
      </rPr>
      <t>Atelier 3 : Initiation MVC</t>
    </r>
    <r>
      <rPr>
        <sz val="12"/>
        <rFont val="Calibri"/>
        <family val="2"/>
        <scheme val="minor"/>
      </rPr>
      <t xml:space="preserve"> : (Module Vs. Composant, Objectifs d'un controller, Databinding, Le modèle, Le scope du controller, Principe d'un template, Rôle d'une Directive)
</t>
    </r>
    <r>
      <rPr>
        <b/>
        <sz val="12"/>
        <rFont val="Calibri"/>
        <family val="2"/>
        <scheme val="minor"/>
      </rPr>
      <t>Atelier 4 : L'accès au serveur</t>
    </r>
    <r>
      <rPr>
        <sz val="12"/>
        <rFont val="Calibri"/>
        <family val="2"/>
        <scheme val="minor"/>
      </rPr>
      <t xml:space="preserve"> : (Ajax et asynchrone, Principes Rest, Le service $http, Connexion aux web services)
</t>
    </r>
    <r>
      <rPr>
        <b/>
        <sz val="12"/>
        <rFont val="Calibri"/>
        <family val="2"/>
        <scheme val="minor"/>
      </rPr>
      <t>Atelier 5 : Routing</t>
    </r>
    <r>
      <rPr>
        <sz val="12"/>
        <rFont val="Calibri"/>
        <family val="2"/>
        <scheme val="minor"/>
      </rPr>
      <t xml:space="preserve"> 
</t>
    </r>
    <r>
      <rPr>
        <b/>
        <sz val="12"/>
        <rFont val="Calibri"/>
        <family val="2"/>
        <scheme val="minor"/>
      </rPr>
      <t>Atelier 6 : Les Formulaires avec AngularJS</t>
    </r>
    <r>
      <rPr>
        <sz val="12"/>
        <rFont val="Calibri"/>
        <family val="2"/>
        <scheme val="minor"/>
      </rPr>
      <t xml:space="preserve"> : (Les éléments de formulaires, Utilisation du modèle, La sélection multiple, Validation du formulaire, Soumission du formulaire)
</t>
    </r>
    <r>
      <rPr>
        <b/>
        <sz val="12"/>
        <rFont val="Calibri"/>
        <family val="2"/>
        <scheme val="minor"/>
      </rPr>
      <t>Atelier 7 : La gestion des évènements</t>
    </r>
    <r>
      <rPr>
        <sz val="12"/>
        <rFont val="Calibri"/>
        <family val="2"/>
        <scheme val="minor"/>
      </rPr>
      <t xml:space="preserve"> : (Le pattern Observer, Les boucles d'observations, Les événements du DOM, Insertion des directives d'événements)
</t>
    </r>
    <r>
      <rPr>
        <b/>
        <sz val="12"/>
        <rFont val="Calibri"/>
        <family val="2"/>
        <scheme val="minor"/>
      </rPr>
      <t>Atelier 8</t>
    </r>
    <r>
      <rPr>
        <sz val="12"/>
        <rFont val="Calibri"/>
        <family val="2"/>
        <scheme val="minor"/>
      </rPr>
      <t xml:space="preserve"> : Les Scopes : (Définition et utilité des scopes, La hiérarchie des scopes, Créer un nouveau scope, Le cycle de vie des Scopes)
</t>
    </r>
    <r>
      <rPr>
        <b/>
        <sz val="12"/>
        <rFont val="Calibri"/>
        <family val="2"/>
        <scheme val="minor"/>
      </rPr>
      <t/>
    </r>
  </si>
  <si>
    <r>
      <rPr>
        <b/>
        <sz val="12"/>
        <rFont val="Calibri"/>
        <family val="2"/>
        <scheme val="minor"/>
      </rPr>
      <t>Atelier 1 :</t>
    </r>
    <r>
      <rPr>
        <sz val="12"/>
        <rFont val="Calibri"/>
        <family val="2"/>
        <scheme val="minor"/>
      </rPr>
      <t xml:space="preserve"> Installation de la plateforme de développement en un  langage de script coté serveur (PHP ou équivalent) : les composants d’une plateforme de développement en un langage de script coté serveur (PHP ou équivalent) : serveur web, SGBD, script, PhpMyAdmin.
</t>
    </r>
    <r>
      <rPr>
        <b/>
        <sz val="12"/>
        <rFont val="Calibri"/>
        <family val="2"/>
        <scheme val="minor"/>
      </rPr>
      <t xml:space="preserve">Atelier 2 : </t>
    </r>
    <r>
      <rPr>
        <sz val="12"/>
        <rFont val="Calibri"/>
        <family val="2"/>
        <scheme val="minor"/>
      </rPr>
      <t xml:space="preserve">manipuler les structures de contrôle conditionnelles et itératives : appliquées sur les tableaux et les chaines de caractères.
</t>
    </r>
    <r>
      <rPr>
        <b/>
        <sz val="12"/>
        <rFont val="Calibri"/>
        <family val="2"/>
        <scheme val="minor"/>
      </rPr>
      <t xml:space="preserve">Atelier 3 : </t>
    </r>
    <r>
      <rPr>
        <sz val="12"/>
        <rFont val="Calibri"/>
        <family val="2"/>
        <scheme val="minor"/>
      </rPr>
      <t xml:space="preserve">Gestion des formulaires en un langage de script coté serveur (PHP ou équivalent) : validation &amp; récupération
</t>
    </r>
    <r>
      <rPr>
        <b/>
        <sz val="12"/>
        <rFont val="Calibri"/>
        <family val="2"/>
        <scheme val="minor"/>
      </rPr>
      <t xml:space="preserve">Atelier 4 : </t>
    </r>
    <r>
      <rPr>
        <sz val="12"/>
        <rFont val="Calibri"/>
        <family val="2"/>
        <scheme val="minor"/>
      </rPr>
      <t xml:space="preserve">Accès aux bases de données (MySQL ou autres).
</t>
    </r>
    <r>
      <rPr>
        <b/>
        <sz val="12"/>
        <rFont val="Calibri"/>
        <family val="2"/>
        <scheme val="minor"/>
      </rPr>
      <t>Atelier 5 :</t>
    </r>
    <r>
      <rPr>
        <sz val="12"/>
        <rFont val="Calibri"/>
        <family val="2"/>
        <scheme val="minor"/>
      </rPr>
      <t xml:space="preserve"> Manipulation des cookies et des sessions
</t>
    </r>
    <r>
      <rPr>
        <b/>
        <sz val="12"/>
        <rFont val="Calibri"/>
        <family val="2"/>
        <scheme val="minor"/>
      </rPr>
      <t xml:space="preserve">Atelier 6 </t>
    </r>
    <r>
      <rPr>
        <sz val="12"/>
        <rFont val="Calibri"/>
        <family val="2"/>
        <scheme val="minor"/>
      </rPr>
      <t>: Exposition du métier sous forme de services</t>
    </r>
  </si>
  <si>
    <t>Contrôle continu et mini projet</t>
  </si>
  <si>
    <t>Conception, Architecture logicielle, SGBD, PHP</t>
  </si>
  <si>
    <t>Développez votre site web avec le framework Symfony 3 :  Alexandre Bacco    : 13 octobre 2016
Développer avec Symfony 2 : Le plus populaire des frameworks PHP :  Clément Camin :  20 août 2015
Mastering Symfony Format Kindle :  Sohail Salehi : 2015
www.symfony.com</t>
  </si>
  <si>
    <r>
      <t>IDE : Doctrine ou Symfoniy</t>
    </r>
    <r>
      <rPr>
        <sz val="12"/>
        <rFont val="Calibri"/>
        <family val="2"/>
        <scheme val="minor"/>
      </rPr>
      <t xml:space="preserve"> ou équivalent</t>
    </r>
  </si>
  <si>
    <r>
      <rPr>
        <b/>
        <sz val="12"/>
        <rFont val="Calibri"/>
        <family val="2"/>
        <scheme val="minor"/>
      </rPr>
      <t xml:space="preserve">Atelier 1 : </t>
    </r>
    <r>
      <rPr>
        <sz val="12"/>
        <rFont val="Calibri"/>
        <family val="2"/>
        <scheme val="minor"/>
      </rPr>
      <t>Introduction et architecture à Symfony</t>
    </r>
    <r>
      <rPr>
        <sz val="12"/>
        <rFont val="Calibri"/>
        <family val="2"/>
        <scheme val="minor"/>
      </rPr>
      <t xml:space="preserve"> ou équivalent
</t>
    </r>
    <r>
      <rPr>
        <b/>
        <sz val="12"/>
        <rFont val="Calibri"/>
        <family val="2"/>
        <scheme val="minor"/>
      </rPr>
      <t xml:space="preserve">Atelier 2 : </t>
    </r>
    <r>
      <rPr>
        <sz val="12"/>
        <rFont val="Calibri"/>
        <family val="2"/>
        <scheme val="minor"/>
      </rPr>
      <t xml:space="preserve">Premier Bundle avec Symfony ou équivalent
</t>
    </r>
    <r>
      <rPr>
        <b/>
        <sz val="12"/>
        <rFont val="Calibri"/>
        <family val="2"/>
        <scheme val="minor"/>
      </rPr>
      <t xml:space="preserve">Atelier 3 : </t>
    </r>
    <r>
      <rPr>
        <sz val="12"/>
        <rFont val="Calibri"/>
        <family val="2"/>
        <scheme val="minor"/>
      </rPr>
      <t xml:space="preserve">Configuration d’un projet dans un environnement de développement particulier
</t>
    </r>
    <r>
      <rPr>
        <b/>
        <sz val="12"/>
        <rFont val="Calibri"/>
        <family val="2"/>
        <scheme val="minor"/>
      </rPr>
      <t xml:space="preserve">Atelier 4 : </t>
    </r>
    <r>
      <rPr>
        <sz val="12"/>
        <rFont val="Calibri"/>
        <family val="2"/>
        <scheme val="minor"/>
      </rPr>
      <t xml:space="preserve">Créer des pages
</t>
    </r>
    <r>
      <rPr>
        <b/>
        <sz val="12"/>
        <rFont val="Calibri"/>
        <family val="2"/>
        <scheme val="minor"/>
      </rPr>
      <t xml:space="preserve">Atelier 5 : </t>
    </r>
    <r>
      <rPr>
        <sz val="12"/>
        <rFont val="Calibri"/>
        <family val="2"/>
        <scheme val="minor"/>
      </rPr>
      <t xml:space="preserve">La gestion des  vues avec Twig
</t>
    </r>
    <r>
      <rPr>
        <b/>
        <sz val="12"/>
        <rFont val="Calibri"/>
        <family val="2"/>
        <scheme val="minor"/>
      </rPr>
      <t>Atelier 6</t>
    </r>
    <r>
      <rPr>
        <sz val="12"/>
        <rFont val="Calibri"/>
        <family val="2"/>
        <scheme val="minor"/>
      </rPr>
      <t xml:space="preserve"> : Les formulaires
</t>
    </r>
    <r>
      <rPr>
        <b/>
        <sz val="12"/>
        <rFont val="Calibri"/>
        <family val="2"/>
        <scheme val="minor"/>
      </rPr>
      <t xml:space="preserve">Atelier 7 : </t>
    </r>
    <r>
      <rPr>
        <sz val="12"/>
        <rFont val="Calibri"/>
        <family val="2"/>
        <scheme val="minor"/>
      </rPr>
      <t xml:space="preserve">La gestion des modèles : notion d’ORM et Doctrine
</t>
    </r>
    <r>
      <rPr>
        <b/>
        <sz val="12"/>
        <rFont val="Calibri"/>
        <family val="2"/>
        <scheme val="minor"/>
      </rPr>
      <t xml:space="preserve">Atelier 8 : </t>
    </r>
    <r>
      <rPr>
        <sz val="12"/>
        <rFont val="Calibri"/>
        <family val="2"/>
        <scheme val="minor"/>
      </rPr>
      <t xml:space="preserve">Utilisation d’un bundle existant : Exemple FOSUserBundle
</t>
    </r>
    <r>
      <rPr>
        <b/>
        <sz val="12"/>
        <rFont val="Calibri"/>
        <family val="2"/>
        <scheme val="minor"/>
      </rPr>
      <t xml:space="preserve">Atelier 9 </t>
    </r>
    <r>
      <rPr>
        <sz val="12"/>
        <rFont val="Calibri"/>
        <family val="2"/>
        <scheme val="minor"/>
      </rPr>
      <t>: sécurité des applications WEB</t>
    </r>
  </si>
  <si>
    <r>
      <t>Découvrir le framework Symfony</t>
    </r>
    <r>
      <rPr>
        <sz val="12"/>
        <rFont val="Calibri"/>
        <family val="2"/>
        <scheme val="minor"/>
      </rPr>
      <t xml:space="preserve"> ou équivalent, 
Apprendre à développer une application MVC simple mais complète avec Symfony</t>
    </r>
    <r>
      <rPr>
        <sz val="12"/>
        <rFont val="Calibri"/>
        <family val="2"/>
        <scheme val="minor"/>
      </rPr>
      <t xml:space="preserve"> ou équivalent, 
Apprendre à travailler avec l'ORM Doctrine, 
Comprendre les bases de l'architecture des composants de Symfony 3 et de leurs interactions, 
Comprendre l'implémentation MVC des applications Symfony </t>
    </r>
    <r>
      <rPr>
        <strike/>
        <sz val="12"/>
        <rFont val="Calibri"/>
        <family val="2"/>
        <scheme val="minor"/>
      </rPr>
      <t>3</t>
    </r>
    <r>
      <rPr>
        <sz val="12"/>
        <rFont val="Calibri"/>
        <family val="2"/>
        <scheme val="minor"/>
      </rPr>
      <t xml:space="preserve"> ou équivalent,
Développer une application web avec Symfony </t>
    </r>
    <r>
      <rPr>
        <strike/>
        <sz val="12"/>
        <rFont val="Calibri"/>
        <family val="2"/>
        <scheme val="minor"/>
      </rPr>
      <t>3</t>
    </r>
    <r>
      <rPr>
        <sz val="12"/>
        <rFont val="Calibri"/>
        <family val="2"/>
        <scheme val="minor"/>
      </rPr>
      <t xml:space="preserve"> ou équivalent.
</t>
    </r>
  </si>
  <si>
    <t>SOAP, REST, XML-RPC, WSDL, JAX-RS, BPMN, SLA</t>
  </si>
  <si>
    <r>
      <rPr>
        <b/>
        <sz val="12"/>
        <rFont val="Calibri"/>
        <family val="2"/>
        <scheme val="minor"/>
      </rPr>
      <t xml:space="preserve">Chapitre 1 : </t>
    </r>
    <r>
      <rPr>
        <sz val="12"/>
        <rFont val="Calibri"/>
        <family val="2"/>
        <scheme val="minor"/>
      </rPr>
      <t xml:space="preserve">Technologies XML
</t>
    </r>
    <r>
      <rPr>
        <b/>
        <sz val="12"/>
        <rFont val="Calibri"/>
        <family val="2"/>
        <scheme val="minor"/>
      </rPr>
      <t xml:space="preserve">Chapitre 2 : </t>
    </r>
    <r>
      <rPr>
        <sz val="12"/>
        <rFont val="Calibri"/>
        <family val="2"/>
        <scheme val="minor"/>
      </rPr>
      <t xml:space="preserve">Modèles et architectures orientées services de référence
</t>
    </r>
    <r>
      <rPr>
        <b/>
        <sz val="12"/>
        <rFont val="Calibri"/>
        <family val="2"/>
        <scheme val="minor"/>
      </rPr>
      <t xml:space="preserve">Chapitre 3 : </t>
    </r>
    <r>
      <rPr>
        <sz val="12"/>
        <rFont val="Calibri"/>
        <family val="2"/>
        <scheme val="minor"/>
      </rPr>
      <t xml:space="preserve">Services Web SOAP
</t>
    </r>
    <r>
      <rPr>
        <b/>
        <sz val="12"/>
        <rFont val="Calibri"/>
        <family val="2"/>
        <scheme val="minor"/>
      </rPr>
      <t xml:space="preserve">Chapitre 4 : </t>
    </r>
    <r>
      <rPr>
        <sz val="12"/>
        <rFont val="Calibri"/>
        <family val="2"/>
        <scheme val="minor"/>
      </rPr>
      <t xml:space="preserve">Services REST
</t>
    </r>
    <r>
      <rPr>
        <b/>
        <sz val="12"/>
        <rFont val="Calibri"/>
        <family val="2"/>
        <scheme val="minor"/>
      </rPr>
      <t xml:space="preserve">Chapitre 5 : </t>
    </r>
    <r>
      <rPr>
        <sz val="12"/>
        <rFont val="Calibri"/>
        <family val="2"/>
        <scheme val="minor"/>
      </rPr>
      <t xml:space="preserve">Workflow
</t>
    </r>
    <r>
      <rPr>
        <b/>
        <sz val="12"/>
        <rFont val="Calibri"/>
        <family val="2"/>
        <scheme val="minor"/>
      </rPr>
      <t>Chapitre 6 :</t>
    </r>
    <r>
      <rPr>
        <sz val="12"/>
        <rFont val="Calibri"/>
        <family val="2"/>
        <scheme val="minor"/>
      </rPr>
      <t xml:space="preserve"> Bus de services
</t>
    </r>
  </si>
  <si>
    <t>Programmation Orientée Objet, Programmation Objet Avancée, Base de Données, architecture logiciel…</t>
  </si>
  <si>
    <t xml:space="preserve">SOAP, REST, WSDL, JAX-RS, BPMN, inter-opérabilité </t>
  </si>
  <si>
    <r>
      <rPr>
        <b/>
        <sz val="12"/>
        <rFont val="Calibri"/>
        <family val="2"/>
        <scheme val="minor"/>
      </rPr>
      <t>Atelier 1</t>
    </r>
    <r>
      <rPr>
        <sz val="12"/>
        <rFont val="Calibri"/>
        <family val="2"/>
        <scheme val="minor"/>
      </rPr>
      <t xml:space="preserve"> : Initiation aux services web (consommation services webs publics)
</t>
    </r>
    <r>
      <rPr>
        <b/>
        <sz val="12"/>
        <rFont val="Calibri"/>
        <family val="2"/>
        <scheme val="minor"/>
      </rPr>
      <t>Atelier 2</t>
    </r>
    <r>
      <rPr>
        <sz val="12"/>
        <rFont val="Calibri"/>
        <family val="2"/>
        <scheme val="minor"/>
      </rPr>
      <t xml:space="preserve"> : JAX-WS, développement et testing d'un service web SOAP
</t>
    </r>
    <r>
      <rPr>
        <b/>
        <sz val="12"/>
        <rFont val="Calibri"/>
        <family val="2"/>
        <scheme val="minor"/>
      </rPr>
      <t>Atelier 3</t>
    </r>
    <r>
      <rPr>
        <sz val="12"/>
        <rFont val="Calibri"/>
        <family val="2"/>
        <scheme val="minor"/>
      </rPr>
      <t xml:space="preserve"> : Consommation et test d'un service web SOAP (langage différent)
</t>
    </r>
    <r>
      <rPr>
        <b/>
        <sz val="12"/>
        <rFont val="Calibri"/>
        <family val="2"/>
        <scheme val="minor"/>
      </rPr>
      <t>Atelier 4</t>
    </r>
    <r>
      <rPr>
        <sz val="12"/>
        <rFont val="Calibri"/>
        <family val="2"/>
        <scheme val="minor"/>
      </rPr>
      <t xml:space="preserve"> : JAX-RS, développement et testing d'un service web REST
</t>
    </r>
    <r>
      <rPr>
        <b/>
        <sz val="12"/>
        <rFont val="Calibri"/>
        <family val="2"/>
        <scheme val="minor"/>
      </rPr>
      <t>Atelier 5</t>
    </r>
    <r>
      <rPr>
        <sz val="12"/>
        <rFont val="Calibri"/>
        <family val="2"/>
        <scheme val="minor"/>
      </rPr>
      <t xml:space="preserve"> : Consommation et test d'un service web REST
</t>
    </r>
    <r>
      <rPr>
        <b/>
        <sz val="12"/>
        <rFont val="Calibri"/>
        <family val="2"/>
        <scheme val="minor"/>
      </rPr>
      <t>Atelier 6</t>
    </r>
    <r>
      <rPr>
        <sz val="12"/>
        <rFont val="Calibri"/>
        <family val="2"/>
        <scheme val="minor"/>
      </rPr>
      <t xml:space="preserve"> : Utilisation des connecteurs de l'ESB</t>
    </r>
  </si>
  <si>
    <t>Programmation orientée objet,  XML, Systèmes d’exploitation, Bases de données</t>
  </si>
  <si>
    <r>
      <rPr>
        <b/>
        <sz val="12"/>
        <rFont val="Calibri"/>
        <family val="2"/>
        <scheme val="minor"/>
      </rPr>
      <t>Atelier 1 :</t>
    </r>
    <r>
      <rPr>
        <sz val="12"/>
        <rFont val="Calibri"/>
        <family val="2"/>
        <scheme val="minor"/>
      </rPr>
      <t xml:space="preserve"> Installation et prise en main d’Android Studio ou équivalent
</t>
    </r>
    <r>
      <rPr>
        <b/>
        <sz val="12"/>
        <rFont val="Calibri"/>
        <family val="2"/>
        <scheme val="minor"/>
      </rPr>
      <t>Atelier 2 :</t>
    </r>
    <r>
      <rPr>
        <sz val="12"/>
        <rFont val="Calibri"/>
        <family val="2"/>
        <scheme val="minor"/>
      </rPr>
      <t xml:space="preserve"> Découverte des ressources, layouts et vues
</t>
    </r>
    <r>
      <rPr>
        <b/>
        <sz val="12"/>
        <rFont val="Calibri"/>
        <family val="2"/>
        <scheme val="minor"/>
      </rPr>
      <t>Atelier 3 :</t>
    </r>
    <r>
      <rPr>
        <sz val="12"/>
        <rFont val="Calibri"/>
        <family val="2"/>
        <scheme val="minor"/>
      </rPr>
      <t xml:space="preserve"> Layouts et gestion des "activity"
</t>
    </r>
    <r>
      <rPr>
        <b/>
        <sz val="12"/>
        <rFont val="Calibri"/>
        <family val="2"/>
        <scheme val="minor"/>
      </rPr>
      <t>Atelier 4 :</t>
    </r>
    <r>
      <rPr>
        <sz val="12"/>
        <rFont val="Calibri"/>
        <family val="2"/>
        <scheme val="minor"/>
      </rPr>
      <t xml:space="preserve"> Fragments
</t>
    </r>
    <r>
      <rPr>
        <b/>
        <sz val="12"/>
        <rFont val="Calibri"/>
        <family val="2"/>
        <scheme val="minor"/>
      </rPr>
      <t>Atelier 5 :</t>
    </r>
    <r>
      <rPr>
        <sz val="12"/>
        <rFont val="Calibri"/>
        <family val="2"/>
        <scheme val="minor"/>
      </rPr>
      <t xml:space="preserve"> Persistance des données
</t>
    </r>
    <r>
      <rPr>
        <b/>
        <sz val="12"/>
        <rFont val="Calibri"/>
        <family val="2"/>
        <scheme val="minor"/>
      </rPr>
      <t xml:space="preserve">Atelier 6 : </t>
    </r>
    <r>
      <rPr>
        <sz val="12"/>
        <rFont val="Calibri"/>
        <family val="2"/>
        <scheme val="minor"/>
      </rPr>
      <t xml:space="preserve">Consommation des webservices
</t>
    </r>
    <r>
      <rPr>
        <b/>
        <sz val="12"/>
        <rFont val="Calibri"/>
        <family val="2"/>
        <scheme val="minor"/>
      </rPr>
      <t>Atelier 7 :</t>
    </r>
    <r>
      <rPr>
        <sz val="12"/>
        <rFont val="Calibri"/>
        <family val="2"/>
        <scheme val="minor"/>
      </rPr>
      <t xml:space="preserve"> Cartes et géolocatisation
</t>
    </r>
    <r>
      <rPr>
        <b/>
        <sz val="12"/>
        <rFont val="Calibri"/>
        <family val="2"/>
        <scheme val="minor"/>
      </rPr>
      <t>Atelier 8</t>
    </r>
    <r>
      <rPr>
        <sz val="12"/>
        <rFont val="Calibri"/>
        <family val="2"/>
        <scheme val="minor"/>
      </rPr>
      <t xml:space="preserve"> : Gestion des notifications</t>
    </r>
  </si>
  <si>
    <t xml:space="preserve">Comprendre  l’environnement Android Studio ou équivalent
Maîtriser le développement sous Android ou équivalent
Pouvoir utiliser les ressources des téléphones mobiles
Pouvoir s’interfacer avec des services distants et apprendre l'intégration d'applications mobiles avec des services web et cloud pour créer des applications mobiles
</t>
  </si>
  <si>
    <t>Contrôle continu / mini projet</t>
  </si>
  <si>
    <r>
      <t>Android</t>
    </r>
    <r>
      <rPr>
        <sz val="12"/>
        <rFont val="Calibri"/>
        <family val="2"/>
        <scheme val="minor"/>
      </rPr>
      <t>, SDK, API, DDMS, smartphone, SQLite, Google Play, iOs, KOTLIN</t>
    </r>
  </si>
  <si>
    <t>1. Xamarin.Forms. Build native UIs for iOS, Android and Windows form a single, share C# codebase. https://www.xamarin.com/forms
https://cordova.apache.org/
https://ionicframework.com/</t>
  </si>
  <si>
    <r>
      <rPr>
        <b/>
        <sz val="12"/>
        <rFont val="Calibri"/>
        <family val="2"/>
        <scheme val="minor"/>
      </rPr>
      <t>Atelier 1 :</t>
    </r>
    <r>
      <rPr>
        <sz val="12"/>
        <rFont val="Calibri"/>
        <family val="2"/>
        <scheme val="minor"/>
      </rPr>
      <t xml:space="preserve"> Présentation de Xamarin Framework ou équivalent
</t>
    </r>
    <r>
      <rPr>
        <b/>
        <sz val="12"/>
        <rFont val="Calibri"/>
        <family val="2"/>
        <scheme val="minor"/>
      </rPr>
      <t>Atelier 2 :</t>
    </r>
    <r>
      <rPr>
        <sz val="12"/>
        <rFont val="Calibri"/>
        <family val="2"/>
        <scheme val="minor"/>
      </rPr>
      <t xml:space="preserve"> Langage XAML et applications mobiles hybrides ou équivalent
</t>
    </r>
    <r>
      <rPr>
        <b/>
        <sz val="12"/>
        <rFont val="Calibri"/>
        <family val="2"/>
        <scheme val="minor"/>
      </rPr>
      <t>Atelier 3 :</t>
    </r>
    <r>
      <rPr>
        <sz val="12"/>
        <rFont val="Calibri"/>
        <family val="2"/>
        <scheme val="minor"/>
      </rPr>
      <t xml:space="preserve"> Les types d'interfaces graphiques
</t>
    </r>
    <r>
      <rPr>
        <b/>
        <sz val="12"/>
        <rFont val="Calibri"/>
        <family val="2"/>
        <scheme val="minor"/>
      </rPr>
      <t>Atelier 4 :</t>
    </r>
    <r>
      <rPr>
        <sz val="12"/>
        <rFont val="Calibri"/>
        <family val="2"/>
        <scheme val="minor"/>
      </rPr>
      <t xml:space="preserve"> Navigation dans les applications mobiles
</t>
    </r>
    <r>
      <rPr>
        <b/>
        <sz val="12"/>
        <rFont val="Calibri"/>
        <family val="2"/>
        <scheme val="minor"/>
      </rPr>
      <t>Atelier 5 :</t>
    </r>
    <r>
      <rPr>
        <sz val="12"/>
        <rFont val="Calibri"/>
        <family val="2"/>
        <scheme val="minor"/>
      </rPr>
      <t xml:space="preserve"> Accès aux données
</t>
    </r>
    <r>
      <rPr>
        <b/>
        <sz val="12"/>
        <rFont val="Calibri"/>
        <family val="2"/>
        <scheme val="minor"/>
      </rPr>
      <t xml:space="preserve">Atelier 6 : </t>
    </r>
    <r>
      <rPr>
        <sz val="12"/>
        <rFont val="Calibri"/>
        <family val="2"/>
        <scheme val="minor"/>
      </rPr>
      <t xml:space="preserve">Déploiement
</t>
    </r>
  </si>
  <si>
    <t>Connaître le fonctionnement de Xamarin Framework ou équivalent
Construire des applications multi-devices
Gérer le dispositif IHM et l'accès aux données
Gérer les spécificités des plateformes cibles
Gérer le déploiement.</t>
  </si>
  <si>
    <t>Contrôle continu / Mini projet</t>
  </si>
  <si>
    <t>Asma Grine</t>
  </si>
  <si>
    <t>ISET Mahdia</t>
  </si>
  <si>
    <t>Directrice 4C</t>
  </si>
  <si>
    <t>Safa Mahouachi</t>
  </si>
  <si>
    <t>Imen Bouallegui</t>
  </si>
  <si>
    <t>ISET Kairouan</t>
  </si>
  <si>
    <t>Hazar Chtioui</t>
  </si>
  <si>
    <t>Samar Abdelhak</t>
  </si>
  <si>
    <t>ISET'Com</t>
  </si>
  <si>
    <t>Maitre assistante</t>
  </si>
  <si>
    <t>Ines Mezghani</t>
  </si>
  <si>
    <t>Chef de département</t>
  </si>
  <si>
    <t>Nesrine Boussada Taieb</t>
  </si>
  <si>
    <t>Saloua Bani</t>
  </si>
  <si>
    <t>ISET Nabeul</t>
  </si>
  <si>
    <t>Mounira Jemni</t>
  </si>
  <si>
    <t>Enseignante</t>
  </si>
  <si>
    <r>
      <rPr>
        <b/>
        <sz val="11"/>
        <rFont val="Calibri"/>
        <family val="2"/>
        <scheme val="minor"/>
      </rPr>
      <t>N.B</t>
    </r>
    <r>
      <rPr>
        <sz val="11"/>
        <rFont val="Calibri"/>
        <family val="2"/>
        <scheme val="minor"/>
      </rPr>
      <t xml:space="preserve"> : Les matières optionnelles sont proposées dans le présent plan d'études à titre indicatif, chaque ISET aura le soin de choisir les matières optionnelles selon ses besoins et priorités. Certaines matières listées ci-dessous disposent de propositions de fiches matières dans le présent plan</t>
    </r>
  </si>
  <si>
    <t>Matières optionnelles</t>
  </si>
  <si>
    <t>Fiche matière proposée</t>
  </si>
  <si>
    <t>Hella Sfaihi</t>
  </si>
  <si>
    <t xml:space="preserve">Communication et langues </t>
  </si>
  <si>
    <t>Cultures et Langues</t>
  </si>
  <si>
    <t xml:space="preserve">High tech english </t>
  </si>
  <si>
    <t xml:space="preserve">Technique de recherche d'emploi et marketing de soi </t>
  </si>
  <si>
    <t>Fiche élément constitutif</t>
  </si>
  <si>
    <t>Nouvelle création</t>
  </si>
  <si>
    <t>Sciences et Technologie</t>
  </si>
  <si>
    <t>Technologies de l'informlatique</t>
  </si>
  <si>
    <t>DSI/MDW/RSI/SEM</t>
  </si>
  <si>
    <t>Transversale</t>
  </si>
  <si>
    <t>Mixte</t>
  </si>
  <si>
    <t>Orientation client</t>
  </si>
  <si>
    <t>Prise de décision</t>
  </si>
  <si>
    <t>Orientations et moyens pédagogiques par canal pédagogique</t>
  </si>
  <si>
    <t xml:space="preserve">Magistrale </t>
  </si>
  <si>
    <t>Présentation Power Point</t>
  </si>
  <si>
    <t>Démonstrative</t>
  </si>
  <si>
    <t xml:space="preserve">Exercices, recherche et travail de synthèse par groupe, </t>
  </si>
  <si>
    <t>Expérientielle</t>
  </si>
  <si>
    <t>Académique</t>
  </si>
  <si>
    <t>Elaboration de la fiche matière</t>
  </si>
  <si>
    <t xml:space="preserve">Étude et management de projets innovants  </t>
  </si>
  <si>
    <t xml:space="preserve">Fiche : Etude et Management de projets innovants </t>
  </si>
  <si>
    <t>Sciences et technologies</t>
  </si>
  <si>
    <t>TIC</t>
  </si>
  <si>
    <t>DSI/RSI/MDW/SEM</t>
  </si>
  <si>
    <t>étude et management de projets innovants</t>
  </si>
  <si>
    <t>Développer une culture de l’innovation et la création de projets innovants.
Développer une culture de l’innovation et la création de projets innovants.</t>
  </si>
  <si>
    <t>Identifier les enjeux de l’innovation ;                                                                                                                 
Connaitre les principes du management de l'innovation en organisation ;                                              
Comprendre et analyser les processus créatifs ;                                                                                            
Connaitre les rubriques d’un Business Model / Business plan ;                                                                                           
Intégrer l’innovation dans le Business Model/Business Plan.</t>
  </si>
  <si>
    <t xml:space="preserve">Entrepreunariat ; Management de l'innovation ; Projets innovants ; Business Model ; Business Plan </t>
  </si>
  <si>
    <t>Développer le sens de l'entreprenariat et la crétivité chez le jeune</t>
  </si>
  <si>
    <t>Initier les étudiants en innovation et management des connaissances</t>
  </si>
  <si>
    <t>Améliorer les compétences en étude et création de projet</t>
  </si>
  <si>
    <t>Appliquer les étapes d'elaboration du business model</t>
  </si>
  <si>
    <t xml:space="preserve">1) Fondements de l’Economie de la créativité et de l'innovation                                                                            
2) Innovation et Management des connaissances                                                                                                  
3) Du Management des connaissances au Management des talents pour la créativité                                         
4) Techniques et Processus créatifs - Design Thinking et La méthode C/K                                                              
5) La gestion des processus innovants - Du projet au Stage-Gate                                                                            
6) Elaboration d’un Business Model/plan                                                                                                                
7) Business Model/Plan de projets innovants. </t>
  </si>
  <si>
    <t>ateliers</t>
  </si>
  <si>
    <t>jeux de simulations</t>
  </si>
  <si>
    <t>travail de groupe</t>
  </si>
  <si>
    <t>jeux de roles</t>
  </si>
  <si>
    <t>génération des idées</t>
  </si>
  <si>
    <t>Cette matière requiert que l'étudiant ait suivi le module business culture</t>
  </si>
  <si>
    <t>promoteur d'un nouveau projet</t>
  </si>
  <si>
    <t>citer son expérience aux jeunes pour les encourager à prendre l'initiative</t>
  </si>
  <si>
    <t>Acquérir des compétences en communication dans un milieu professionnel.</t>
  </si>
  <si>
    <t xml:space="preserve"> Au terme du module, l’étudiant est capable de : 
-  favoriser la communication non violente
- participer positivement à une réunion de travail
- mettre en pratique les étapes de gestion d’un conflit
- maitriser les techniques de communication interne orale, écrite et de présentation
- appliquer les techniques de négociation
- comprendre la  gestion du changement
</t>
  </si>
  <si>
    <t>Dynamique de groupe / communication interne/communication externe/conduite du changement/communication 
non violente</t>
  </si>
  <si>
    <t>Travail en équipe</t>
  </si>
  <si>
    <t>Orientation résultats</t>
  </si>
  <si>
    <t>Gestion des conlits</t>
  </si>
  <si>
    <t>Communication écrite et orale en milieu professionnel</t>
  </si>
  <si>
    <t>apatation aux changements</t>
  </si>
  <si>
    <t xml:space="preserve">Négociation </t>
  </si>
  <si>
    <r>
      <rPr>
        <b/>
        <sz val="10"/>
        <rFont val="Calibri"/>
        <family val="2"/>
      </rPr>
      <t xml:space="preserve">Thème 1  : DYNAMIQUE DE GROUPE </t>
    </r>
    <r>
      <rPr>
        <sz val="10"/>
        <rFont val="Calibri"/>
        <family val="2"/>
      </rPr>
      <t xml:space="preserve">
• Travail d’équipe
• Fonctionnement des membres de l’équipe
• Organisation  des réunions
• L’animation des ateliers
</t>
    </r>
    <r>
      <rPr>
        <b/>
        <sz val="10"/>
        <rFont val="Calibri"/>
        <family val="2"/>
      </rPr>
      <t>Thème 2 : GESTION DE CONFLIT</t>
    </r>
    <r>
      <rPr>
        <sz val="10"/>
        <rFont val="Calibri"/>
        <family val="2"/>
      </rPr>
      <t xml:space="preserve">
• Sources du conflit
• Etapes pour résoudre un conflit
• Résoudre par la prévention
• La communication non violente 
</t>
    </r>
    <r>
      <rPr>
        <b/>
        <sz val="10"/>
        <rFont val="Calibri"/>
        <family val="2"/>
      </rPr>
      <t>Thème 3 : CONDUITE DU CHANGEMENT</t>
    </r>
    <r>
      <rPr>
        <sz val="10"/>
        <rFont val="Calibri"/>
        <family val="2"/>
      </rPr>
      <t xml:space="preserve">
• concepts du changement
• Style de personnalité face au changement
• La courbe du changement
• vaincre les résistances au changement
</t>
    </r>
    <r>
      <rPr>
        <b/>
        <sz val="10"/>
        <rFont val="Calibri"/>
        <family val="2"/>
      </rPr>
      <t xml:space="preserve">Thème 4 : COMMUNICATION INTERNE </t>
    </r>
    <r>
      <rPr>
        <sz val="10"/>
        <rFont val="Calibri"/>
        <family val="2"/>
      </rPr>
      <t xml:space="preserve">
• Communication écrite 
• Communication orale 
• Présentation des donnéesThème                                                                                                                                                                                      
</t>
    </r>
    <r>
      <rPr>
        <b/>
        <sz val="10"/>
        <rFont val="Calibri"/>
        <family val="2"/>
      </rPr>
      <t xml:space="preserve">Thème 5 : COMMUNICATION EXTERNE 
</t>
    </r>
    <r>
      <rPr>
        <sz val="10"/>
        <rFont val="Calibri"/>
        <family val="2"/>
      </rPr>
      <t xml:space="preserve">• Public cible
• Types de communication 
• Communication dans la relation commerciale                                                                                                                                                                   
• Outils de communication : 
- communication électronique
- communication téléphonique                                                                                                    
• Outils de communication : 
- communication électronique
- communication téléphonique
</t>
    </r>
  </si>
  <si>
    <t>jeux de rôle, mise en situation</t>
  </si>
  <si>
    <t>Magistrale</t>
  </si>
  <si>
    <t>Présentation power point</t>
  </si>
  <si>
    <t>Active</t>
  </si>
  <si>
    <t>Classe inversée, étude de cas</t>
  </si>
  <si>
    <t>Cette matière requiert que l'étudiant ait suivi les cours en techniques d'expression et en buniness culture</t>
  </si>
  <si>
    <t>Centre 4C</t>
  </si>
  <si>
    <t>Animation des ateliers en rapport avec les thèmes enseignées</t>
  </si>
  <si>
    <t>Moocs</t>
  </si>
  <si>
    <t>acquisition des notions théoriques en non présentiel</t>
  </si>
  <si>
    <t>Techniques de Recherche d'Emploi</t>
  </si>
  <si>
    <t xml:space="preserve">Maitriser les techniques et les outils de recherche d'emploi </t>
  </si>
  <si>
    <t>Faire une recherche d'emploi orientée résultat -  Rédiger un CV gagnant et maîtriser les paramètres d'un entretien d'embauche -  Elaborer une stratégie gagnante pour réussir son embauche et établir son plan carrière</t>
  </si>
  <si>
    <t>CV - Lettre de motivation - Entretien d'embauche</t>
  </si>
  <si>
    <t>Initiative et Proactivité</t>
  </si>
  <si>
    <t>Présentation et communication</t>
  </si>
  <si>
    <t>Prise de décisions</t>
  </si>
  <si>
    <t>Networking</t>
  </si>
  <si>
    <t>Négociation</t>
  </si>
  <si>
    <t>Versalité</t>
  </si>
  <si>
    <r>
      <rPr>
        <b/>
        <sz val="12"/>
        <rFont val="Calibri"/>
        <family val="2"/>
      </rPr>
      <t>Atelier 1 : Outils de recherche et de sélection d’un emploi</t>
    </r>
    <r>
      <rPr>
        <sz val="12"/>
        <rFont val="Calibri"/>
        <family val="2"/>
      </rPr>
      <t xml:space="preserve">
- Le marché de l’emploi
- Types de recherches d’emploi
         - Réponse à des offres
         - Candidature spontanée
         - Recherches en réseau
- Organisation d’une recherche d’emploi
- Sources d’information
</t>
    </r>
    <r>
      <rPr>
        <b/>
        <sz val="12"/>
        <rFont val="Calibri"/>
        <family val="2"/>
      </rPr>
      <t>Atelier 2 : Rédaction d’un CV</t>
    </r>
    <r>
      <rPr>
        <sz val="12"/>
        <rFont val="Calibri"/>
        <family val="2"/>
      </rPr>
      <t xml:space="preserve">
- Rubriques
- Types de CV
- Techniques de rédaction d’un CV gagnant
- Erreurs à éviter 
</t>
    </r>
    <r>
      <rPr>
        <b/>
        <sz val="12"/>
        <rFont val="Calibri"/>
        <family val="2"/>
      </rPr>
      <t>Atelier 3 : Lettre de motivation</t>
    </r>
    <r>
      <rPr>
        <sz val="12"/>
        <rFont val="Calibri"/>
        <family val="2"/>
      </rPr>
      <t xml:space="preserve">
- Techniques de rédaction et de présentation
- types de lettre de motivation
- Caractéristiques
</t>
    </r>
    <r>
      <rPr>
        <b/>
        <sz val="12"/>
        <rFont val="Calibri"/>
        <family val="2"/>
      </rPr>
      <t>Atelier 4 : Entretien d’embauche</t>
    </r>
    <r>
      <rPr>
        <sz val="12"/>
        <rFont val="Calibri"/>
        <family val="2"/>
      </rPr>
      <t xml:space="preserve">
- Types d’entretien d’embauche
- Les différents profils de recruteurs
- Les éléments de préparation d'un entretien (avant, pendant et après)
- Simulation d'un entretien d’embauche
</t>
    </r>
  </si>
  <si>
    <t>Simulation, jeux de rôle</t>
  </si>
  <si>
    <t>Préparation aux métiers - Techniques d'expression - Techniques de communication en groupe</t>
  </si>
  <si>
    <t>Chiraz ELAYED</t>
  </si>
  <si>
    <t xml:space="preserve">Art du Codage </t>
  </si>
  <si>
    <t xml:space="preserve">Code Complete, Second Edition : de Steve McConnell                                                                                                                                              Clean Code: A Handbook of Agile Software Craftsmanship : de Robert C. Martin                                                                                                                              The Pragmatic Programmer: From Journeyman to Master : de Andrew Hunt                                                        </t>
  </si>
  <si>
    <t>Stage / projet</t>
  </si>
  <si>
    <t>Détail</t>
  </si>
  <si>
    <t>Nature</t>
  </si>
  <si>
    <t>Compléments</t>
  </si>
  <si>
    <t>Compléments requis (spécifier les formations, certifications, etc. qui complèterait cette formation)</t>
  </si>
  <si>
    <t>Devoteam - Nizar Alaya</t>
  </si>
  <si>
    <t>Langages de programmation: java, C#</t>
  </si>
  <si>
    <t>TP</t>
  </si>
  <si>
    <t>TD</t>
  </si>
  <si>
    <t>Cours</t>
  </si>
  <si>
    <t>• Atelier 1 : Mise en place d’une plateforme de développement collaboratif et gestion des versions.                                                                                                                                                                     • Atelier 2 : Spécification et  déploiement d’un projet   sur la plateforme et composition des équipes de travail.
• Atelier 3 : Analyse de la qualité du projet et application des règles de codage.
• Atelier 4 : Développement et intégration des modules.
• Atelier 5 : Teste et validation des applications
• Atelier 6 : Documentation et procédure de livraison</t>
  </si>
  <si>
    <t>Initiative et proactivité</t>
  </si>
  <si>
    <t>Expert des médias numériques</t>
  </si>
  <si>
    <t>Identification des besoins</t>
  </si>
  <si>
    <t>Veille technologique</t>
  </si>
  <si>
    <t>Concepteur</t>
  </si>
  <si>
    <t>Administrateur de BD</t>
  </si>
  <si>
    <t>Planification des produits ou des services</t>
  </si>
  <si>
    <t>Analyste de données</t>
  </si>
  <si>
    <t>Développeur</t>
  </si>
  <si>
    <t>Compétences du métier</t>
  </si>
  <si>
    <t>Métier</t>
  </si>
  <si>
    <t>Compétences cibles du REM REC TIC Tunisien</t>
  </si>
  <si>
    <t>Gestionnaire des médias sociaux, Journaliste web, Responsable éditorial web</t>
  </si>
  <si>
    <t>Concepteur d'application, Concepteur développeur</t>
  </si>
  <si>
    <t>Testeur applicatif</t>
  </si>
  <si>
    <t>Consultant analytique</t>
  </si>
  <si>
    <t xml:space="preserve">Développeur web, Développeur mobile, Développeur d'applications de gestion, Analyste/Développeur </t>
  </si>
  <si>
    <t>Autres appellations</t>
  </si>
  <si>
    <t>Appellation REM REC</t>
  </si>
  <si>
    <t>Métiers cibles du REM REC TIC Tunisien (utiliser les appellations possibles d'un même métier)</t>
  </si>
  <si>
    <t>Testeur, Recetteur, Responsable assurance qualité, Concepteur, Développeur</t>
  </si>
  <si>
    <t>Mots clés en lien avec les débouchés professionnelles</t>
  </si>
  <si>
    <t>Convention de codage, documentation, couverture des tests,  travail collaboratif, qualité du logiciel</t>
  </si>
  <si>
    <t>Mots clés académiques</t>
  </si>
  <si>
    <t>Industrialiser le développement logiciel
Gérer les anomalies et les évolutions fonctionnelles d'une application
Mettre en place les normes de codage et la documentation d'un logiciel
Mettre en oeuvre différents types de tests (tests unitaires, fonctionnels, de robustesse et de performance)
Automatiser les tests logiciels</t>
  </si>
  <si>
    <t>Apprendre et appliquer les normes, les règles et les techniques pour développer des logiciels de qualité</t>
  </si>
  <si>
    <t>La qualité logicielle</t>
  </si>
  <si>
    <t>Nahla SASSI</t>
  </si>
  <si>
    <t>Sameh HBAIEB TURKI</t>
  </si>
  <si>
    <t>Mohamed BEN JAZIA</t>
  </si>
  <si>
    <t>Mohamed Kairallah KHOUJA</t>
  </si>
  <si>
    <t>Mohamed HAMMOUDA</t>
  </si>
  <si>
    <t>Prénom et Nom</t>
  </si>
  <si>
    <t>Liste de dernière validatation</t>
  </si>
  <si>
    <t xml:space="preserve">Intervenant dans la validation </t>
  </si>
  <si>
    <t>Intervenants dans la mise à jour</t>
  </si>
  <si>
    <t>Présentation de l'objectif de cette formation, des compétences techniques et des soft skills visées ainsi que le contenu de la formation</t>
  </si>
  <si>
    <t>Historique des mise à jour</t>
  </si>
  <si>
    <t>Unité optionnelle</t>
  </si>
  <si>
    <t>Développement des Systèmes d'Information</t>
  </si>
  <si>
    <t>Technologies de l'Informatique</t>
  </si>
  <si>
    <t>Mise à jour à partir du plan d'études</t>
  </si>
  <si>
    <t xml:space="preserve">Fiche élément constitutif - Art du codage </t>
  </si>
  <si>
    <t xml:space="preserve">Sécurité applicative </t>
  </si>
  <si>
    <t>Fiche élément constitutif - La sécurité applicative</t>
  </si>
  <si>
    <t xml:space="preserve">Intervenants dans la mise à jour </t>
  </si>
  <si>
    <t xml:space="preserve">intervenant dans la validation </t>
  </si>
  <si>
    <t>Malloug Issa</t>
  </si>
  <si>
    <t>La sécurité applicative</t>
  </si>
  <si>
    <t>Contrôle continu  + Examen</t>
  </si>
  <si>
    <t>Acquérir des notions et concepts permettant de bâtir du code applicatif sécuritaire et déployer des applications web  plus vigoureuses en matière de sécurité</t>
  </si>
  <si>
    <t>Identifier les risques potentiels d'une application
Connaître les techniques à mettre en œuvre et les moyens nécessaires pour sécuriser les applications                                                                     
Être capable de tester la sécurité des applications
Maitriser les vulnérabilités des applications WEB
Etre capable de détecter les failles relatives aux applications WEB
Maitriser le processus d’audit applicatif</t>
  </si>
  <si>
    <t>sécurité des données, programmation sécurisée, analyse des risques</t>
  </si>
  <si>
    <t>sécurité applicative, audit, analyse des risques</t>
  </si>
  <si>
    <t>Concepteur déveoppeur, concepteur multimédia, concepteur services applicatifs</t>
  </si>
  <si>
    <t>Testeur applicatif, gestionnaire de test</t>
  </si>
  <si>
    <t>WebMaster, Gestionnaire des médias sociaux</t>
  </si>
  <si>
    <t>Gestion des risques</t>
  </si>
  <si>
    <t>Gestion de l'information</t>
  </si>
  <si>
    <t xml:space="preserve">
 b. Centralisé et Décentralisé/Distribué
5. Surveillance et Administration
 a. Détection et Protection contre les Intrusions
 b. Mise à l'Épreuve et Audit
Chapitre 3 - Cryptographie
1. Termes, Définitions, Concepts et Historique
2. Types de Chiffrement
 a. Chiffrements Classiques
 b. Chiffrements Modernes
3. Algorithmes Cryptographiques
 a. Fonction de Hachage
 b. Cryptographie à Clé Symétrique
 c. Cryptographie à Clés Asymétriques
 d. Cryptographie Hybride
4. Mise en Œuvre de la Cryptographie
 a. Infrastructure de Clés Publiques
 b. HTTPS, S-HTTP, SSL/TLS, SSH
 c. Single Sign-On (SSO
 d. E-mail Sécurisé
5. Types d'Attaques sur la Cryptographie
 a. Attaques par Cryptanalyse
 b. Attaques Cryptographiques
6. Utilisation de la Cryptographie à l'International</t>
  </si>
  <si>
    <t>Langages de développement: java, php,.net</t>
  </si>
  <si>
    <t>DouglasStinson, « Cryptographie, théorie et pratique », Vuibert
Bruce Schneier et Niels Ferguson, Cryptographie en pratique, Editions Vuibert
Avoine,Junod et Oechslin, « Sécurité informatique, exercices corrigés »,Vuibert
S. Ghernaouti-Helie, « Sécurité Internet », Dunod
http://www.cnil.fr
www.ansi.tn
www.certifications.tn
www.cert.org
www.securityfocus.com
www.ssi.gouv.fr/</t>
  </si>
  <si>
    <r>
      <t>Chapitre 1 - Gestion des Risques et Sécurité du Système d'Information 
1.</t>
    </r>
    <r>
      <rPr>
        <sz val="12"/>
        <rFont val="Calibri"/>
        <family val="2"/>
      </rPr>
      <t xml:space="preserve"> Concept de Sécurité du Système d'Information 
 a. Objectifs de la Sécurité 
 b. Principes de Mise en Œuvre de la Sécurité 
 c. Les Mesures ou Contrôles de Sécurité 
2. Gestion de la Sécurité du Système d'Information 
3. Gouvernance de la Sécurité du Système d'Information 
4. Classification de l'Information 
5. Gestion des Risques 
 a. L'Analyse et l'Évaluation des Risques 
 b. Le Traitement des Risques 
 c. Application de Mesures de Sécurité
6. Gestion des Ressources Humaines 
7. Éducation à la Sécurité, Formation et Sensibilisation 
8. Organisation de la Sécurité</t>
    </r>
    <r>
      <rPr>
        <b/>
        <sz val="12"/>
        <rFont val="Calibri"/>
        <family val="2"/>
      </rPr>
      <t xml:space="preserve">
Chapitre 2 - Contrôle d'Accès 
1</t>
    </r>
    <r>
      <rPr>
        <sz val="12"/>
        <rFont val="Calibri"/>
        <family val="2"/>
      </rPr>
      <t>. Principes et Définitions
2. Menaces
3. Types de Contrôle d 'Accès
 a. Identification
 b. Authentification
 c. Autorisation
 d. Traçabilité ou Imputabilité
4. Modèles de Contrôle d'Accès
 a. Modèles de Sécurité</t>
    </r>
  </si>
  <si>
    <r>
      <rPr>
        <sz val="12"/>
        <rFont val="Calibri"/>
        <family val="2"/>
      </rPr>
      <t xml:space="preserve">
 b. Centralisé et Décentralisé/Distribué
5. Surveillance et Administration
 a. Détection et Protection contre les Intrusions
 b. Mise à l'Épreuve et Audit</t>
    </r>
    <r>
      <rPr>
        <b/>
        <sz val="12"/>
        <rFont val="Calibri"/>
        <family val="2"/>
      </rPr>
      <t xml:space="preserve">
Chapitre 3 - Cryptographie
</t>
    </r>
    <r>
      <rPr>
        <sz val="12"/>
        <rFont val="Calibri"/>
        <family val="2"/>
      </rPr>
      <t>1. Termes, Définitions, Concepts et Historique
2. Types de Chiffrement
 a. Chiffrements Classiques
 b. Chiffrements Modernes
3. Algorithmes Cryptographiques
 a. Fonction de Hachage
 b. Cryptographie à Clé Symétrique
 c. Cryptographie à Clés Asymétriques
 d. Cryptographie Hybride
4. Mise en Œuvre de la Cryptographie
 a. Infrastructure de Clés Publiques
 b. HTTPS, S-HTTP, SSL/TLS, SSH
 c. Single Sign-On (SSO
 d. E-mail Sécurisé
5. Types d'Attaques sur la Cryptographie
 a. Attaques par Cryptanalyse
 b. Attaques Cryptographiques
6. Utilisation de la Cryptographie à l'International</t>
    </r>
  </si>
  <si>
    <r>
      <t xml:space="preserve">Chapitre 4 - Sécurité du Développement de Logiciel 
</t>
    </r>
    <r>
      <rPr>
        <sz val="12"/>
        <rFont val="Calibri"/>
        <family val="2"/>
      </rPr>
      <t>1. Introduction
2. Cycle de Vie du Développement de Logiciel
3. Environnement Logiciel et Contrôles de Sécurité
4. Vulnérabilités des Bases de Données, Menaces et Protections
5. Vulnérabilités et Menaces Logicielles
6. Certification
7. Évaluation/Audit de la Sécurité</t>
    </r>
    <r>
      <rPr>
        <b/>
        <sz val="12"/>
        <rFont val="Calibri"/>
        <family val="2"/>
      </rPr>
      <t xml:space="preserve">
Chapitre 5 : Failles et vulnérabilités des applications Web
</t>
    </r>
    <r>
      <rPr>
        <sz val="12"/>
        <rFont val="Calibri"/>
        <family val="2"/>
      </rPr>
      <t>1. Anatomie d’une attaque (5P)
2. Etude des  vulnérabilités des applications web
 a. Failles d'injection (SQL, XML, LDAP, etc.)
 b. Cross Site Scripting (XSS)
 c. Construction de requêtes inter-sites (CSRF)
 d. Failles CRLF
 e. Failles Nulbyte
 f. Rupture des mécanismes de session et/ou d'authentification
 g. Référence directe non sécurisée aux objets
 h. Configurations vulnérables 
 i. Exposition de données sensibles
 j. Contrôle d'accès défaillants
 k. Utilisation de composants vulnérables
 l. Validation défaillante dans les redirections et transferts de requêtes
3. Test d’intrusion (PEN Test)
4. Moyens de protection</t>
    </r>
  </si>
  <si>
    <t>Etude de synthèse d’informatisation des SI</t>
  </si>
  <si>
    <t>Fiche élément constitutif - Etude de synthèse d’informatisation des SI</t>
  </si>
  <si>
    <t>30/05/2017</t>
  </si>
  <si>
    <t>- Proposition d'une démarché détaillée en partant des besoins formulées par les entreprises.
- Intégration des nouvelles technologies
- Mise en place d'une veille technologique pour assurer une mise à jour constante</t>
  </si>
  <si>
    <t>Mohamed Hamouda</t>
  </si>
  <si>
    <t>Liste des dernières validatations</t>
  </si>
  <si>
    <t>Soutenance</t>
  </si>
  <si>
    <t>Cet élément est basé sur l'apprentissage par les problèmes où l'étudiant est amené à résoudre un problème pratique en construisant sa propre solution. L'apprenant aura à mettre en pratique toutes ses connaissances théoriques et se préparer au projet de fin d'études.</t>
  </si>
  <si>
    <t xml:space="preserve">- Passer par les différentes phases d’un cycle de vie de développement logiciel.
- Mettre en pratique une méthode Agile.
- Maîtriser les phases de développement d'une application mobile avec un backend web.
- Utiliser ses Soft Skills pour convaincre un auditoire de ses choix et de la  solution proposée
</t>
  </si>
  <si>
    <r>
      <t>Sprint 0
Atelier 1 :</t>
    </r>
    <r>
      <rPr>
        <sz val="12"/>
        <color theme="1"/>
        <rFont val="Calibri"/>
        <family val="2"/>
        <scheme val="minor"/>
      </rPr>
      <t xml:space="preserve"> Présentation des idées de projets, constitution des groupes en utilisant une approche Agile: rôles, durée du sprint, outil de suivi, environnement de développement.</t>
    </r>
    <r>
      <rPr>
        <b/>
        <sz val="12"/>
        <color theme="1"/>
        <rFont val="Calibri"/>
        <family val="2"/>
        <scheme val="minor"/>
      </rPr>
      <t xml:space="preserve">
Atelier 2 : </t>
    </r>
    <r>
      <rPr>
        <sz val="12"/>
        <color theme="1"/>
        <rFont val="Calibri"/>
        <family val="2"/>
        <scheme val="minor"/>
      </rPr>
      <t>Elaboration du Business model canevas, Elaboration du Product Backlog(l'enseignant jouera le rôle du Product Owner selon Scrum)
Sprint 1 à N</t>
    </r>
    <r>
      <rPr>
        <b/>
        <sz val="12"/>
        <color theme="1"/>
        <rFont val="Calibri"/>
        <family val="2"/>
        <scheme val="minor"/>
      </rPr>
      <t xml:space="preserve">
A chaque Sprint :
</t>
    </r>
    <r>
      <rPr>
        <sz val="12"/>
        <color theme="1"/>
        <rFont val="Calibri"/>
        <family val="2"/>
        <scheme val="minor"/>
      </rPr>
      <t xml:space="preserve">- Préparer le sprint backlog avec évaluation et affectation des tâches.
- Procéder à l'analyse et la conception des fonctionnalités du sprint
- Développer les fonctionnalités du sprint
- Démo et Validation des fonctionnalités du release
Chaque sprint fera l'objet d'une présentation avec Démo et document de conception.
</t>
    </r>
    <r>
      <rPr>
        <b/>
        <sz val="12"/>
        <color theme="1"/>
        <rFont val="Calibri"/>
        <family val="2"/>
        <scheme val="minor"/>
      </rPr>
      <t xml:space="preserve">Finalisation: 
</t>
    </r>
    <r>
      <rPr>
        <sz val="12"/>
        <color theme="1"/>
        <rFont val="Calibri"/>
        <family val="2"/>
        <scheme val="minor"/>
      </rPr>
      <t xml:space="preserve">Préparation de la documentation du produit
</t>
    </r>
    <r>
      <rPr>
        <b/>
        <sz val="12"/>
        <color theme="1"/>
        <rFont val="Calibri"/>
        <family val="2"/>
        <scheme val="minor"/>
      </rPr>
      <t xml:space="preserve">Atelier 12 : </t>
    </r>
    <r>
      <rPr>
        <sz val="12"/>
        <color theme="1"/>
        <rFont val="Calibri"/>
        <family val="2"/>
        <scheme val="minor"/>
      </rPr>
      <t>Présentation technique du projet, présentation commercial du produit( poster, flyer, slogan, étude de marché)</t>
    </r>
    <r>
      <rPr>
        <b/>
        <sz val="12"/>
        <color theme="1"/>
        <rFont val="Calibri"/>
        <family val="2"/>
        <scheme val="minor"/>
      </rPr>
      <t xml:space="preserve">
</t>
    </r>
  </si>
  <si>
    <t xml:space="preserve">- Tutorat et coaching durant les séances
- Logiciels : Android studio, Eclipse, xamarin, laravel,  symphony, Node.js etc
</t>
  </si>
  <si>
    <t>Linedata</t>
  </si>
  <si>
    <t xml:space="preserve">Envoi de projets réalisés en entreprises pour des études de cas pratiques à faire durant le cours </t>
  </si>
  <si>
    <t>Expérience au sein d'une unité de développement</t>
  </si>
  <si>
    <t xml:space="preserve">- Les    Standards    du    CDIO (Conceive Design Implement Operate). Disponible:    www.cdio.org, [Consulté: 03-05-2017]
 - K. Schwaber, J. Sutherland, The Scrum Guide, Juillet 2013, Disponible: http://www.scrumguides.org/docs/scrumguide/v1/scrum-guide-us.pdf, [Consulté: 03-05-2017]
</t>
  </si>
  <si>
    <t>Test et Validation du Logiciel</t>
  </si>
  <si>
    <t>Fiche élément constitutif - Test et Validation du Logiciel</t>
  </si>
  <si>
    <t>Première version</t>
  </si>
  <si>
    <t>Deuxième version</t>
  </si>
  <si>
    <t>Liste de dernière validation</t>
  </si>
  <si>
    <t xml:space="preserve">Contrôle continu + soutenance de projet  </t>
  </si>
  <si>
    <t>Cet atelier aborde la notion de tests des logiciels. Les étudiants seront familiarisés avec les aspects pratiques du test : concepts, objectifs, place dans le cycle de développement, mise en œuvre pratique et la génération automatique de données de tests.</t>
  </si>
  <si>
    <t>Introduire des techniques simples pour construire des tests 
Introduire un outil simple d’exécution de tests pour java: junit.  
Introduire un outil simple d’exécution de tests pour le web: Selenium.      
Savoir gérer les campagnes de test de solutions logicielles.           
Mise en place d’une équipe de test       
Choix de l’environnement de test                    
Conception des scénarios de test              
Gestion documentaire des tests</t>
  </si>
  <si>
    <t>Test unitaire, test d’intégration, test fonctionnel</t>
  </si>
  <si>
    <t>Gestionnaire de Tests, Gestionnaire de recettes, Testeur Technique</t>
  </si>
  <si>
    <t>Concepteur services applicatifs, Concepteur d'application, Concepteur développeur, Ingénieur études et développement, Concepteur Multimédia</t>
  </si>
  <si>
    <t>Développeur d'applications, Développeur Digital Media, Développeur système, Développeur web, Développeur web mobile, Responsable Packaging de la solution informatique</t>
  </si>
  <si>
    <t>Animateur web social, Gestionnaire des médias sociaux, Journaliste Web, Responsable éditorial web, Secrétaire de rédaction web</t>
  </si>
  <si>
    <t>Administrateur de bases de données</t>
  </si>
  <si>
    <t>Administrateur DB</t>
  </si>
  <si>
    <t>Test</t>
  </si>
  <si>
    <r>
      <rPr>
        <sz val="12"/>
        <rFont val="Calibri"/>
        <family val="2"/>
        <charset val="1"/>
      </rPr>
      <t xml:space="preserve">Durant les ateliers, les étudiants sont invités à tester des codes qui peuvent être fournis par l’enseignant ou bien développés par l’étudiant ou issus de projets antérieurs ( mini projet ou autres ).
Le choix du langage et des framework est donné à titre indicatif et peut être modifié par l’enseignant selon les prérequis.
</t>
    </r>
    <r>
      <rPr>
        <b/>
        <sz val="12"/>
        <rFont val="Calibri"/>
        <family val="2"/>
        <charset val="1"/>
      </rPr>
      <t>Atelier 0</t>
    </r>
    <r>
      <rPr>
        <sz val="12"/>
        <rFont val="Calibri"/>
        <family val="2"/>
        <charset val="1"/>
      </rPr>
      <t xml:space="preserve"> : Aperçu théorique sur les tests 
</t>
    </r>
    <r>
      <rPr>
        <b/>
        <sz val="12"/>
        <rFont val="Calibri"/>
        <family val="2"/>
        <charset val="1"/>
      </rPr>
      <t>Atelier 1</t>
    </r>
    <r>
      <rPr>
        <sz val="12"/>
        <rFont val="Calibri"/>
        <family val="2"/>
        <charset val="1"/>
      </rPr>
      <t xml:space="preserve"> : Tests unitaires avec Junit
</t>
    </r>
    <r>
      <rPr>
        <b/>
        <sz val="12"/>
        <rFont val="Calibri"/>
        <family val="2"/>
        <charset val="1"/>
      </rPr>
      <t>Atelier 2</t>
    </r>
    <r>
      <rPr>
        <sz val="12"/>
        <rFont val="Calibri"/>
        <family val="2"/>
        <charset val="1"/>
      </rPr>
      <t xml:space="preserve"> : Tests d'intégration d’un projet java
</t>
    </r>
    <r>
      <rPr>
        <b/>
        <sz val="12"/>
        <rFont val="Calibri"/>
        <family val="2"/>
        <charset val="1"/>
      </rPr>
      <t xml:space="preserve">Atelier 3 </t>
    </r>
    <r>
      <rPr>
        <sz val="12"/>
        <rFont val="Calibri"/>
        <family val="2"/>
        <charset val="1"/>
      </rPr>
      <t xml:space="preserve">: Tests unitaires en Javascript 
</t>
    </r>
    <r>
      <rPr>
        <b/>
        <sz val="12"/>
        <rFont val="Calibri"/>
        <family val="2"/>
        <charset val="1"/>
      </rPr>
      <t>Atelier 4</t>
    </r>
    <r>
      <rPr>
        <sz val="12"/>
        <rFont val="Calibri"/>
        <family val="2"/>
        <charset val="1"/>
      </rPr>
      <t xml:space="preserve"> : Tests d'interface des applications Web : </t>
    </r>
    <r>
      <rPr>
        <i/>
        <sz val="12"/>
        <rFont val="Calibri"/>
        <family val="2"/>
        <charset val="1"/>
      </rPr>
      <t xml:space="preserve">Selenium
</t>
    </r>
    <r>
      <rPr>
        <b/>
        <sz val="12"/>
        <rFont val="Calibri"/>
        <family val="2"/>
        <charset val="1"/>
      </rPr>
      <t>Atelier 5</t>
    </r>
    <r>
      <rPr>
        <sz val="12"/>
        <rFont val="Calibri"/>
        <family val="2"/>
        <charset val="1"/>
      </rPr>
      <t xml:space="preserve"> : Test d’ application mobile : cas d’Android Studio
</t>
    </r>
    <r>
      <rPr>
        <b/>
        <sz val="12"/>
        <rFont val="Calibri"/>
        <family val="2"/>
        <charset val="1"/>
      </rPr>
      <t>Atelier 6</t>
    </r>
    <r>
      <rPr>
        <sz val="12"/>
        <rFont val="Calibri"/>
        <family val="2"/>
        <charset val="1"/>
      </rPr>
      <t xml:space="preserve"> : Test de projet en équipe ( Définition des rôles, Planification, Gestion du référentiel de test, Gestion documentaire des tests) </t>
    </r>
  </si>
  <si>
    <t>Condensé de cours, Travaux pratiques</t>
  </si>
  <si>
    <t>Langages de développement: java, javascript,  …</t>
  </si>
  <si>
    <t>Envoi de plans de test pour le contenu du cours</t>
  </si>
  <si>
    <t>Proxym</t>
  </si>
  <si>
    <t>Chfico</t>
  </si>
  <si>
    <t xml:space="preserve">ISTQB Certified Tester </t>
  </si>
  <si>
    <t>Certification</t>
  </si>
  <si>
    <t>Microsoft MTA 98 379</t>
  </si>
  <si>
    <t>Software Testing Fundamentals</t>
  </si>
  <si>
    <t>- Les tests logiciels : Fondamentaux, Coll. Informatique, HOMÈS Bernard, Lavasier, 2011                                                                                                                                                - The Art of Software Testing, Glenford J. Myers, Corey Sandler, Tom Badgett, Wiley 2011                                                                                                                                                - Effective Software Testing: 50 Specific Ways to Improve Your Testing, Elfriede Dustin, 2003                                                                                                                                  - http://www.cftl.fr</t>
  </si>
  <si>
    <t>Aymen Jaafar</t>
  </si>
  <si>
    <t>Exposés</t>
  </si>
  <si>
    <t>x (mettre le volume horaire associé)</t>
  </si>
  <si>
    <t>Projet</t>
  </si>
  <si>
    <t xml:space="preserve"> </t>
  </si>
  <si>
    <t xml:space="preserve">- Stratégie marketing et stratégie numérique.Stratégie Push ou Pull de l'information numérique. 
Stratégie de digitalisation de l'entreprise, digitalisation de l'offre, digitalisation des canaux de distribution
- Stratégie inbound (marketing entrant):outils d’analyse des pages web etfonctions de base de gestion d’un site, en particulier de WordPress. Référencement et SEO:(principes de fonctionnement des moteurs de recherche .   
- Techniques de maillage interne et de backlinking).  
- Stratégie d’achat de Adwords. 
- Stratégies outbound (marketing rentrant) : Les médias sociaux : Annonces,Vidéos
- Campagnes géolocalisées; Les bannières publicitaires sur les autres sites, Le remarketing, Le retargeting, Les promotions sur les lieux de vente relayées par les réseaux sociaux . 
- Stratégies d’appel à l’action (call to action). 
- Mesure des résultats et ajustement de la stratégie: Le SEO et Paramétrage des rapports de Google analytics;Campagnes d’Adwords; Campagne d’annonces payantes sur réseaux sociaux </t>
  </si>
  <si>
    <t>diagnostiquer la communication sur les réseaux sociaux et les campagnes payantes de Adwords et de bannières</t>
  </si>
  <si>
    <t>Diagnostiquer le site web</t>
  </si>
  <si>
    <t>Mettre en place et évaluer la stratégie marketing numérique de l'entreprise</t>
  </si>
  <si>
    <t>Aptitudes du métier</t>
  </si>
  <si>
    <t>Aptitudes cibles du REM REC TIC Tunisien</t>
  </si>
  <si>
    <t>Gestiond es canaux de vente</t>
  </si>
  <si>
    <t>Innovation</t>
  </si>
  <si>
    <t>Gestionnaire de comptes clients</t>
  </si>
  <si>
    <t>Expert virtualisation</t>
  </si>
  <si>
    <t>Gestion des changements métiers</t>
  </si>
  <si>
    <t>Conception de l'architecture / applications</t>
  </si>
  <si>
    <t>Architecte entreprise</t>
  </si>
  <si>
    <t>Concepttion de l'architecture</t>
  </si>
  <si>
    <t>administrateur de base de données</t>
  </si>
  <si>
    <t>Marketing numérique</t>
  </si>
  <si>
    <t>Gestion de la relation client</t>
  </si>
  <si>
    <t>administrateur de bases de données</t>
  </si>
  <si>
    <t>Expert de médias numériques</t>
  </si>
  <si>
    <t>Developpeur</t>
  </si>
  <si>
    <r>
      <t xml:space="preserve">Développeur, </t>
    </r>
    <r>
      <rPr>
        <b/>
        <i/>
        <sz val="12"/>
        <rFont val="Calibri"/>
        <family val="2"/>
        <scheme val="minor"/>
      </rPr>
      <t xml:space="preserve">consultant, gestionnaire des comptes clients, </t>
    </r>
    <r>
      <rPr>
        <sz val="12"/>
        <rFont val="Calibri"/>
        <family val="2"/>
        <scheme val="minor"/>
      </rPr>
      <t>administrateur de base de données, expert de médias numériques</t>
    </r>
  </si>
  <si>
    <t>- Comprendre le portrait global du marketing web
- Savoir exactement quoi faire pour générer des prospects et des clients pour votre entreprise via le web. 
- Pouvoir faire vous-même des actions ou encore en connaitre suffisamment pour savoir ce - qu'il vous faut et comprendre ce qu'on vous offre
- Avoir des notions sur les outils, les technologies et les architectures digitales</t>
  </si>
  <si>
    <t xml:space="preserve"> - Comprendre les enjeux du marketing web et de la digitalisation de l'offre et de sa promotion
 - Comprendre les différents segments de communication sur le web (Search, Display, e-mailing, etc.)
 - Apprendre à organiser et gérer une campagne marketing sur le web</t>
  </si>
  <si>
    <t>21 H</t>
  </si>
  <si>
    <t>Marketing Digital</t>
  </si>
  <si>
    <t>Ines BEN TARBOUT</t>
  </si>
  <si>
    <t>DSI (Développement des Systèmes d'Information)</t>
  </si>
  <si>
    <t>Fiche élément constitutif - Marketing Digital</t>
  </si>
  <si>
    <t xml:space="preserve">Marketing Digital </t>
  </si>
  <si>
    <t>Sécurité des systèmes d'information</t>
  </si>
  <si>
    <t xml:space="preserve">Programme pédagogique National (2013) MMI
</t>
  </si>
  <si>
    <t>Certified Information Security Manager</t>
  </si>
  <si>
    <t>CISM</t>
  </si>
  <si>
    <t>Certified Informations Systems Security Professional</t>
  </si>
  <si>
    <t>CISSP</t>
  </si>
  <si>
    <t xml:space="preserve">Lead Auditor ISO/IEC 27001 </t>
  </si>
  <si>
    <t>ISO27001</t>
  </si>
  <si>
    <t>Systèmes d'exploitation, réseaux informatiques</t>
  </si>
  <si>
    <t>X Etude de cas avec élaboration d'un rapport final et une présentation orale (avec, si possible, la présence de professionnels de la sécurité informatique)</t>
  </si>
  <si>
    <t>- Principe de la sécurité : problématique, objectifs, domaines de sécurité, ISO 7498-2, terminologie,menaces, vulnérabilités, services de sécurité, mécanismes de sécurité, notion de cryptographie, …
- Failles de sécurité : architecture, systèmes d’exploitation, protocoles TCP/IP, applications, …
- Stratégie et politique de sécurité : Définition, objectifs, propriétés, analyse et gestion de risques,standards, chartes, méthodes et normes (méthode MEHARI, norme BS7799, famille des normesISO/IEC 2700x, …), continuité des services, continuité des activités, gestion de crise (plan de reprise
- Attaques : classifications, étapes de réalisation, types et moyens : attaques d’accès (sniffers, outils d’accès, …), attaques de reconnaissance, attaques DoS (DDoS), attaques dus aux intrusions (virus,worm, cheval de Troie, …).
- Principes de cryptographie
- Principaux moyens de sécurisation : techniques d’authentification , pare-feu, IDS,…</t>
  </si>
  <si>
    <t>Identifier les défaillances potentielles des composants critiques et agir pour limiter l’effet des défaillance</t>
  </si>
  <si>
    <t>Définir et mettre en œuvre une approche de gestion des risques dans les solutions TIC</t>
  </si>
  <si>
    <t xml:space="preserve">Mettre en œuvre la politique de sécurité de l’information de l'organisation
</t>
  </si>
  <si>
    <t>Définir et mettre en œuvre une approche de gestion des risques dans les solutions TIC.</t>
  </si>
  <si>
    <t xml:space="preserve">Concevoir et exécuter les tests de pénétration qui limitent les faillesliées à la sécurité du SI.
</t>
  </si>
  <si>
    <t>Test de pénétration</t>
  </si>
  <si>
    <t>gestion des risques</t>
  </si>
  <si>
    <t xml:space="preserve"> Développeur, administrateur de base de données, expert de médias numériques</t>
  </si>
  <si>
    <t>services de sécurité, menace, vulnérabilité, risque, attaque, politique de sécurité, cryptographie</t>
  </si>
  <si>
    <t xml:space="preserve">- Comprendre  les concepts de base  de la sécurité informatique liés à l’organisation et aux process, aux logiciels et aux protocoles réseaux  ainsi que les normes correspondantes
- Déterminer et évaluer les risques et qualifier les failles / niveau de sécurisation
- Formuler des recommandations en vue de renforcer la sécurisation
- Connaitre les principaux mécanismes de sécurisation 
</t>
  </si>
  <si>
    <t>Maitriser les concepts fondamentaux  de la Sécurité des Systèmes d'Information dans une vue globale intégrant les aspects liés à l'organisation, aux applications logicielles et aux réseaux de communication</t>
  </si>
  <si>
    <t>Saida HELALI</t>
  </si>
  <si>
    <t>Fiche élément constitutif - Sécurité des systèmes d'information</t>
  </si>
  <si>
    <t>Fiche élément constitutif - Tests et validation des logiciels</t>
  </si>
  <si>
    <t>Afifa Khélifa</t>
  </si>
  <si>
    <t>Tests et validation des logiciels</t>
  </si>
  <si>
    <t>Acquérir les compétences nécessaires à la conception, mise en œuvre des tests de logiciels</t>
  </si>
  <si>
    <t>- Comprendre la nécessité de la vérification et la validation d'un logiciel
- Savoir situer les tests dans le processus de développement logiciel
- Comprendre les concepts relatifs aux tests.
- Comprendre la classification des tests et les techniques relatives à chaque famille.
- Etre capable de définir un plan de test, de sélectionner les cas des tests et les exécuter
- Découvrir et appliquer des outils d'automatisation et de gestion des tests</t>
  </si>
  <si>
    <t>Test, Validation, Recette, Qualité du logiciel, Intégration, jeux de test, plan de test</t>
  </si>
  <si>
    <t xml:space="preserve"> Développeur, testeur, administrateur de base de données, expert de médias numériques</t>
  </si>
  <si>
    <t xml:space="preserve">Intégration des systèmes
</t>
  </si>
  <si>
    <t>Administrateur de base de données</t>
  </si>
  <si>
    <t xml:space="preserve"> Faire des essais et évaluer leurs résultats par rapport aux spécifications du produit</t>
  </si>
  <si>
    <t xml:space="preserve"> Gérer et garantir un haut niveau de qualité et de cohérence
</t>
  </si>
  <si>
    <t xml:space="preserve"> Faire des tests et évaluer leurs résultats dans l’environnement cible ou celui du client
</t>
  </si>
  <si>
    <t xml:space="preserve"> Faire des tests et évaluer leurs résultats dans l’environnement cible ou celui du client
</t>
  </si>
  <si>
    <t xml:space="preserve"> Gérer et garantir un haut niveau de qualité et de cohérence
</t>
  </si>
  <si>
    <t xml:space="preserve"> Identifier les défaillances potentielles des composants
critiques et agir pour limiter l’effet des défaillances
</t>
  </si>
  <si>
    <t xml:space="preserve">- Généralités sur la vérification et la validation d'un logiciel (V &amp;V)
- Les fondements des tests: Concepts, principes, terminologie, classification.
- Techniques de test :  Techniques  statiques et revues de code,  test Boite Blanche (BB)  et  test Boite Noire(BN)
- Phases de tests : tests unitaires, d’intégration  et de validation
- Processus et planification  de test : plan des test, Fiche (cas) de test , cahier de test, fiche anomalie
- Les outils d’automatisation et de gestion des tests 
</t>
  </si>
  <si>
    <t>x (définir le volume horaire)</t>
  </si>
  <si>
    <t>Programmation structurée, programmation orientée objet</t>
  </si>
  <si>
    <t>ISTQB</t>
  </si>
  <si>
    <t>International Software Testing Qualification Board (http://www.istqb.org)</t>
  </si>
  <si>
    <t xml:space="preserve">Intégration continue et qualité du code </t>
  </si>
  <si>
    <t>Fiche élément constitutif - intégration continue et qualité du code</t>
  </si>
  <si>
    <t>Tecnologies de l'Informatique</t>
  </si>
  <si>
    <t>DSI</t>
  </si>
  <si>
    <t>Unité optiennelle</t>
  </si>
  <si>
    <t>mise à jour</t>
  </si>
  <si>
    <t>Ahmed Djemal</t>
  </si>
  <si>
    <t>Nissen MASMOUDI</t>
  </si>
  <si>
    <t>intégration continue et qualité de code</t>
  </si>
  <si>
    <t xml:space="preserve">Maitriser les outils de test et d'integration </t>
  </si>
  <si>
    <r>
      <t xml:space="preserve">Comprendre l'intérêt des outils de test logiciel, manipuler les outils : JENKINS, JUNIT, Maven Ant
Découvrir l'automatisation des tests unitaires 
Mettre en place des routines de test, utiliser des outils d’analyse de qualité  de code 
</t>
    </r>
    <r>
      <rPr>
        <b/>
        <sz val="12"/>
        <color indexed="8"/>
        <rFont val="Calibri"/>
        <family val="2"/>
      </rPr>
      <t/>
    </r>
  </si>
  <si>
    <t>JENKINS, JUNIT, Maven Ant</t>
  </si>
  <si>
    <t>Testeurs</t>
  </si>
  <si>
    <t>Cométences du métier</t>
  </si>
  <si>
    <t>integration des systèmes</t>
  </si>
  <si>
    <t>Consigner et documenter les tests et
leurs résultats</t>
  </si>
  <si>
    <t>Préparer et exécuter les tests des systèmes informatiques</t>
  </si>
  <si>
    <t>Gérer et garantir un haut niveau de
qualité et de cohérence</t>
  </si>
  <si>
    <t>Faire des tests et évaluer leurs résultats dans l’environnement cible ou celui du client</t>
  </si>
  <si>
    <r>
      <rPr>
        <b/>
        <sz val="12"/>
        <color indexed="8"/>
        <rFont val="Calibri"/>
        <family val="2"/>
      </rPr>
      <t>Chapitre 1 : Intégration continue:</t>
    </r>
    <r>
      <rPr>
        <sz val="12"/>
        <color indexed="8"/>
        <rFont val="Calibri"/>
        <family val="2"/>
      </rPr>
      <t xml:space="preserve">
Introduction
Les fondamentaux de l'Intégration Continue
Mise en place de l'Intégration Continue
Sans serveur de build
Builds quotidiens
Builds quotidiens et tests automatisés basiques
Tests d'acceptance automatisés et un déploiement plus automatisé
Déploiement Continu
Atelier : Utilisation de JENKINS
</t>
    </r>
    <r>
      <rPr>
        <b/>
        <sz val="12"/>
        <color indexed="8"/>
        <rFont val="Calibri"/>
        <family val="2"/>
      </rPr>
      <t xml:space="preserve">
Chapitre 2 : Développer avec les tests</t>
    </r>
    <r>
      <rPr>
        <sz val="12"/>
        <color indexed="8"/>
        <rFont val="Calibri"/>
        <family val="2"/>
      </rPr>
      <t xml:space="preserve">
Les tests et la gestion de version
Le développement piloté par les tests
Écrire les tests
Exécuter les tests 
Remanier le code
Atelier : Utilisation de JUNIT</t>
    </r>
  </si>
  <si>
    <r>
      <rPr>
        <b/>
        <sz val="12"/>
        <color indexed="8"/>
        <rFont val="Calibri"/>
        <family val="2"/>
      </rPr>
      <t xml:space="preserve">
Chapitre 3 : Automatisation des tests</t>
    </r>
    <r>
      <rPr>
        <sz val="12"/>
        <color indexed="8"/>
        <rFont val="Calibri"/>
        <family val="2"/>
      </rPr>
      <t xml:space="preserve">
Automatiser vos tests unitaires et d’intégration
Automatiser vos tests avec Maven
Automatiser vos tests avec Ant
Profitez des ressources du serveur d'intégration continue
</t>
    </r>
    <r>
      <rPr>
        <b/>
        <sz val="12"/>
        <color indexed="8"/>
        <rFont val="Calibri"/>
        <family val="2"/>
      </rPr>
      <t xml:space="preserve">
Chapitre 4 : Qualité du Code</t>
    </r>
    <r>
      <rPr>
        <sz val="12"/>
        <color indexed="8"/>
        <rFont val="Calibri"/>
        <family val="2"/>
      </rPr>
      <t xml:space="preserve">
Introduction
 La qualité du code dans le processus de build
Les outils d’analyse de qualité du code populaires pour Java
Checkstyle
PMD/CPD
FindBugs
CodeNarc
Rapports de problèmes de qualité de code avec le plugin Violations
Utiliser les rapports Checkstyle, PMD, et FindBugs
Les rapports sur la complexité du code
Les rapports sur les tâches ouvertes</t>
    </r>
  </si>
  <si>
    <t>Etude de cas</t>
  </si>
  <si>
    <t>Pré-requis (compétences, certifications, projects, etc.)</t>
  </si>
  <si>
    <t>Mastering Unit Testing Using Mockito and JUnit by Sujoy Acharya (PACKT EDITION), Jenkins Continuous Integration Cookbook By Alan Berg (PACKT EDITION), Jenkins Essentials by Mitesh Soni (PACKT EDITION), Java Testing for Developers (O'REILLY EDITION)</t>
  </si>
  <si>
    <t>Fiche élément constitutif - Informatique décisionnelle</t>
  </si>
  <si>
    <t>contributeur</t>
  </si>
  <si>
    <t xml:space="preserve">création </t>
  </si>
  <si>
    <t>15/02/2017</t>
  </si>
  <si>
    <t xml:space="preserve">Mise à jour </t>
  </si>
  <si>
    <t>Nizar Alaya</t>
  </si>
  <si>
    <t>21H</t>
  </si>
  <si>
    <t xml:space="preserve"> - Mâitriser les concepts de base de l'informatique décisionnelle
 - Être capable de mener un projet d'informatique décisionnelle
 - Maîtriser l'utilisation de l'outil Crystal Report.</t>
  </si>
  <si>
    <t xml:space="preserve"> - Analyser des besoins décisionnels
 - Identifier les intervenants clés et leur rôles dans la réalisation d'un projet décisionnel
 - Concevoir et modéliser des rapports
 - Maitriser la syntaxe Crystal reports
 - Création des rapports simples.
 - Création des rapports paramétrés
 - Déploiement des rapports</t>
  </si>
  <si>
    <t>Informatique décisionnelle, BI, Business Intelligence, ETL, Extract Transform and Load, 
Crystal Report, Formule, Section, Source de données</t>
  </si>
  <si>
    <t>Analyste BI, Analyste de données</t>
  </si>
  <si>
    <t>Conception et developpement</t>
  </si>
  <si>
    <t>Gestion et developpement</t>
  </si>
  <si>
    <r>
      <rPr>
        <b/>
        <sz val="12"/>
        <rFont val="Calibri"/>
        <family val="2"/>
        <scheme val="minor"/>
      </rPr>
      <t>Partie 1</t>
    </r>
    <r>
      <rPr>
        <sz val="12"/>
        <rFont val="Calibri"/>
        <family val="2"/>
        <scheme val="minor"/>
      </rPr>
      <t xml:space="preserve">
• Configuration et Installation Crystal Report
• Concepts de bases
• La syntaxe Crystal
• Les rapports simples
• Les rapports paramétrés
</t>
    </r>
    <r>
      <rPr>
        <b/>
        <sz val="12"/>
        <rFont val="Calibri"/>
        <family val="2"/>
        <scheme val="minor"/>
      </rPr>
      <t>Partie 2</t>
    </r>
    <r>
      <rPr>
        <sz val="12"/>
        <rFont val="Calibri"/>
        <family val="2"/>
        <scheme val="minor"/>
      </rPr>
      <t xml:space="preserve">
• Les sous rapports
• Les tableaux croisés
• Déploiement des rapports Crystal
• Mini projet</t>
    </r>
  </si>
  <si>
    <t>Base de données /SAP (ABAP) : SAP Certified Development Associate / SAP Certified Development Specialist</t>
  </si>
  <si>
    <t>• SPECIAL EDITION USING Crystal Reports® 10
Neil FitzGerald, Ryan Marples, Naisan Geula, Bob Coates, James Edkins, Michael Voloshko, Joe Estes, Kathryn Hunt, Steve Lucas, Roger Sanborn, Que, 2004, ISBN : 0-7897-3113-4
• Crystal Reports 10: The Complete Reference 
George Peck, McGraw-Hill Education, 2004, ISBN-10 : 0072231661
• Professional Crystal Reports® for Visual Studio®.NET
David McAmis, Wrox Edition, 2004, ISBN: 0-7645-5730-0
• Crystal Report 2008
NEIL FITZGERALD, EyrollesTsoft, 2011, EAN13 : 9782212128994
• Reporting with Visual Studio and Crystal Report
Mahmoud Elkoush, PACKT, 2013, ISBN 978-1-78217-802-6</t>
  </si>
  <si>
    <t>Informatique décisionnelle</t>
  </si>
  <si>
    <t>Participation aux ateliers</t>
  </si>
  <si>
    <t xml:space="preserve">Élaboration des fiches matières techniques </t>
  </si>
  <si>
    <t xml:space="preserve">Élaboration des fiches matières transversales </t>
  </si>
  <si>
    <t xml:space="preserve">à choisir par l'ISET </t>
  </si>
  <si>
    <t>Il configure, gère et fait évoluer la base de données. Il s’assure de l’application des bonnes pratiques de sécurité et de performance dans le but d’assurer le meilleur service aux responsables métiers</t>
  </si>
  <si>
    <t>Il utilise des techniques statistiques et des outils informatiques pour accompagner et faciliter la prise de décision à travers les analyses des données quantitatives et qualitatives</t>
  </si>
  <si>
    <t>Il effectue les analyses nécessaires en vue de créer un programme, une application, une page web ou une base de données correspondant au cahier de charges élaboré par l’utilisateur</t>
  </si>
  <si>
    <t>Il exécute les plans de tests afin de garantir la qualité d’un programme informatique et de ses fonctionnalités</t>
  </si>
  <si>
    <t>Il assure le développement, l’amélioration et la mise en œuvre des applications informatiques. Il analyse les besoins des utilisateurs afin de construire des programmes sur mesure en fonction des supports et des outils de développement utilisés</t>
  </si>
  <si>
    <t>Chiraz Elayed</t>
  </si>
  <si>
    <t>Walid Zaouali</t>
  </si>
  <si>
    <t xml:space="preserve">0 à 2 ans </t>
  </si>
  <si>
    <t>2 à 5 ans</t>
  </si>
  <si>
    <t>0 à 2 ans</t>
  </si>
  <si>
    <t>3 à 5 ans</t>
  </si>
  <si>
    <t>Vision stratégique</t>
  </si>
  <si>
    <t>Gestion du changement</t>
  </si>
  <si>
    <t>Versatilité</t>
  </si>
  <si>
    <t xml:space="preserve">Compétences non techniques / soft skills </t>
  </si>
  <si>
    <t>Leadership</t>
  </si>
  <si>
    <t xml:space="preserve">Travail en équipe </t>
  </si>
  <si>
    <t xml:space="preserve">présentation et communication </t>
  </si>
  <si>
    <t>développement web (s4)</t>
  </si>
  <si>
    <t>Développement Web (s3)</t>
  </si>
  <si>
    <t>Enseignant</t>
  </si>
  <si>
    <t>ISET Kssar Hlel</t>
  </si>
  <si>
    <t>Conseillère 4c</t>
  </si>
  <si>
    <t>Ce pack contient les sections suivantes :</t>
  </si>
  <si>
    <t>Matière fondamentale</t>
  </si>
  <si>
    <t>Matière transversale</t>
  </si>
  <si>
    <t>Matière optionelle</t>
  </si>
  <si>
    <r>
      <rPr>
        <b/>
        <sz val="12"/>
        <color theme="1"/>
        <rFont val="Calibri"/>
        <family val="2"/>
        <scheme val="minor"/>
      </rPr>
      <t xml:space="preserve">Animation d’ateliers d’assistance entre le secteur privé TIC et les ISETs pour l’élaboration 
du nouveau plan d’études TIC des ISETs
</t>
    </r>
    <r>
      <rPr>
        <b/>
        <sz val="12"/>
        <color rgb="FF009999"/>
        <rFont val="Calibri"/>
        <family val="2"/>
        <scheme val="minor"/>
      </rPr>
      <t>Pack plan d'études parcours DSI</t>
    </r>
    <r>
      <rPr>
        <sz val="12"/>
        <color rgb="FF009999"/>
        <rFont val="Calibri"/>
        <family val="2"/>
        <scheme val="minor"/>
      </rPr>
      <t xml:space="preserve">
</t>
    </r>
    <r>
      <rPr>
        <sz val="12"/>
        <color theme="1"/>
        <rFont val="Calibri"/>
        <family val="2"/>
        <scheme val="minor"/>
      </rPr>
      <t xml:space="preserve">
</t>
    </r>
  </si>
  <si>
    <r>
      <rPr>
        <b/>
        <sz val="11"/>
        <rFont val="Calibri"/>
        <family val="2"/>
        <scheme val="minor"/>
      </rPr>
      <t xml:space="preserve">Contributeurs : </t>
    </r>
    <r>
      <rPr>
        <sz val="11"/>
        <rFont val="Calibri"/>
        <family val="2"/>
        <scheme val="minor"/>
      </rPr>
      <t>représente l'ensemble des intervenants qui ont contribué à l'élaboration des fiches matières</t>
    </r>
  </si>
  <si>
    <r>
      <rPr>
        <b/>
        <sz val="11"/>
        <rFont val="Calibri"/>
        <family val="2"/>
        <scheme val="minor"/>
      </rPr>
      <t>Métiers visés :</t>
    </r>
    <r>
      <rPr>
        <sz val="11"/>
        <rFont val="Calibri"/>
        <family val="2"/>
        <scheme val="minor"/>
      </rPr>
      <t xml:space="preserve"> représente les métiers auxquels les parcours prépare (couverture totale ou partielle)</t>
    </r>
  </si>
  <si>
    <r>
      <rPr>
        <b/>
        <sz val="11"/>
        <rFont val="Calibri"/>
        <family val="2"/>
        <scheme val="minor"/>
      </rPr>
      <t xml:space="preserve">Compétences adressées : </t>
    </r>
    <r>
      <rPr>
        <sz val="11"/>
        <rFont val="Calibri"/>
        <family val="2"/>
        <scheme val="minor"/>
      </rPr>
      <t>représente les compétences que le parcours couvre</t>
    </r>
  </si>
  <si>
    <r>
      <rPr>
        <b/>
        <sz val="11"/>
        <rFont val="Calibri"/>
        <family val="2"/>
        <scheme val="minor"/>
      </rPr>
      <t>Schéma d'enseignement :</t>
    </r>
    <r>
      <rPr>
        <sz val="11"/>
        <rFont val="Calibri"/>
        <family val="2"/>
        <scheme val="minor"/>
      </rPr>
      <t xml:space="preserve"> représente les matières du parcours, leur nature (fondamentale, transversale, optionelle) et le volume horaire pour les différents semestres</t>
    </r>
  </si>
  <si>
    <r>
      <rPr>
        <b/>
        <sz val="11"/>
        <rFont val="Calibri"/>
        <family val="2"/>
        <scheme val="minor"/>
      </rPr>
      <t xml:space="preserve">Cohérence : </t>
    </r>
    <r>
      <rPr>
        <sz val="11"/>
        <rFont val="Calibri"/>
        <family val="2"/>
        <scheme val="minor"/>
      </rPr>
      <t>représente les prérequis demandés par le parcours (par matière) et leur couverture (par le parcours lui meme ou par le tronc commun)</t>
    </r>
  </si>
  <si>
    <r>
      <rPr>
        <b/>
        <sz val="11"/>
        <rFont val="Calibri"/>
        <family val="2"/>
        <scheme val="minor"/>
      </rPr>
      <t>Matières optionnelles :</t>
    </r>
    <r>
      <rPr>
        <sz val="11"/>
        <rFont val="Calibri"/>
        <family val="2"/>
        <scheme val="minor"/>
      </rPr>
      <t xml:space="preserve"> représente les différentes matières optionnelles à sélectionner par l'ISET pour chaque semestre</t>
    </r>
  </si>
  <si>
    <r>
      <rPr>
        <b/>
        <sz val="11"/>
        <rFont val="Calibri"/>
        <family val="2"/>
        <scheme val="minor"/>
      </rPr>
      <t xml:space="preserve">Semestre : </t>
    </r>
    <r>
      <rPr>
        <sz val="11"/>
        <rFont val="Calibri"/>
        <family val="2"/>
        <scheme val="minor"/>
      </rPr>
      <t xml:space="preserve">regroupe les différentes matières pour chaque semestre </t>
    </r>
  </si>
  <si>
    <t>Safia Jallouli</t>
  </si>
  <si>
    <t>Business english</t>
  </si>
  <si>
    <t xml:space="preserve">Preparing TOEIC </t>
  </si>
  <si>
    <t>High tech english</t>
  </si>
  <si>
    <t>Praparing TOIEC</t>
  </si>
  <si>
    <t>High Tech English</t>
  </si>
  <si>
    <t>DSI/MDW/RSI</t>
  </si>
  <si>
    <t>High Tech  English</t>
  </si>
  <si>
    <t>to improve students English communication skills in computing</t>
  </si>
  <si>
    <t>to understand English of Computing for study and work</t>
  </si>
  <si>
    <t>ICT-computers-network-web design</t>
  </si>
  <si>
    <t>Reading</t>
  </si>
  <si>
    <t>Listening</t>
  </si>
  <si>
    <t>Speaking and Writing</t>
  </si>
  <si>
    <t>Unit  1 : Toeic listening part 1 : Photographs
Focus: Using the photo to predict what you will hear
Unit 2: Listening test part 2: Questions-response
Focus: Thinking about the meaning of factual questions
Unit 3: Listening test part 3: Conversations
Focus: Skimming to predict the context before listening
Unit 4: Listening part 4: Talks
Focus: Skimming to predict the context before listening
Unit 5: Reading test part 5: Incomplete sentences 
Focus : Identifying the parts of speech+ Using your time wisely
Unit 6: Reading test Part 6: Text completion
Focus: Using context to choose the correct verb form and meaning
Unit 7: Reading Test part 7: Reading comprehension
Focus: Scanning the questions to decide which ones to answer first.
Unit 8: Listening test part1: Photographs
Focus: Listening for the correct verb
Unit 9: Listening test part 2: Question-response
Focus: Becoming familiar with different ways of answering direct questions.
Unit 10: Listening test part 3: Conversations
Focus: Be aware of same word distracters.</t>
  </si>
  <si>
    <t>graduation-job-CV-covering letter-Job interview</t>
  </si>
  <si>
    <t>to be able to find a job- to write a CV in English -  to write a covering letter in English- to prepare for a job interview</t>
  </si>
  <si>
    <t>to be able to get a job</t>
  </si>
  <si>
    <t>Business English</t>
  </si>
  <si>
    <t>labo</t>
  </si>
  <si>
    <t>Unit 11: Listening test part 4: Talks
Focus: Becoming familiar with different kinds of ‘what’ questions
Unit 12: Reading test part5: Incomplete sentences
Focus: Choosing gerunds and infinitives correctly + improving your knowledge of phrasal verbs.
Unit 13: Reading test part6: Text completion
Focus: Choosing the correct part of speech: adjectives and adverbs.
Unit 14: Reading test Part 7: Reading comprehension
Focus: Using context to answer vocabulary questions + using what you have learnt to help infer meaning.
Unit 15: Listening test part1: Photographs
Focus: Listening carefully to every detail.
Unit 16: Listening part 2: Questions response.
Focus: Becoming familiar with time and location structures.
Unit 17: Listening test part 3: Conversations
Focus: Using vocabulary clues to infer meaning
Unit 18: Listening test part4: Talks
Focus: Becoming familiar with re-statements+ being aware of questions involving numbers and quantities.
Unit 19: Reading Test part 5: Incomplete sentences 
Focus: Improving your knowledge of suffixes and prefixes
Unit 20: Reading test part 6: Text completion
Focus: Using clues in the question to help you choose the correct verb form: future perfect
Unit 21: Reading test Part 6: Reading comprehension
Focus: Learning how to answer ‘NOT’ questions, and questions with names, numbers, dates or times.
Unit 22: Listening test part 1: Photographs
Focus: Listening for the correct prepositions +being aware of similar sounding words.
Unit 23: Listening Test part 3: Question-response
Focus: Becoming familiar with language used in offers, requests and opinions.
Unit 24: Listening Part 3: Conversations
Focus: Becoming familiar with polite ways of saying ‘no’ + listening carefully to the first exchange
Unit 25: Listening Test Part 4: Talks
Focus: Becoming familiar with re-statements involving ‘how’ and ‘why’ questions.
Unit 26: Reading test part 5: Incomplete sentences
Focus: Improving your knowledge of pronouns.
Unit 27: Reading Part 6: Text completion 
Focus: Choosing the correct word prepositions and conjunctions
Unit 28: Reading Test Part 7: Reading comprehension
Focus: Learning how to answer questions dealing with charts, tables, forms and double passages.</t>
  </si>
  <si>
    <t>Speaking + Writing</t>
  </si>
  <si>
    <t>toeic- listening- reading-incomplete sentences</t>
  </si>
  <si>
    <t>to be ready to take the toeic exam</t>
  </si>
  <si>
    <t>Toeic</t>
  </si>
  <si>
    <t>preparation for TOEIC</t>
  </si>
  <si>
    <t>Mohamed Elleuch</t>
  </si>
  <si>
    <t xml:space="preserve">ISET Sfax </t>
  </si>
  <si>
    <t xml:space="preserve">Enseignant </t>
  </si>
  <si>
    <t>Cette matière requiert que l'étudiant ait des connaissances en 
Algorithmique et Structure de données
JavaScript, HTML5</t>
  </si>
  <si>
    <t>IDE Eclipse, Visual Studio ou autre équivalent</t>
  </si>
  <si>
    <t>Volume horaire semestriel</t>
  </si>
  <si>
    <t>Crédits</t>
  </si>
  <si>
    <t>Coefficients</t>
  </si>
  <si>
    <t xml:space="preserve">Régime d'Examen </t>
  </si>
  <si>
    <t>Volume</t>
  </si>
  <si>
    <t>ECUE</t>
  </si>
  <si>
    <t>UE</t>
  </si>
  <si>
    <t>Contrôle</t>
  </si>
  <si>
    <t>Global</t>
  </si>
  <si>
    <t>le cas échéant</t>
  </si>
  <si>
    <t>Continu</t>
  </si>
  <si>
    <t>Shéma d'enseignement</t>
  </si>
  <si>
    <t>*</t>
  </si>
  <si>
    <t>Volume horaire par semaine S3</t>
  </si>
  <si>
    <t>Volume horaire par semaine S4</t>
  </si>
  <si>
    <t>Volume horaire par semaine S5</t>
  </si>
  <si>
    <t>42H</t>
  </si>
  <si>
    <t xml:space="preserve">La Commission Nationale Sectorielle des Études Technologiques </t>
  </si>
  <si>
    <t>Contrôle Continu</t>
  </si>
  <si>
    <t>%Charge Totale</t>
  </si>
  <si>
    <t>%Charge par semaine</t>
  </si>
  <si>
    <t xml:space="preserve"> Programmation Objet</t>
  </si>
  <si>
    <t>Conception  Objet</t>
  </si>
  <si>
    <t>Conception Objet</t>
  </si>
  <si>
    <t>to develop independent study and exam skill and to improve their English level and confidence with using English</t>
  </si>
  <si>
    <t>Version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</si>
</sst>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mm\-yyyy"/>
  </numFmts>
  <fonts count="4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2"/>
      <name val="Calibri"/>
      <family val="2"/>
      <scheme val="minor"/>
    </font>
    <font>
      <sz val="11"/>
      <name val="Calibri"/>
      <family val="2"/>
      <scheme val="minor"/>
    </font>
    <font>
      <b/>
      <sz val="11"/>
      <name val="Calibri"/>
      <family val="2"/>
      <scheme val="minor"/>
    </font>
    <font>
      <b/>
      <sz val="12"/>
      <color theme="0"/>
      <name val="Calibri"/>
      <family val="2"/>
      <scheme val="minor"/>
    </font>
    <font>
      <b/>
      <sz val="12"/>
      <name val="Calibri"/>
      <family val="2"/>
      <scheme val="minor"/>
    </font>
    <font>
      <i/>
      <sz val="11"/>
      <color theme="1"/>
      <name val="Calibri"/>
      <family val="2"/>
      <scheme val="minor"/>
    </font>
    <font>
      <sz val="12"/>
      <color rgb="FFFF0000"/>
      <name val="Calibri"/>
      <family val="2"/>
      <scheme val="minor"/>
    </font>
    <font>
      <sz val="10"/>
      <name val="Calibri"/>
      <family val="2"/>
      <scheme val="minor"/>
    </font>
    <font>
      <b/>
      <sz val="12"/>
      <color theme="1"/>
      <name val="Calibri"/>
      <family val="2"/>
      <scheme val="minor"/>
    </font>
    <font>
      <sz val="12"/>
      <color rgb="FF00B050"/>
      <name val="Calibri"/>
      <family val="2"/>
      <scheme val="minor"/>
    </font>
    <font>
      <b/>
      <sz val="12"/>
      <color rgb="FFFF0000"/>
      <name val="Calibri"/>
      <family val="2"/>
      <scheme val="minor"/>
    </font>
    <font>
      <b/>
      <strike/>
      <sz val="12"/>
      <color rgb="FFFF0000"/>
      <name val="Calibri"/>
      <family val="2"/>
      <scheme val="minor"/>
    </font>
    <font>
      <strike/>
      <sz val="12"/>
      <color rgb="FFFF0000"/>
      <name val="Calibri"/>
      <family val="2"/>
      <scheme val="minor"/>
    </font>
    <font>
      <b/>
      <u val="double"/>
      <sz val="12"/>
      <name val="Calibri"/>
      <family val="2"/>
      <scheme val="minor"/>
    </font>
    <font>
      <sz val="20"/>
      <color rgb="FFFFFFFF"/>
      <name val="Arial"/>
      <family val="2"/>
    </font>
    <font>
      <strike/>
      <sz val="12"/>
      <name val="Calibri"/>
      <family val="2"/>
      <scheme val="minor"/>
    </font>
    <font>
      <sz val="11"/>
      <name val="Calibri"/>
      <family val="2"/>
    </font>
    <font>
      <b/>
      <sz val="12"/>
      <name val="Calibri"/>
      <family val="2"/>
    </font>
    <font>
      <sz val="12"/>
      <name val="Calibri"/>
      <family val="2"/>
    </font>
    <font>
      <sz val="14"/>
      <name val="Calibri"/>
      <family val="2"/>
      <scheme val="minor"/>
    </font>
    <font>
      <sz val="10"/>
      <name val="Calibri"/>
      <family val="2"/>
    </font>
    <font>
      <b/>
      <sz val="10"/>
      <name val="Calibri"/>
      <family val="2"/>
    </font>
    <font>
      <sz val="11"/>
      <color rgb="FF000000"/>
      <name val="Calibri"/>
      <family val="2"/>
      <charset val="1"/>
    </font>
    <font>
      <sz val="12"/>
      <color rgb="FF000000"/>
      <name val="Calibri"/>
      <family val="2"/>
      <charset val="1"/>
    </font>
    <font>
      <b/>
      <sz val="12"/>
      <color rgb="FFFFFFFF"/>
      <name val="Calibri"/>
      <family val="2"/>
      <charset val="1"/>
    </font>
    <font>
      <b/>
      <sz val="12"/>
      <color rgb="FF000000"/>
      <name val="Calibri"/>
      <family val="2"/>
      <charset val="1"/>
    </font>
    <font>
      <sz val="12"/>
      <color rgb="FF000000"/>
      <name val="Calibri"/>
      <family val="2"/>
    </font>
    <font>
      <sz val="12"/>
      <name val="Calibri"/>
      <family val="2"/>
      <charset val="1"/>
    </font>
    <font>
      <b/>
      <sz val="12"/>
      <name val="Calibri"/>
      <family val="2"/>
      <charset val="1"/>
    </font>
    <font>
      <i/>
      <sz val="12"/>
      <name val="Calibri"/>
      <family val="2"/>
      <charset val="1"/>
    </font>
    <font>
      <b/>
      <i/>
      <sz val="12"/>
      <name val="Calibri"/>
      <family val="2"/>
      <scheme val="minor"/>
    </font>
    <font>
      <b/>
      <sz val="12"/>
      <color indexed="8"/>
      <name val="Calibri"/>
      <family val="2"/>
    </font>
    <font>
      <sz val="12"/>
      <color indexed="8"/>
      <name val="Calibri"/>
      <family val="2"/>
    </font>
    <font>
      <sz val="12"/>
      <color theme="0"/>
      <name val="Calibri"/>
      <family val="2"/>
      <scheme val="minor"/>
    </font>
    <font>
      <b/>
      <sz val="12"/>
      <color rgb="FF009999"/>
      <name val="Calibri"/>
      <family val="2"/>
      <scheme val="minor"/>
    </font>
    <font>
      <sz val="12"/>
      <color rgb="FF009999"/>
      <name val="Calibri"/>
      <family val="2"/>
      <scheme val="minor"/>
    </font>
    <font>
      <b/>
      <sz val="10"/>
      <color theme="0"/>
      <name val="Times New Roman"/>
      <family val="1"/>
    </font>
    <font>
      <b/>
      <sz val="11"/>
      <color theme="0"/>
      <name val="Times New Roman"/>
      <family val="1"/>
    </font>
    <font>
      <u/>
      <sz val="11"/>
      <color theme="10"/>
      <name val="Calibri"/>
      <family val="2"/>
      <scheme val="minor"/>
    </font>
    <font>
      <b/>
      <sz val="14"/>
      <color rgb="FFC00000"/>
      <name val="Calibri"/>
      <family val="2"/>
      <scheme val="minor"/>
    </font>
    <font>
      <sz val="14"/>
      <color rgb="FFC00000"/>
      <name val="Calibri"/>
      <family val="2"/>
      <scheme val="minor"/>
    </font>
    <font>
      <sz val="11"/>
      <color rgb="FFC00000"/>
      <name val="Calibri"/>
      <family val="2"/>
      <scheme val="minor"/>
    </font>
    <font>
      <b/>
      <sz val="12"/>
      <color rgb="FFC00000"/>
      <name val="Calibri"/>
      <family val="2"/>
      <scheme val="minor"/>
    </font>
  </fonts>
  <fills count="31">
    <fill>
      <patternFill patternType="none"/>
    </fill>
    <fill>
      <patternFill patternType="gray125"/>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8080"/>
        <bgColor indexed="64"/>
      </patternFill>
    </fill>
    <fill>
      <patternFill patternType="solid">
        <fgColor theme="7" tint="0.79998168889431442"/>
        <bgColor indexed="64"/>
      </patternFill>
    </fill>
    <fill>
      <patternFill patternType="solid">
        <fgColor theme="7"/>
        <bgColor indexed="64"/>
      </patternFill>
    </fill>
    <fill>
      <patternFill patternType="solid">
        <fgColor theme="5"/>
        <bgColor indexed="64"/>
      </patternFill>
    </fill>
    <fill>
      <patternFill patternType="solid">
        <fgColor theme="5" tint="0.79998168889431442"/>
        <bgColor indexed="64"/>
      </patternFill>
    </fill>
    <fill>
      <patternFill patternType="solid">
        <fgColor rgb="FFFFC000"/>
        <bgColor indexed="64"/>
      </patternFill>
    </fill>
    <fill>
      <patternFill patternType="solid">
        <fgColor theme="1"/>
        <bgColor indexed="64"/>
      </patternFill>
    </fill>
    <fill>
      <patternFill patternType="solid">
        <fgColor rgb="FFFF808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rgb="FFFFFFFF"/>
        <bgColor indexed="64"/>
      </patternFill>
    </fill>
    <fill>
      <patternFill patternType="solid">
        <fgColor rgb="FFFFFFFF"/>
        <bgColor rgb="FFF2F2F2"/>
      </patternFill>
    </fill>
    <fill>
      <patternFill patternType="solid">
        <fgColor rgb="FF008080"/>
        <bgColor rgb="FF008080"/>
      </patternFill>
    </fill>
    <fill>
      <patternFill patternType="solid">
        <fgColor rgb="FFF2F2F2"/>
        <bgColor rgb="FFFFFFFF"/>
      </patternFill>
    </fill>
    <fill>
      <patternFill patternType="solid">
        <fgColor theme="0"/>
        <bgColor rgb="FFF2F2F2"/>
      </patternFill>
    </fill>
    <fill>
      <patternFill patternType="solid">
        <fgColor theme="0" tint="-4.9989318521683403E-2"/>
        <bgColor rgb="FFF2F2F2"/>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39933"/>
        <bgColor indexed="64"/>
      </patternFill>
    </fill>
    <fill>
      <patternFill patternType="solid">
        <fgColor theme="3"/>
        <bgColor indexed="64"/>
      </patternFill>
    </fill>
    <fill>
      <patternFill patternType="solid">
        <fgColor theme="5"/>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000000"/>
      </left>
      <right/>
      <top style="thin">
        <color rgb="FF000000"/>
      </top>
      <bottom style="thin">
        <color rgb="FF000000"/>
      </bottom>
      <diagonal/>
    </border>
    <border>
      <left/>
      <right style="thin">
        <color indexed="64"/>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style="thin">
        <color theme="0" tint="-0.499984740745262"/>
      </left>
      <right style="thin">
        <color theme="0" tint="-0.499984740745262"/>
      </right>
      <top style="thin">
        <color theme="0" tint="-0.499984740745262"/>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2">
    <xf numFmtId="0" fontId="0" fillId="0" borderId="0"/>
    <xf numFmtId="0" fontId="4"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9" fontId="1" fillId="0" borderId="0" applyFont="0" applyFill="0" applyBorder="0" applyAlignment="0" applyProtection="0"/>
    <xf numFmtId="0" fontId="28" fillId="0" borderId="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44" fillId="0" borderId="0" applyNumberFormat="0" applyFill="0" applyBorder="0" applyAlignment="0" applyProtection="0"/>
    <xf numFmtId="0" fontId="4" fillId="30" borderId="0" applyNumberFormat="0" applyBorder="0" applyAlignment="0" applyProtection="0"/>
  </cellStyleXfs>
  <cellXfs count="635">
    <xf numFmtId="0" fontId="0" fillId="0" borderId="0" xfId="0"/>
    <xf numFmtId="0" fontId="0" fillId="6" borderId="0" xfId="0" applyFill="1"/>
    <xf numFmtId="0" fontId="0" fillId="6" borderId="1" xfId="0" applyFill="1" applyBorder="1"/>
    <xf numFmtId="0" fontId="2" fillId="9" borderId="1" xfId="0" applyFont="1" applyFill="1" applyBorder="1" applyAlignment="1">
      <alignment horizontal="center"/>
    </xf>
    <xf numFmtId="0" fontId="6" fillId="6" borderId="1" xfId="0" applyFont="1" applyFill="1" applyBorder="1" applyAlignment="1">
      <alignment vertical="center"/>
    </xf>
    <xf numFmtId="0" fontId="6" fillId="0" borderId="1" xfId="0" applyFont="1" applyBorder="1" applyAlignment="1">
      <alignment vertical="center" wrapText="1"/>
    </xf>
    <xf numFmtId="0" fontId="3" fillId="6" borderId="1" xfId="0" applyFont="1" applyFill="1" applyBorder="1" applyAlignment="1">
      <alignment horizontal="center"/>
    </xf>
    <xf numFmtId="0" fontId="7" fillId="6" borderId="1" xfId="0" applyFont="1" applyFill="1" applyBorder="1" applyAlignment="1">
      <alignment horizontal="center"/>
    </xf>
    <xf numFmtId="0" fontId="7" fillId="6" borderId="1" xfId="0" applyFont="1" applyFill="1" applyBorder="1"/>
    <xf numFmtId="0" fontId="2" fillId="12" borderId="1" xfId="0" applyFont="1" applyFill="1" applyBorder="1" applyAlignment="1">
      <alignment horizontal="centerContinuous" vertical="center"/>
    </xf>
    <xf numFmtId="0" fontId="3" fillId="6" borderId="1" xfId="0" applyFont="1" applyFill="1" applyBorder="1" applyAlignment="1">
      <alignment horizontal="center" vertical="center"/>
    </xf>
    <xf numFmtId="0" fontId="8" fillId="14" borderId="1" xfId="0" applyFont="1" applyFill="1" applyBorder="1" applyAlignment="1">
      <alignment horizontal="center"/>
    </xf>
    <xf numFmtId="1" fontId="2" fillId="16" borderId="1" xfId="0" applyNumberFormat="1" applyFont="1" applyFill="1" applyBorder="1" applyAlignment="1" applyProtection="1">
      <alignment horizontal="center"/>
      <protection locked="0"/>
    </xf>
    <xf numFmtId="0" fontId="2" fillId="12" borderId="1" xfId="0" applyFont="1" applyFill="1" applyBorder="1" applyAlignment="1" applyProtection="1">
      <alignment horizontal="centerContinuous"/>
      <protection locked="0"/>
    </xf>
    <xf numFmtId="0" fontId="8" fillId="14" borderId="1" xfId="0" applyFont="1" applyFill="1" applyBorder="1" applyAlignment="1" applyProtection="1">
      <alignment horizontal="center" vertical="center"/>
      <protection locked="0"/>
    </xf>
    <xf numFmtId="0" fontId="8" fillId="14" borderId="1" xfId="0" applyFont="1" applyFill="1" applyBorder="1" applyAlignment="1" applyProtection="1">
      <alignment vertical="center" wrapText="1"/>
      <protection locked="0"/>
    </xf>
    <xf numFmtId="1" fontId="8" fillId="14" borderId="1" xfId="0" applyNumberFormat="1" applyFont="1" applyFill="1" applyBorder="1" applyAlignment="1" applyProtection="1">
      <alignment horizontal="center" vertical="center"/>
      <protection locked="0"/>
    </xf>
    <xf numFmtId="0" fontId="7" fillId="6" borderId="1" xfId="0" applyFont="1" applyFill="1" applyBorder="1" applyAlignment="1" applyProtection="1">
      <alignment vertical="center" wrapText="1"/>
    </xf>
    <xf numFmtId="0" fontId="7" fillId="6" borderId="1" xfId="0" applyFont="1" applyFill="1" applyBorder="1" applyAlignment="1" applyProtection="1">
      <alignment vertical="center"/>
      <protection locked="0"/>
    </xf>
    <xf numFmtId="0" fontId="7" fillId="6" borderId="1" xfId="0" applyFont="1" applyFill="1" applyBorder="1" applyAlignment="1" applyProtection="1">
      <alignment vertical="center" wrapText="1"/>
      <protection locked="0"/>
    </xf>
    <xf numFmtId="0" fontId="3" fillId="17" borderId="1" xfId="0" applyFont="1" applyFill="1" applyBorder="1" applyAlignment="1">
      <alignment horizontal="center" vertical="center"/>
    </xf>
    <xf numFmtId="0" fontId="3" fillId="14" borderId="1" xfId="0" applyFont="1" applyFill="1" applyBorder="1" applyAlignment="1">
      <alignment horizontal="left" vertical="center"/>
    </xf>
    <xf numFmtId="0" fontId="6" fillId="6" borderId="1" xfId="0" applyFont="1" applyFill="1" applyBorder="1" applyAlignment="1">
      <alignment vertical="center" wrapText="1"/>
    </xf>
    <xf numFmtId="0" fontId="6" fillId="6" borderId="1" xfId="0" applyFont="1" applyFill="1" applyBorder="1" applyAlignment="1">
      <alignment horizontal="center" vertical="center"/>
    </xf>
    <xf numFmtId="0" fontId="8" fillId="13" borderId="1" xfId="0" applyFont="1" applyFill="1" applyBorder="1" applyAlignment="1">
      <alignment horizontal="centerContinuous"/>
    </xf>
    <xf numFmtId="0" fontId="9" fillId="15" borderId="1" xfId="0" applyFont="1" applyFill="1" applyBorder="1" applyAlignment="1">
      <alignment horizontal="center" vertical="center"/>
    </xf>
    <xf numFmtId="0" fontId="10" fillId="6" borderId="1" xfId="0" applyFont="1" applyFill="1" applyBorder="1" applyAlignment="1">
      <alignment horizontal="center" vertical="center"/>
    </xf>
    <xf numFmtId="0" fontId="11" fillId="6" borderId="0" xfId="0" applyFont="1" applyFill="1"/>
    <xf numFmtId="0" fontId="3" fillId="14" borderId="1" xfId="0" applyFont="1" applyFill="1" applyBorder="1" applyAlignment="1">
      <alignment vertical="center"/>
    </xf>
    <xf numFmtId="0" fontId="3" fillId="13" borderId="1" xfId="0" applyFont="1" applyFill="1" applyBorder="1" applyAlignment="1">
      <alignment horizontal="center"/>
    </xf>
    <xf numFmtId="0" fontId="0" fillId="6" borderId="0" xfId="0" applyFont="1" applyFill="1"/>
    <xf numFmtId="0" fontId="0" fillId="6" borderId="1" xfId="0" applyFont="1" applyFill="1" applyBorder="1" applyAlignment="1">
      <alignment horizontal="center" vertical="center"/>
    </xf>
    <xf numFmtId="0" fontId="8" fillId="17" borderId="1" xfId="0" applyFont="1" applyFill="1" applyBorder="1" applyAlignment="1">
      <alignment vertical="center" wrapText="1"/>
    </xf>
    <xf numFmtId="0" fontId="7" fillId="6" borderId="1" xfId="0" applyFont="1" applyFill="1" applyBorder="1" applyAlignment="1" applyProtection="1">
      <alignment horizontal="center" vertical="center" wrapText="1"/>
    </xf>
    <xf numFmtId="0" fontId="7" fillId="6" borderId="0" xfId="0" applyFont="1" applyFill="1"/>
    <xf numFmtId="0" fontId="2" fillId="6" borderId="0" xfId="0" applyFont="1" applyFill="1" applyBorder="1" applyAlignment="1">
      <alignment horizontal="center"/>
    </xf>
    <xf numFmtId="0" fontId="0" fillId="6" borderId="0" xfId="0" applyFill="1" applyBorder="1"/>
    <xf numFmtId="0" fontId="8" fillId="6" borderId="0" xfId="0" applyFont="1" applyFill="1" applyBorder="1" applyAlignment="1">
      <alignment horizontal="centerContinuous"/>
    </xf>
    <xf numFmtId="0" fontId="0" fillId="13" borderId="1" xfId="0" applyFill="1" applyBorder="1" applyAlignment="1">
      <alignment horizontal="centerContinuous"/>
    </xf>
    <xf numFmtId="0" fontId="8" fillId="6" borderId="0" xfId="0" applyFont="1" applyFill="1"/>
    <xf numFmtId="0" fontId="8" fillId="10" borderId="1" xfId="0" applyFont="1" applyFill="1" applyBorder="1" applyAlignment="1">
      <alignment horizontal="center" vertical="center" wrapText="1"/>
    </xf>
    <xf numFmtId="0" fontId="7" fillId="10" borderId="1" xfId="0" applyFont="1" applyFill="1" applyBorder="1" applyAlignment="1">
      <alignment horizontal="center" vertical="center" textRotation="90" wrapText="1"/>
    </xf>
    <xf numFmtId="0" fontId="8" fillId="13" borderId="1" xfId="0" applyFont="1" applyFill="1" applyBorder="1" applyAlignment="1">
      <alignment horizontal="centerContinuous" vertical="center"/>
    </xf>
    <xf numFmtId="0" fontId="2" fillId="13" borderId="1" xfId="0" applyFont="1" applyFill="1" applyBorder="1" applyAlignment="1">
      <alignment horizontal="centerContinuous" vertical="center"/>
    </xf>
    <xf numFmtId="0" fontId="7" fillId="6" borderId="1" xfId="0" applyFont="1" applyFill="1" applyBorder="1" applyAlignment="1">
      <alignment vertical="center"/>
    </xf>
    <xf numFmtId="0" fontId="8" fillId="6" borderId="1" xfId="4" applyFont="1" applyFill="1" applyBorder="1" applyAlignment="1" applyProtection="1">
      <alignment horizontal="left" vertical="center" wrapText="1"/>
      <protection locked="0"/>
    </xf>
    <xf numFmtId="0" fontId="8" fillId="6" borderId="1" xfId="2" applyFont="1" applyFill="1" applyBorder="1" applyAlignment="1" applyProtection="1">
      <alignment horizontal="left" vertical="center" wrapText="1"/>
      <protection locked="0"/>
    </xf>
    <xf numFmtId="0" fontId="8" fillId="6" borderId="1" xfId="0" applyFont="1" applyFill="1" applyBorder="1" applyAlignment="1" applyProtection="1">
      <alignment horizontal="left" vertical="center" wrapText="1"/>
      <protection locked="0"/>
    </xf>
    <xf numFmtId="0" fontId="8" fillId="6" borderId="1" xfId="1" applyFont="1" applyFill="1" applyBorder="1" applyAlignment="1" applyProtection="1">
      <alignment horizontal="left" vertical="center" wrapText="1"/>
      <protection locked="0"/>
    </xf>
    <xf numFmtId="0" fontId="8" fillId="6" borderId="1" xfId="3" applyFont="1" applyFill="1" applyBorder="1" applyAlignment="1" applyProtection="1">
      <alignment horizontal="left" vertical="center" wrapText="1"/>
      <protection locked="0"/>
    </xf>
    <xf numFmtId="0" fontId="3" fillId="13" borderId="5" xfId="0" applyFont="1" applyFill="1" applyBorder="1" applyAlignment="1">
      <alignment horizontal="left" vertical="center"/>
    </xf>
    <xf numFmtId="0" fontId="3" fillId="13" borderId="6" xfId="0" applyFont="1" applyFill="1" applyBorder="1" applyAlignment="1">
      <alignment horizontal="left" vertical="center"/>
    </xf>
    <xf numFmtId="0" fontId="3" fillId="13" borderId="8" xfId="0" applyFont="1" applyFill="1" applyBorder="1" applyAlignment="1">
      <alignment horizontal="left" vertical="center"/>
    </xf>
    <xf numFmtId="0" fontId="3" fillId="13" borderId="7" xfId="0" applyFont="1" applyFill="1" applyBorder="1" applyAlignment="1">
      <alignment horizontal="left" vertical="center"/>
    </xf>
    <xf numFmtId="0" fontId="3" fillId="13" borderId="14" xfId="0" applyFont="1" applyFill="1" applyBorder="1" applyAlignment="1">
      <alignment horizontal="left" vertical="center"/>
    </xf>
    <xf numFmtId="0" fontId="3" fillId="13" borderId="10" xfId="0" applyFont="1" applyFill="1" applyBorder="1" applyAlignment="1">
      <alignment horizontal="left" vertical="center"/>
    </xf>
    <xf numFmtId="0" fontId="8" fillId="14" borderId="3" xfId="0" applyFont="1" applyFill="1" applyBorder="1" applyAlignment="1" applyProtection="1">
      <alignment horizontal="centerContinuous" vertical="center" wrapText="1"/>
      <protection locked="0"/>
    </xf>
    <xf numFmtId="0" fontId="3" fillId="13" borderId="11" xfId="0" applyFont="1" applyFill="1" applyBorder="1" applyAlignment="1">
      <alignment horizontal="left" vertical="center"/>
    </xf>
    <xf numFmtId="0" fontId="3" fillId="13" borderId="11" xfId="0" applyFont="1" applyFill="1" applyBorder="1" applyAlignment="1">
      <alignment horizontal="center" vertical="center"/>
    </xf>
    <xf numFmtId="0" fontId="2" fillId="16" borderId="3" xfId="0" applyFont="1" applyFill="1" applyBorder="1" applyAlignment="1" applyProtection="1">
      <alignment horizontal="centerContinuous" vertical="center" wrapText="1"/>
    </xf>
    <xf numFmtId="0" fontId="8" fillId="14" borderId="1" xfId="0" applyFont="1" applyFill="1" applyBorder="1" applyAlignment="1" applyProtection="1">
      <alignment horizontal="centerContinuous" vertical="center" wrapText="1"/>
      <protection locked="0"/>
    </xf>
    <xf numFmtId="1" fontId="8" fillId="14" borderId="1" xfId="0" applyNumberFormat="1" applyFont="1" applyFill="1" applyBorder="1" applyAlignment="1" applyProtection="1">
      <alignment horizontal="center" vertical="center" wrapText="1"/>
      <protection locked="0"/>
    </xf>
    <xf numFmtId="0" fontId="2" fillId="16" borderId="1" xfId="0" applyFont="1" applyFill="1" applyBorder="1" applyAlignment="1" applyProtection="1">
      <alignment horizontal="centerContinuous" vertical="center" wrapText="1"/>
    </xf>
    <xf numFmtId="0" fontId="2" fillId="16" borderId="1" xfId="0" applyFont="1" applyFill="1" applyBorder="1" applyAlignment="1" applyProtection="1">
      <alignment horizontal="center"/>
      <protection locked="0"/>
    </xf>
    <xf numFmtId="0" fontId="7" fillId="6" borderId="5" xfId="0" applyFont="1" applyFill="1" applyBorder="1" applyAlignment="1" applyProtection="1">
      <alignment horizontal="center" vertical="center"/>
      <protection locked="0"/>
    </xf>
    <xf numFmtId="0" fontId="7" fillId="6" borderId="6" xfId="0" applyFont="1" applyFill="1" applyBorder="1" applyAlignment="1" applyProtection="1">
      <alignment vertical="center"/>
      <protection locked="0"/>
    </xf>
    <xf numFmtId="1" fontId="7" fillId="6" borderId="6" xfId="0" applyNumberFormat="1" applyFont="1" applyFill="1" applyBorder="1" applyAlignment="1" applyProtection="1">
      <alignment horizontal="center" vertical="center"/>
      <protection locked="0"/>
    </xf>
    <xf numFmtId="1" fontId="7" fillId="6" borderId="1" xfId="0" applyNumberFormat="1" applyFont="1" applyFill="1" applyBorder="1" applyAlignment="1" applyProtection="1">
      <alignment horizontal="center" vertical="center" shrinkToFit="1"/>
    </xf>
    <xf numFmtId="1" fontId="7" fillId="6" borderId="1" xfId="0" applyNumberFormat="1" applyFont="1" applyFill="1" applyBorder="1" applyAlignment="1" applyProtection="1">
      <alignment horizontal="center" vertical="center"/>
    </xf>
    <xf numFmtId="1" fontId="7" fillId="6" borderId="1" xfId="0" applyNumberFormat="1" applyFont="1" applyFill="1" applyBorder="1" applyAlignment="1">
      <alignment horizontal="center" vertical="top" shrinkToFit="1"/>
    </xf>
    <xf numFmtId="0" fontId="7" fillId="6" borderId="6" xfId="0" applyFont="1" applyFill="1" applyBorder="1" applyAlignment="1" applyProtection="1">
      <alignment horizontal="left" vertical="center"/>
      <protection locked="0"/>
    </xf>
    <xf numFmtId="9" fontId="8" fillId="6" borderId="6" xfId="5" applyFont="1" applyFill="1" applyBorder="1" applyAlignment="1">
      <alignment horizontal="left"/>
    </xf>
    <xf numFmtId="0" fontId="8" fillId="6" borderId="5" xfId="0" applyFont="1" applyFill="1" applyBorder="1" applyAlignment="1">
      <alignment horizontal="left" vertical="center" wrapText="1"/>
    </xf>
    <xf numFmtId="0" fontId="7" fillId="6" borderId="6" xfId="0" applyFont="1" applyFill="1" applyBorder="1" applyAlignment="1" applyProtection="1">
      <alignment horizontal="left" vertical="center" wrapText="1"/>
    </xf>
    <xf numFmtId="0" fontId="8" fillId="14" borderId="5" xfId="0" applyFont="1" applyFill="1" applyBorder="1" applyAlignment="1" applyProtection="1">
      <alignment horizontal="center" vertical="center"/>
      <protection locked="0"/>
    </xf>
    <xf numFmtId="0" fontId="7" fillId="6" borderId="6" xfId="0" applyFont="1" applyFill="1" applyBorder="1" applyAlignment="1" applyProtection="1">
      <alignment horizontal="center" vertical="center"/>
      <protection locked="0"/>
    </xf>
    <xf numFmtId="9" fontId="8" fillId="6" borderId="5" xfId="5" applyFont="1" applyFill="1" applyBorder="1" applyAlignment="1">
      <alignment horizontal="left"/>
    </xf>
    <xf numFmtId="0" fontId="8" fillId="14" borderId="11" xfId="0" applyFont="1" applyFill="1" applyBorder="1" applyAlignment="1" applyProtection="1">
      <alignment horizontal="centerContinuous" vertical="center" wrapText="1"/>
      <protection locked="0"/>
    </xf>
    <xf numFmtId="0" fontId="0" fillId="13" borderId="9" xfId="0" applyFont="1" applyFill="1" applyBorder="1"/>
    <xf numFmtId="0" fontId="0" fillId="13" borderId="14" xfId="0" applyFont="1" applyFill="1" applyBorder="1"/>
    <xf numFmtId="0" fontId="0" fillId="14" borderId="1" xfId="0" applyFont="1" applyFill="1" applyBorder="1"/>
    <xf numFmtId="0" fontId="0" fillId="16" borderId="1" xfId="0" applyFont="1" applyFill="1" applyBorder="1"/>
    <xf numFmtId="0" fontId="8" fillId="6" borderId="5" xfId="0" applyFont="1" applyFill="1" applyBorder="1" applyAlignment="1" applyProtection="1">
      <alignment horizontal="left" vertical="center" wrapText="1"/>
    </xf>
    <xf numFmtId="0" fontId="7" fillId="6" borderId="12" xfId="0" applyFont="1" applyFill="1" applyBorder="1" applyAlignment="1">
      <alignment horizontal="center" vertical="center" wrapText="1"/>
    </xf>
    <xf numFmtId="0" fontId="7" fillId="6" borderId="4" xfId="0" applyFont="1" applyFill="1" applyBorder="1" applyAlignment="1">
      <alignment vertical="center" wrapText="1"/>
    </xf>
    <xf numFmtId="1" fontId="7" fillId="6" borderId="1" xfId="0" applyNumberFormat="1" applyFont="1" applyFill="1" applyBorder="1" applyAlignment="1">
      <alignment horizontal="center" vertical="center" shrinkToFit="1"/>
    </xf>
    <xf numFmtId="0" fontId="8" fillId="6" borderId="6" xfId="0" applyFont="1" applyFill="1" applyBorder="1" applyAlignment="1" applyProtection="1">
      <alignment horizontal="left" vertical="center" wrapText="1"/>
    </xf>
    <xf numFmtId="0" fontId="7" fillId="6" borderId="13" xfId="0" applyFont="1" applyFill="1" applyBorder="1" applyAlignment="1">
      <alignment horizontal="center" vertical="center" wrapText="1"/>
    </xf>
    <xf numFmtId="0" fontId="8" fillId="6" borderId="5" xfId="0" applyFont="1" applyFill="1" applyBorder="1" applyAlignment="1" applyProtection="1">
      <alignment horizontal="left" vertical="center" wrapText="1"/>
      <protection locked="0"/>
    </xf>
    <xf numFmtId="1" fontId="7" fillId="6" borderId="5" xfId="0" applyNumberFormat="1" applyFont="1" applyFill="1" applyBorder="1" applyAlignment="1">
      <alignment horizontal="center" vertical="center" wrapText="1"/>
    </xf>
    <xf numFmtId="0" fontId="7" fillId="6" borderId="1" xfId="0" applyFont="1" applyFill="1" applyBorder="1" applyAlignment="1">
      <alignment vertical="center" wrapText="1"/>
    </xf>
    <xf numFmtId="0" fontId="8" fillId="6" borderId="8" xfId="0" applyFont="1" applyFill="1" applyBorder="1" applyAlignment="1" applyProtection="1">
      <alignment horizontal="left" vertical="center" wrapText="1"/>
      <protection locked="0"/>
    </xf>
    <xf numFmtId="0" fontId="7" fillId="6" borderId="8" xfId="0" applyFont="1" applyFill="1" applyBorder="1" applyAlignment="1">
      <alignment horizontal="center" vertical="center" wrapText="1"/>
    </xf>
    <xf numFmtId="0" fontId="8" fillId="6" borderId="6" xfId="0" applyFont="1" applyFill="1" applyBorder="1" applyAlignment="1" applyProtection="1">
      <alignment horizontal="left" vertical="center" wrapText="1"/>
      <protection locked="0"/>
    </xf>
    <xf numFmtId="0" fontId="7" fillId="6" borderId="6" xfId="0" applyFont="1" applyFill="1" applyBorder="1" applyAlignment="1">
      <alignment horizontal="center" vertical="center" wrapText="1"/>
    </xf>
    <xf numFmtId="0" fontId="8" fillId="6" borderId="5" xfId="0" applyFont="1" applyFill="1" applyBorder="1" applyAlignment="1" applyProtection="1">
      <alignment horizontal="left" vertical="center"/>
      <protection locked="0"/>
    </xf>
    <xf numFmtId="0" fontId="8" fillId="6" borderId="6" xfId="0" applyFont="1" applyFill="1" applyBorder="1" applyAlignment="1" applyProtection="1">
      <alignment horizontal="left" vertical="center"/>
      <protection locked="0"/>
    </xf>
    <xf numFmtId="0" fontId="8" fillId="6" borderId="7" xfId="0" applyFont="1" applyFill="1" applyBorder="1" applyAlignment="1" applyProtection="1">
      <alignment horizontal="left" vertical="center" wrapText="1"/>
    </xf>
    <xf numFmtId="0" fontId="8" fillId="6" borderId="9" xfId="0" applyFont="1" applyFill="1" applyBorder="1" applyAlignment="1" applyProtection="1">
      <alignment horizontal="left" vertical="center" wrapText="1"/>
    </xf>
    <xf numFmtId="0" fontId="7" fillId="6" borderId="6" xfId="0" applyFont="1" applyFill="1" applyBorder="1" applyAlignment="1" applyProtection="1">
      <alignment horizontal="center" vertical="center" wrapText="1"/>
    </xf>
    <xf numFmtId="0" fontId="8" fillId="6" borderId="5" xfId="0" applyFont="1" applyFill="1" applyBorder="1" applyAlignment="1">
      <alignment horizontal="left" wrapText="1"/>
    </xf>
    <xf numFmtId="0" fontId="8" fillId="6" borderId="6" xfId="0" applyFont="1" applyFill="1" applyBorder="1" applyAlignment="1">
      <alignment horizontal="left" wrapText="1"/>
    </xf>
    <xf numFmtId="0" fontId="8" fillId="6" borderId="8" xfId="0" applyFont="1" applyFill="1" applyBorder="1" applyAlignment="1" applyProtection="1">
      <alignment horizontal="left" vertical="center" wrapText="1"/>
    </xf>
    <xf numFmtId="0" fontId="7" fillId="6" borderId="1" xfId="0" applyFont="1" applyFill="1" applyBorder="1" applyAlignment="1">
      <alignment horizontal="center" vertical="center" wrapText="1"/>
    </xf>
    <xf numFmtId="0" fontId="7" fillId="8" borderId="1" xfId="0" applyFont="1" applyFill="1" applyBorder="1" applyAlignment="1">
      <alignment horizontal="center" vertical="center" textRotation="90" wrapText="1"/>
    </xf>
    <xf numFmtId="0" fontId="13" fillId="8" borderId="1" xfId="0" applyFont="1" applyFill="1" applyBorder="1" applyAlignment="1">
      <alignment vertical="center" textRotation="90" wrapText="1"/>
    </xf>
    <xf numFmtId="0" fontId="8" fillId="17" borderId="1" xfId="0" applyFont="1" applyFill="1" applyBorder="1" applyAlignment="1">
      <alignment vertical="center"/>
    </xf>
    <xf numFmtId="0" fontId="8" fillId="6" borderId="0" xfId="0" applyFont="1" applyFill="1" applyBorder="1" applyAlignment="1" applyProtection="1">
      <alignment vertical="center"/>
    </xf>
    <xf numFmtId="0" fontId="5" fillId="6" borderId="0" xfId="0" applyFont="1" applyFill="1"/>
    <xf numFmtId="0" fontId="9" fillId="9" borderId="0" xfId="0" applyFont="1" applyFill="1" applyAlignment="1">
      <alignment horizontal="centerContinuous" vertical="center"/>
    </xf>
    <xf numFmtId="0" fontId="5" fillId="9" borderId="0" xfId="0" applyFont="1" applyFill="1" applyAlignment="1">
      <alignment horizontal="centerContinuous"/>
    </xf>
    <xf numFmtId="0" fontId="5" fillId="6" borderId="0" xfId="0" applyFont="1" applyFill="1" applyAlignment="1">
      <alignment horizontal="centerContinuous"/>
    </xf>
    <xf numFmtId="0" fontId="5" fillId="6" borderId="0" xfId="0" applyFont="1" applyFill="1" applyAlignment="1">
      <alignment vertical="top"/>
    </xf>
    <xf numFmtId="0" fontId="14" fillId="7" borderId="2" xfId="0" applyFont="1" applyFill="1" applyBorder="1" applyAlignment="1">
      <alignment vertical="top"/>
    </xf>
    <xf numFmtId="0" fontId="6" fillId="6" borderId="0" xfId="0" applyFont="1" applyFill="1" applyBorder="1" applyAlignment="1">
      <alignment horizontal="center" vertical="top"/>
    </xf>
    <xf numFmtId="0" fontId="14" fillId="7" borderId="2" xfId="0" applyFont="1" applyFill="1" applyBorder="1" applyAlignment="1">
      <alignment vertical="top" wrapText="1"/>
    </xf>
    <xf numFmtId="0" fontId="6" fillId="6" borderId="0" xfId="0" applyFont="1" applyFill="1" applyBorder="1" applyAlignment="1">
      <alignment horizontal="center" vertical="center"/>
    </xf>
    <xf numFmtId="0" fontId="14" fillId="6" borderId="0" xfId="0" applyFont="1" applyFill="1" applyBorder="1" applyAlignment="1">
      <alignment horizontal="center" vertical="top"/>
    </xf>
    <xf numFmtId="0" fontId="14" fillId="7" borderId="1" xfId="0" applyFont="1" applyFill="1" applyBorder="1" applyAlignment="1">
      <alignment horizontal="center" vertical="top"/>
    </xf>
    <xf numFmtId="0" fontId="6" fillId="6" borderId="1" xfId="0" applyFont="1" applyFill="1" applyBorder="1" applyAlignment="1">
      <alignment horizontal="center" vertical="center" wrapText="1"/>
    </xf>
    <xf numFmtId="0" fontId="6" fillId="6" borderId="0" xfId="0" applyFont="1" applyFill="1" applyBorder="1" applyAlignment="1">
      <alignment horizontal="center" vertical="center" wrapText="1"/>
    </xf>
    <xf numFmtId="0" fontId="14" fillId="6" borderId="0" xfId="0" applyFont="1" applyFill="1" applyBorder="1" applyAlignment="1">
      <alignment horizontal="left" vertical="top"/>
    </xf>
    <xf numFmtId="0" fontId="12" fillId="6" borderId="0" xfId="0" applyFont="1" applyFill="1" applyBorder="1" applyAlignment="1">
      <alignment horizontal="left" vertical="top"/>
    </xf>
    <xf numFmtId="0" fontId="6" fillId="6" borderId="0" xfId="0" applyFont="1" applyFill="1" applyBorder="1" applyAlignment="1">
      <alignment horizontal="left" vertical="top"/>
    </xf>
    <xf numFmtId="0" fontId="15" fillId="6" borderId="0" xfId="0" applyFont="1" applyFill="1" applyBorder="1" applyAlignment="1">
      <alignment horizontal="left" vertical="top"/>
    </xf>
    <xf numFmtId="0" fontId="5" fillId="6" borderId="0" xfId="0" applyFont="1" applyFill="1" applyBorder="1" applyAlignment="1">
      <alignment horizontal="left" vertical="top" wrapText="1"/>
    </xf>
    <xf numFmtId="0" fontId="5" fillId="6" borderId="0" xfId="0" applyFont="1" applyFill="1" applyBorder="1" applyAlignment="1">
      <alignment horizontal="left" vertical="top"/>
    </xf>
    <xf numFmtId="0" fontId="6" fillId="6" borderId="1" xfId="0" applyFont="1" applyFill="1" applyBorder="1" applyAlignment="1">
      <alignment vertical="top"/>
    </xf>
    <xf numFmtId="0" fontId="14" fillId="7" borderId="1" xfId="0" applyFont="1" applyFill="1" applyBorder="1" applyAlignment="1">
      <alignment vertical="top"/>
    </xf>
    <xf numFmtId="0" fontId="12" fillId="6" borderId="1" xfId="0" applyFont="1" applyFill="1" applyBorder="1" applyAlignment="1">
      <alignment vertical="top"/>
    </xf>
    <xf numFmtId="0" fontId="5" fillId="6" borderId="0" xfId="0" applyFont="1" applyFill="1" applyBorder="1" applyAlignment="1">
      <alignment horizontal="center" vertical="top"/>
    </xf>
    <xf numFmtId="0" fontId="5" fillId="6" borderId="1" xfId="0" applyFont="1" applyFill="1" applyBorder="1" applyAlignment="1">
      <alignment vertical="top"/>
    </xf>
    <xf numFmtId="0" fontId="16" fillId="6" borderId="0" xfId="0" applyFont="1" applyFill="1" applyBorder="1" applyAlignment="1">
      <alignment horizontal="left" vertical="top"/>
    </xf>
    <xf numFmtId="0" fontId="12" fillId="6" borderId="0" xfId="0" applyFont="1" applyFill="1" applyBorder="1" applyAlignment="1">
      <alignment horizontal="left"/>
    </xf>
    <xf numFmtId="0" fontId="12" fillId="6" borderId="0" xfId="0" applyFont="1" applyFill="1" applyBorder="1" applyAlignment="1">
      <alignment horizontal="left" vertical="center"/>
    </xf>
    <xf numFmtId="0" fontId="6" fillId="6" borderId="1" xfId="0" applyFont="1" applyFill="1" applyBorder="1" applyAlignment="1">
      <alignment vertical="top" wrapText="1"/>
    </xf>
    <xf numFmtId="0" fontId="12" fillId="6" borderId="1" xfId="0" applyFont="1" applyFill="1" applyBorder="1" applyAlignment="1">
      <alignment horizontal="center" vertical="center"/>
    </xf>
    <xf numFmtId="0" fontId="12" fillId="6" borderId="0" xfId="0" applyFont="1" applyFill="1" applyBorder="1" applyAlignment="1">
      <alignment horizontal="center" vertical="center"/>
    </xf>
    <xf numFmtId="0" fontId="12" fillId="6" borderId="0" xfId="0" applyFont="1" applyFill="1" applyBorder="1" applyAlignment="1">
      <alignment horizontal="center" vertical="top"/>
    </xf>
    <xf numFmtId="0" fontId="20" fillId="0" borderId="0" xfId="0" applyFont="1" applyAlignment="1">
      <alignment wrapText="1"/>
    </xf>
    <xf numFmtId="0" fontId="14" fillId="7" borderId="2" xfId="0" applyFont="1" applyFill="1" applyBorder="1" applyAlignment="1">
      <alignment horizontal="left" vertical="top"/>
    </xf>
    <xf numFmtId="0" fontId="14" fillId="7" borderId="3" xfId="0" applyFont="1" applyFill="1" applyBorder="1" applyAlignment="1">
      <alignment horizontal="left" vertical="top"/>
    </xf>
    <xf numFmtId="0" fontId="14" fillId="7" borderId="4" xfId="0" applyFont="1" applyFill="1" applyBorder="1" applyAlignment="1">
      <alignment horizontal="left" vertical="top"/>
    </xf>
    <xf numFmtId="0" fontId="6" fillId="6" borderId="2" xfId="0" applyFont="1" applyFill="1" applyBorder="1" applyAlignment="1">
      <alignment horizontal="left" vertical="top" wrapText="1"/>
    </xf>
    <xf numFmtId="0" fontId="6" fillId="6" borderId="1" xfId="0" applyFont="1" applyFill="1" applyBorder="1" applyAlignment="1">
      <alignment horizontal="left" vertical="top"/>
    </xf>
    <xf numFmtId="0" fontId="6" fillId="6" borderId="3" xfId="0" applyFont="1" applyFill="1" applyBorder="1" applyAlignment="1">
      <alignment horizontal="left" vertical="top"/>
    </xf>
    <xf numFmtId="0" fontId="6" fillId="6" borderId="4" xfId="0" applyFont="1" applyFill="1" applyBorder="1" applyAlignment="1">
      <alignment horizontal="left" vertical="top"/>
    </xf>
    <xf numFmtId="0" fontId="6" fillId="6" borderId="1" xfId="0" applyFont="1" applyFill="1" applyBorder="1" applyAlignment="1">
      <alignment horizontal="left" vertical="top"/>
    </xf>
    <xf numFmtId="0" fontId="6" fillId="6" borderId="2" xfId="0" applyFont="1" applyFill="1" applyBorder="1" applyAlignment="1">
      <alignment horizontal="left" vertical="top"/>
    </xf>
    <xf numFmtId="0" fontId="5" fillId="6" borderId="3" xfId="0" applyFont="1" applyFill="1" applyBorder="1" applyAlignment="1">
      <alignment horizontal="left" vertical="top"/>
    </xf>
    <xf numFmtId="0" fontId="5" fillId="6" borderId="4" xfId="0" applyFont="1" applyFill="1" applyBorder="1" applyAlignment="1">
      <alignment horizontal="left" vertical="top"/>
    </xf>
    <xf numFmtId="0" fontId="22" fillId="19" borderId="1" xfId="0" applyFont="1" applyFill="1" applyBorder="1" applyAlignment="1">
      <alignment vertical="center"/>
    </xf>
    <xf numFmtId="0" fontId="2" fillId="11" borderId="1" xfId="0" applyFont="1" applyFill="1" applyBorder="1" applyAlignment="1" applyProtection="1">
      <alignment horizontal="center" vertical="center" wrapText="1"/>
      <protection locked="0"/>
    </xf>
    <xf numFmtId="0" fontId="2" fillId="15" borderId="1" xfId="0" applyFont="1" applyFill="1" applyBorder="1" applyAlignment="1" applyProtection="1">
      <alignment horizontal="center" vertical="center" wrapText="1"/>
      <protection locked="0"/>
    </xf>
    <xf numFmtId="0" fontId="7" fillId="7" borderId="2" xfId="0" applyFont="1" applyFill="1" applyBorder="1" applyAlignment="1" applyProtection="1">
      <alignment horizontal="center" vertical="center"/>
    </xf>
    <xf numFmtId="1" fontId="7" fillId="7" borderId="2" xfId="0" applyNumberFormat="1" applyFont="1" applyFill="1" applyBorder="1" applyAlignment="1" applyProtection="1">
      <alignment horizontal="center" vertical="center" shrinkToFit="1"/>
    </xf>
    <xf numFmtId="0" fontId="8" fillId="14" borderId="2" xfId="0" applyFont="1" applyFill="1" applyBorder="1" applyAlignment="1" applyProtection="1">
      <alignment horizontal="center" vertical="center"/>
      <protection locked="0"/>
    </xf>
    <xf numFmtId="0" fontId="0" fillId="14" borderId="1" xfId="0" applyFill="1" applyBorder="1"/>
    <xf numFmtId="0" fontId="7" fillId="6" borderId="18" xfId="0" applyFont="1" applyFill="1" applyBorder="1" applyAlignment="1" applyProtection="1">
      <alignment vertical="center" wrapText="1"/>
    </xf>
    <xf numFmtId="1" fontId="7" fillId="7" borderId="2" xfId="0" applyNumberFormat="1" applyFont="1" applyFill="1" applyBorder="1" applyAlignment="1" applyProtection="1">
      <alignment horizontal="center" vertical="center"/>
    </xf>
    <xf numFmtId="0" fontId="7" fillId="7" borderId="2" xfId="0" applyFont="1" applyFill="1" applyBorder="1" applyAlignment="1" applyProtection="1">
      <alignment horizontal="center" vertical="center"/>
      <protection locked="0"/>
    </xf>
    <xf numFmtId="1" fontId="8" fillId="14" borderId="2" xfId="0" applyNumberFormat="1" applyFont="1" applyFill="1" applyBorder="1" applyAlignment="1" applyProtection="1">
      <alignment horizontal="center" vertical="center" wrapText="1"/>
      <protection locked="0"/>
    </xf>
    <xf numFmtId="0" fontId="0" fillId="13" borderId="0" xfId="0" applyFill="1"/>
    <xf numFmtId="0" fontId="8" fillId="6" borderId="12" xfId="0" applyFont="1" applyFill="1" applyBorder="1" applyAlignment="1" applyProtection="1">
      <alignment vertical="center"/>
      <protection locked="0"/>
    </xf>
    <xf numFmtId="0" fontId="8" fillId="6" borderId="5" xfId="0" applyFont="1" applyFill="1" applyBorder="1" applyAlignment="1" applyProtection="1">
      <alignment vertical="center" wrapText="1"/>
    </xf>
    <xf numFmtId="0" fontId="8" fillId="6" borderId="6" xfId="0" applyFont="1" applyFill="1" applyBorder="1" applyAlignment="1" applyProtection="1">
      <alignment vertical="center" wrapText="1"/>
    </xf>
    <xf numFmtId="0" fontId="7" fillId="7" borderId="5" xfId="0" applyFont="1" applyFill="1" applyBorder="1" applyAlignment="1" applyProtection="1">
      <alignment horizontal="center" vertical="center"/>
      <protection locked="0"/>
    </xf>
    <xf numFmtId="0" fontId="7" fillId="6" borderId="13" xfId="0" applyFont="1" applyFill="1" applyBorder="1" applyAlignment="1" applyProtection="1">
      <alignment vertical="center"/>
      <protection locked="0"/>
    </xf>
    <xf numFmtId="0" fontId="7" fillId="7" borderId="6" xfId="0" applyFont="1" applyFill="1" applyBorder="1" applyAlignment="1" applyProtection="1">
      <alignment horizontal="center" vertical="center"/>
      <protection locked="0"/>
    </xf>
    <xf numFmtId="0" fontId="8" fillId="6" borderId="12" xfId="0" applyFont="1" applyFill="1" applyBorder="1" applyAlignment="1" applyProtection="1">
      <alignment vertical="center" wrapText="1"/>
    </xf>
    <xf numFmtId="0" fontId="6" fillId="6" borderId="0" xfId="0" applyFont="1" applyFill="1" applyAlignment="1">
      <alignment vertical="top"/>
    </xf>
    <xf numFmtId="0" fontId="6" fillId="6" borderId="1" xfId="0" applyFont="1" applyFill="1" applyBorder="1" applyAlignment="1">
      <alignment horizontal="left" vertical="top" wrapText="1"/>
    </xf>
    <xf numFmtId="0" fontId="5" fillId="6" borderId="0" xfId="0" applyFont="1" applyFill="1" applyAlignment="1">
      <alignment wrapText="1"/>
    </xf>
    <xf numFmtId="0" fontId="9" fillId="9" borderId="0" xfId="0" applyFont="1" applyFill="1" applyAlignment="1">
      <alignment horizontal="centerContinuous" vertical="center" wrapText="1"/>
    </xf>
    <xf numFmtId="0" fontId="5" fillId="9" borderId="0" xfId="0" applyFont="1" applyFill="1" applyAlignment="1">
      <alignment horizontal="centerContinuous" wrapText="1"/>
    </xf>
    <xf numFmtId="0" fontId="5" fillId="6" borderId="0" xfId="0" applyFont="1" applyFill="1" applyAlignment="1">
      <alignment horizontal="centerContinuous" wrapText="1"/>
    </xf>
    <xf numFmtId="0" fontId="5" fillId="6" borderId="0" xfId="0" applyFont="1" applyFill="1" applyAlignment="1">
      <alignment vertical="top" wrapText="1"/>
    </xf>
    <xf numFmtId="0" fontId="6" fillId="6" borderId="0" xfId="0" applyFont="1" applyFill="1" applyBorder="1" applyAlignment="1">
      <alignment horizontal="center" vertical="top" wrapText="1"/>
    </xf>
    <xf numFmtId="0" fontId="14" fillId="6" borderId="0" xfId="0" applyFont="1" applyFill="1" applyBorder="1" applyAlignment="1">
      <alignment horizontal="center" vertical="top" wrapText="1"/>
    </xf>
    <xf numFmtId="0" fontId="14" fillId="7" borderId="1" xfId="0" applyFont="1" applyFill="1" applyBorder="1" applyAlignment="1">
      <alignment horizontal="center" vertical="top" wrapText="1"/>
    </xf>
    <xf numFmtId="0" fontId="14" fillId="6" borderId="0" xfId="0" applyFont="1" applyFill="1" applyBorder="1" applyAlignment="1">
      <alignment horizontal="left" vertical="top" wrapText="1"/>
    </xf>
    <xf numFmtId="0" fontId="12" fillId="6" borderId="0" xfId="0" applyFont="1" applyFill="1" applyBorder="1" applyAlignment="1">
      <alignment horizontal="left" vertical="top" wrapText="1"/>
    </xf>
    <xf numFmtId="0" fontId="6" fillId="6" borderId="2" xfId="0" applyFont="1" applyFill="1" applyBorder="1" applyAlignment="1">
      <alignment vertical="top" wrapText="1"/>
    </xf>
    <xf numFmtId="0" fontId="6" fillId="6" borderId="0" xfId="0" applyFont="1" applyFill="1" applyBorder="1" applyAlignment="1">
      <alignment horizontal="left" vertical="top" wrapText="1"/>
    </xf>
    <xf numFmtId="0" fontId="12" fillId="6" borderId="3" xfId="0" applyFont="1" applyFill="1" applyBorder="1" applyAlignment="1">
      <alignment horizontal="left" vertical="top" wrapText="1"/>
    </xf>
    <xf numFmtId="0" fontId="12" fillId="6" borderId="4" xfId="0" applyFont="1" applyFill="1" applyBorder="1" applyAlignment="1">
      <alignment horizontal="left" vertical="top" wrapText="1"/>
    </xf>
    <xf numFmtId="0" fontId="6" fillId="6" borderId="1" xfId="0" applyFont="1" applyFill="1" applyBorder="1" applyAlignment="1">
      <alignment horizontal="left" vertical="center" wrapText="1"/>
    </xf>
    <xf numFmtId="0" fontId="15" fillId="6" borderId="0" xfId="0" applyFont="1" applyFill="1" applyBorder="1" applyAlignment="1">
      <alignment horizontal="left" vertical="top" wrapText="1"/>
    </xf>
    <xf numFmtId="0" fontId="14" fillId="7" borderId="1" xfId="0" applyFont="1" applyFill="1" applyBorder="1" applyAlignment="1">
      <alignment vertical="top" wrapText="1"/>
    </xf>
    <xf numFmtId="0" fontId="5" fillId="6" borderId="0" xfId="0" applyFont="1" applyFill="1" applyBorder="1" applyAlignment="1">
      <alignment horizontal="center" vertical="top" wrapText="1"/>
    </xf>
    <xf numFmtId="0" fontId="6" fillId="6" borderId="0" xfId="0" applyFont="1" applyFill="1" applyBorder="1" applyAlignment="1">
      <alignment horizontal="left" vertical="top" wrapText="1"/>
    </xf>
    <xf numFmtId="0" fontId="8" fillId="13" borderId="1" xfId="0" applyFont="1" applyFill="1" applyBorder="1" applyAlignment="1">
      <alignment horizontal="center" vertical="center"/>
    </xf>
    <xf numFmtId="0" fontId="3" fillId="17" borderId="1" xfId="0" applyFont="1" applyFill="1" applyBorder="1" applyAlignment="1">
      <alignment horizontal="center" vertical="center"/>
    </xf>
    <xf numFmtId="0" fontId="8" fillId="13" borderId="14" xfId="0" applyFont="1" applyFill="1" applyBorder="1" applyAlignment="1"/>
    <xf numFmtId="0" fontId="8" fillId="6" borderId="0" xfId="0" applyFont="1" applyFill="1" applyBorder="1" applyAlignment="1"/>
    <xf numFmtId="0" fontId="5" fillId="6" borderId="0" xfId="0" applyFont="1" applyFill="1" applyBorder="1" applyAlignment="1">
      <alignment vertical="top"/>
    </xf>
    <xf numFmtId="0" fontId="5" fillId="6" borderId="1" xfId="0" applyFont="1" applyFill="1" applyBorder="1" applyAlignment="1">
      <alignment horizontal="left" vertical="top"/>
    </xf>
    <xf numFmtId="0" fontId="5" fillId="6" borderId="2" xfId="0" applyFont="1" applyFill="1" applyBorder="1" applyAlignment="1">
      <alignment vertical="top" wrapText="1"/>
    </xf>
    <xf numFmtId="0" fontId="5" fillId="6" borderId="1" xfId="0" applyFont="1" applyFill="1" applyBorder="1" applyAlignment="1">
      <alignment vertical="top" wrapText="1"/>
    </xf>
    <xf numFmtId="0" fontId="5" fillId="6" borderId="1" xfId="0" applyFont="1" applyFill="1" applyBorder="1" applyAlignment="1">
      <alignment horizontal="left" vertical="top" wrapText="1"/>
    </xf>
    <xf numFmtId="0" fontId="14" fillId="6" borderId="0" xfId="0" applyFont="1" applyFill="1" applyAlignment="1">
      <alignment vertical="top"/>
    </xf>
    <xf numFmtId="0" fontId="14" fillId="7" borderId="15" xfId="0" applyFont="1" applyFill="1" applyBorder="1" applyAlignment="1">
      <alignment vertical="top"/>
    </xf>
    <xf numFmtId="0" fontId="14" fillId="7" borderId="15" xfId="0" applyFont="1" applyFill="1" applyBorder="1" applyAlignment="1">
      <alignment vertical="top" wrapText="1"/>
    </xf>
    <xf numFmtId="0" fontId="6" fillId="6" borderId="0" xfId="0" applyFont="1" applyFill="1"/>
    <xf numFmtId="0" fontId="6" fillId="9" borderId="0" xfId="0" applyFont="1" applyFill="1" applyAlignment="1">
      <alignment horizontal="centerContinuous"/>
    </xf>
    <xf numFmtId="0" fontId="10" fillId="7" borderId="15" xfId="0" applyFont="1" applyFill="1" applyBorder="1" applyAlignment="1">
      <alignment vertical="top"/>
    </xf>
    <xf numFmtId="0" fontId="10" fillId="7" borderId="15" xfId="0" applyFont="1" applyFill="1" applyBorder="1" applyAlignment="1">
      <alignment vertical="top" wrapText="1"/>
    </xf>
    <xf numFmtId="0" fontId="10" fillId="6" borderId="0" xfId="0" applyFont="1" applyFill="1" applyAlignment="1">
      <alignment vertical="top"/>
    </xf>
    <xf numFmtId="0" fontId="10" fillId="7" borderId="1" xfId="0" applyFont="1" applyFill="1" applyBorder="1" applyAlignment="1">
      <alignment horizontal="center" vertical="top"/>
    </xf>
    <xf numFmtId="0" fontId="10" fillId="7" borderId="1" xfId="0" applyFont="1" applyFill="1" applyBorder="1" applyAlignment="1">
      <alignment vertical="top"/>
    </xf>
    <xf numFmtId="0" fontId="6" fillId="6" borderId="0" xfId="0" applyFont="1" applyFill="1" applyBorder="1" applyAlignment="1">
      <alignment vertical="top"/>
    </xf>
    <xf numFmtId="0" fontId="28" fillId="0" borderId="0" xfId="6"/>
    <xf numFmtId="0" fontId="29" fillId="20" borderId="0" xfId="6" applyFont="1" applyFill="1"/>
    <xf numFmtId="0" fontId="29" fillId="20" borderId="0" xfId="6" applyFont="1" applyFill="1" applyAlignment="1">
      <alignment vertical="top"/>
    </xf>
    <xf numFmtId="0" fontId="31" fillId="22" borderId="20" xfId="6" applyFont="1" applyFill="1" applyBorder="1" applyAlignment="1">
      <alignment vertical="top"/>
    </xf>
    <xf numFmtId="0" fontId="31" fillId="22" borderId="20" xfId="6" applyFont="1" applyFill="1" applyBorder="1" applyAlignment="1">
      <alignment vertical="top" wrapText="1"/>
    </xf>
    <xf numFmtId="0" fontId="24" fillId="20" borderId="0" xfId="6" applyFont="1" applyFill="1" applyAlignment="1">
      <alignment vertical="top"/>
    </xf>
    <xf numFmtId="0" fontId="23" fillId="22" borderId="20" xfId="6" applyFont="1" applyFill="1" applyBorder="1" applyAlignment="1">
      <alignment vertical="top"/>
    </xf>
    <xf numFmtId="0" fontId="23" fillId="22" borderId="20" xfId="6" applyFont="1" applyFill="1" applyBorder="1" applyAlignment="1">
      <alignment vertical="top" wrapText="1"/>
    </xf>
    <xf numFmtId="0" fontId="22" fillId="6" borderId="0" xfId="6" applyFont="1" applyFill="1"/>
    <xf numFmtId="14" fontId="24" fillId="23" borderId="0" xfId="6" applyNumberFormat="1" applyFont="1" applyFill="1" applyBorder="1" applyAlignment="1">
      <alignment horizontal="center" vertical="top"/>
    </xf>
    <xf numFmtId="0" fontId="24" fillId="23" borderId="0" xfId="6" applyFont="1" applyFill="1" applyBorder="1" applyAlignment="1">
      <alignment horizontal="center" vertical="top" wrapText="1"/>
    </xf>
    <xf numFmtId="0" fontId="23" fillId="22" borderId="1" xfId="6" applyFont="1" applyFill="1" applyBorder="1" applyAlignment="1">
      <alignment horizontal="center" vertical="top"/>
    </xf>
    <xf numFmtId="0" fontId="24" fillId="20" borderId="1" xfId="6" applyFont="1" applyFill="1" applyBorder="1" applyAlignment="1">
      <alignment horizontal="left" vertical="top" wrapText="1"/>
    </xf>
    <xf numFmtId="0" fontId="24" fillId="20" borderId="1" xfId="6" applyFont="1" applyFill="1" applyBorder="1" applyAlignment="1">
      <alignment horizontal="left" vertical="top"/>
    </xf>
    <xf numFmtId="0" fontId="24" fillId="20" borderId="0" xfId="6" applyFont="1" applyFill="1" applyBorder="1" applyAlignment="1">
      <alignment horizontal="left" vertical="top" wrapText="1"/>
    </xf>
    <xf numFmtId="0" fontId="23" fillId="22" borderId="1" xfId="6" applyFont="1" applyFill="1" applyBorder="1" applyAlignment="1">
      <alignment vertical="top"/>
    </xf>
    <xf numFmtId="0" fontId="24" fillId="20" borderId="1" xfId="6" applyFont="1" applyFill="1" applyBorder="1" applyAlignment="1">
      <alignment vertical="top" wrapText="1"/>
    </xf>
    <xf numFmtId="0" fontId="24" fillId="20" borderId="2" xfId="6" applyFont="1" applyFill="1" applyBorder="1" applyAlignment="1">
      <alignment vertical="top" wrapText="1"/>
    </xf>
    <xf numFmtId="0" fontId="24" fillId="20" borderId="3" xfId="6" applyFont="1" applyFill="1" applyBorder="1" applyAlignment="1">
      <alignment horizontal="left" vertical="top"/>
    </xf>
    <xf numFmtId="0" fontId="24" fillId="20" borderId="4" xfId="6" applyFont="1" applyFill="1" applyBorder="1" applyAlignment="1">
      <alignment horizontal="left" vertical="top"/>
    </xf>
    <xf numFmtId="0" fontId="24" fillId="20" borderId="5" xfId="6" applyFont="1" applyFill="1" applyBorder="1" applyAlignment="1">
      <alignment horizontal="left" vertical="top" wrapText="1"/>
    </xf>
    <xf numFmtId="0" fontId="24" fillId="20" borderId="0" xfId="6" applyFont="1" applyFill="1" applyBorder="1" applyAlignment="1">
      <alignment horizontal="left" vertical="top"/>
    </xf>
    <xf numFmtId="0" fontId="22" fillId="0" borderId="0" xfId="6" applyFont="1"/>
    <xf numFmtId="0" fontId="24" fillId="20" borderId="1" xfId="6" applyFont="1" applyFill="1" applyBorder="1" applyAlignment="1">
      <alignment vertical="top"/>
    </xf>
    <xf numFmtId="0" fontId="24" fillId="20" borderId="0" xfId="6" applyFont="1" applyFill="1"/>
    <xf numFmtId="0" fontId="5" fillId="6" borderId="1" xfId="0" applyFont="1" applyFill="1" applyBorder="1" applyAlignment="1">
      <alignment horizontal="center" vertical="center"/>
    </xf>
    <xf numFmtId="0" fontId="5" fillId="6" borderId="1" xfId="0" applyFont="1" applyFill="1" applyBorder="1" applyAlignment="1">
      <alignment horizontal="left" vertical="center"/>
    </xf>
    <xf numFmtId="49" fontId="14" fillId="6" borderId="0" xfId="0" applyNumberFormat="1" applyFont="1" applyFill="1" applyBorder="1" applyAlignment="1">
      <alignment horizontal="left" vertical="top" wrapText="1"/>
    </xf>
    <xf numFmtId="49" fontId="5" fillId="6" borderId="0" xfId="0" applyNumberFormat="1" applyFont="1" applyFill="1" applyBorder="1" applyAlignment="1">
      <alignment horizontal="left" vertical="top" wrapText="1"/>
    </xf>
    <xf numFmtId="0" fontId="5" fillId="6" borderId="1" xfId="0" applyFont="1" applyFill="1" applyBorder="1" applyAlignment="1">
      <alignment vertical="center"/>
    </xf>
    <xf numFmtId="0" fontId="28" fillId="20" borderId="0" xfId="6" applyFill="1"/>
    <xf numFmtId="0" fontId="28" fillId="20" borderId="0" xfId="6" applyFont="1" applyFill="1" applyBorder="1"/>
    <xf numFmtId="0" fontId="29" fillId="20" borderId="0" xfId="6" applyFont="1" applyFill="1" applyBorder="1" applyAlignment="1">
      <alignment horizontal="center" vertical="top"/>
    </xf>
    <xf numFmtId="14" fontId="29" fillId="20" borderId="0" xfId="6" applyNumberFormat="1" applyFont="1" applyFill="1" applyBorder="1" applyAlignment="1">
      <alignment horizontal="center" vertical="top"/>
    </xf>
    <xf numFmtId="0" fontId="31" fillId="22" borderId="1" xfId="6" applyFont="1" applyFill="1" applyBorder="1" applyAlignment="1">
      <alignment horizontal="center" vertical="top"/>
    </xf>
    <xf numFmtId="0" fontId="29" fillId="20" borderId="1" xfId="6" applyFont="1" applyFill="1" applyBorder="1" applyAlignment="1">
      <alignment horizontal="left" vertical="center" wrapText="1"/>
    </xf>
    <xf numFmtId="0" fontId="29" fillId="20" borderId="1" xfId="6" applyFont="1" applyFill="1" applyBorder="1" applyAlignment="1">
      <alignment horizontal="left" vertical="center"/>
    </xf>
    <xf numFmtId="0" fontId="29" fillId="20" borderId="1" xfId="6" applyFont="1" applyFill="1" applyBorder="1" applyAlignment="1">
      <alignment horizontal="left" vertical="top" wrapText="1"/>
    </xf>
    <xf numFmtId="0" fontId="29" fillId="20" borderId="0" xfId="6" applyFont="1" applyFill="1" applyBorder="1" applyAlignment="1">
      <alignment horizontal="left" vertical="top" wrapText="1"/>
    </xf>
    <xf numFmtId="0" fontId="29" fillId="20" borderId="0" xfId="6" applyFont="1" applyFill="1" applyBorder="1" applyAlignment="1">
      <alignment vertical="top"/>
    </xf>
    <xf numFmtId="0" fontId="28" fillId="20" borderId="0" xfId="6" applyFont="1" applyFill="1"/>
    <xf numFmtId="0" fontId="31" fillId="22" borderId="1" xfId="6" applyFont="1" applyFill="1" applyBorder="1" applyAlignment="1">
      <alignment vertical="top"/>
    </xf>
    <xf numFmtId="0" fontId="29" fillId="20" borderId="1" xfId="6" applyFont="1" applyFill="1" applyBorder="1" applyAlignment="1">
      <alignment vertical="top" wrapText="1"/>
    </xf>
    <xf numFmtId="0" fontId="29" fillId="20" borderId="2" xfId="6" applyFont="1" applyFill="1" applyBorder="1" applyAlignment="1">
      <alignment vertical="top" wrapText="1"/>
    </xf>
    <xf numFmtId="0" fontId="29" fillId="20" borderId="3" xfId="6" applyFont="1" applyFill="1" applyBorder="1" applyAlignment="1">
      <alignment horizontal="left" vertical="top"/>
    </xf>
    <xf numFmtId="0" fontId="29" fillId="20" borderId="4" xfId="6" applyFont="1" applyFill="1" applyBorder="1" applyAlignment="1">
      <alignment horizontal="left" vertical="top"/>
    </xf>
    <xf numFmtId="0" fontId="29" fillId="20" borderId="0" xfId="6" applyFont="1" applyFill="1" applyBorder="1" applyAlignment="1">
      <alignment horizontal="left" vertical="top"/>
    </xf>
    <xf numFmtId="0" fontId="31" fillId="20" borderId="0" xfId="6" applyFont="1" applyFill="1" applyBorder="1" applyAlignment="1">
      <alignment horizontal="left" vertical="top" wrapText="1"/>
    </xf>
    <xf numFmtId="0" fontId="29" fillId="20" borderId="1" xfId="6" applyFont="1" applyFill="1" applyBorder="1" applyAlignment="1">
      <alignment vertical="top"/>
    </xf>
    <xf numFmtId="0" fontId="28" fillId="0" borderId="1" xfId="6" applyFont="1" applyBorder="1" applyAlignment="1">
      <alignment wrapText="1"/>
    </xf>
    <xf numFmtId="0" fontId="10" fillId="7" borderId="1" xfId="0" applyFont="1" applyFill="1" applyBorder="1" applyAlignment="1">
      <alignment vertical="top" wrapText="1"/>
    </xf>
    <xf numFmtId="0" fontId="10" fillId="7" borderId="2" xfId="0" applyFont="1" applyFill="1" applyBorder="1" applyAlignment="1">
      <alignment vertical="top"/>
    </xf>
    <xf numFmtId="0" fontId="10" fillId="7" borderId="2" xfId="0" applyFont="1" applyFill="1" applyBorder="1" applyAlignment="1">
      <alignment vertical="top" wrapText="1"/>
    </xf>
    <xf numFmtId="0" fontId="6" fillId="6" borderId="1" xfId="0" applyFont="1" applyFill="1" applyBorder="1" applyAlignment="1">
      <alignment horizontal="center" vertical="top" wrapText="1"/>
    </xf>
    <xf numFmtId="0" fontId="6" fillId="6" borderId="1" xfId="0" applyFont="1" applyFill="1" applyBorder="1" applyAlignment="1">
      <alignment horizontal="center" vertical="top"/>
    </xf>
    <xf numFmtId="0" fontId="6" fillId="6" borderId="0" xfId="0" applyFont="1" applyFill="1" applyBorder="1" applyAlignment="1">
      <alignment horizontal="left" vertical="center" wrapText="1"/>
    </xf>
    <xf numFmtId="0" fontId="39" fillId="6" borderId="0" xfId="0" applyFont="1" applyFill="1"/>
    <xf numFmtId="0" fontId="4" fillId="6" borderId="0" xfId="0" applyFont="1" applyFill="1"/>
    <xf numFmtId="14" fontId="6" fillId="6" borderId="1" xfId="0" applyNumberFormat="1" applyFont="1" applyFill="1" applyBorder="1" applyAlignment="1">
      <alignment horizontal="left" vertical="top"/>
    </xf>
    <xf numFmtId="14" fontId="6" fillId="6" borderId="1" xfId="0" applyNumberFormat="1" applyFont="1" applyFill="1" applyBorder="1" applyAlignment="1">
      <alignment vertical="top"/>
    </xf>
    <xf numFmtId="0" fontId="8" fillId="6" borderId="5" xfId="0" applyFont="1" applyFill="1" applyBorder="1" applyAlignment="1" applyProtection="1">
      <alignment vertical="center"/>
      <protection locked="0"/>
    </xf>
    <xf numFmtId="0" fontId="8" fillId="6" borderId="6" xfId="0" applyFont="1" applyFill="1" applyBorder="1" applyAlignment="1" applyProtection="1">
      <alignment vertical="center"/>
      <protection locked="0"/>
    </xf>
    <xf numFmtId="0" fontId="6" fillId="6" borderId="1" xfId="0" applyFont="1" applyFill="1" applyBorder="1" applyAlignment="1">
      <alignment horizontal="center" vertical="center" wrapText="1"/>
    </xf>
    <xf numFmtId="0" fontId="6" fillId="6" borderId="1" xfId="0" applyFont="1" applyFill="1" applyBorder="1" applyAlignment="1">
      <alignment vertical="top"/>
    </xf>
    <xf numFmtId="0" fontId="5" fillId="6" borderId="0" xfId="0" applyFont="1" applyFill="1" applyBorder="1" applyAlignment="1">
      <alignment horizontal="center" vertical="top"/>
    </xf>
    <xf numFmtId="0" fontId="5" fillId="6" borderId="0" xfId="0" applyFont="1" applyFill="1" applyBorder="1" applyAlignment="1">
      <alignment horizontal="left" vertical="top"/>
    </xf>
    <xf numFmtId="0" fontId="14" fillId="7" borderId="1" xfId="0" applyFont="1" applyFill="1" applyBorder="1" applyAlignment="1">
      <alignment horizontal="center" vertical="top"/>
    </xf>
    <xf numFmtId="0" fontId="0" fillId="6" borderId="0" xfId="0" applyFill="1" applyAlignment="1">
      <alignment horizontal="center"/>
    </xf>
    <xf numFmtId="0" fontId="8" fillId="14" borderId="1" xfId="4" applyFont="1" applyFill="1" applyBorder="1" applyAlignment="1" applyProtection="1">
      <alignment horizontal="center" vertical="center" wrapText="1"/>
      <protection locked="0"/>
    </xf>
    <xf numFmtId="0" fontId="3" fillId="8" borderId="1" xfId="0" applyFont="1" applyFill="1" applyBorder="1" applyAlignment="1">
      <alignment horizontal="center" vertical="center" wrapText="1"/>
    </xf>
    <xf numFmtId="0" fontId="3" fillId="8" borderId="1" xfId="0" applyFont="1" applyFill="1" applyBorder="1" applyAlignment="1">
      <alignment horizontal="center" vertical="center"/>
    </xf>
    <xf numFmtId="0" fontId="8" fillId="0" borderId="1" xfId="8" applyFont="1" applyFill="1" applyBorder="1" applyAlignment="1" applyProtection="1">
      <alignment horizontal="left" vertical="center" wrapText="1"/>
      <protection locked="0"/>
    </xf>
    <xf numFmtId="0" fontId="8" fillId="0" borderId="1" xfId="9" applyFont="1" applyFill="1" applyBorder="1" applyAlignment="1" applyProtection="1">
      <alignment horizontal="left" vertical="center" wrapText="1"/>
      <protection locked="0"/>
    </xf>
    <xf numFmtId="0" fontId="8" fillId="0" borderId="1" xfId="7" applyFont="1" applyFill="1" applyBorder="1" applyAlignment="1" applyProtection="1">
      <alignment horizontal="left" vertical="center" wrapText="1"/>
      <protection locked="0"/>
    </xf>
    <xf numFmtId="0" fontId="8" fillId="0" borderId="1" xfId="1" applyFont="1" applyFill="1" applyBorder="1" applyAlignment="1" applyProtection="1">
      <alignment horizontal="left" vertical="center" wrapText="1"/>
      <protection locked="0"/>
    </xf>
    <xf numFmtId="0" fontId="8" fillId="0" borderId="1" xfId="2" applyFont="1" applyFill="1" applyBorder="1" applyAlignment="1" applyProtection="1">
      <alignment horizontal="left" vertical="center" wrapText="1"/>
      <protection locked="0"/>
    </xf>
    <xf numFmtId="0" fontId="8" fillId="6" borderId="4" xfId="0" applyFont="1" applyFill="1" applyBorder="1" applyAlignment="1">
      <alignment horizontal="left" vertical="center" wrapText="1"/>
    </xf>
    <xf numFmtId="0" fontId="0" fillId="6" borderId="24" xfId="0" applyFill="1" applyBorder="1"/>
    <xf numFmtId="0" fontId="0" fillId="6" borderId="25" xfId="0" applyFill="1" applyBorder="1"/>
    <xf numFmtId="0" fontId="0" fillId="6" borderId="26" xfId="0" applyFill="1" applyBorder="1"/>
    <xf numFmtId="0" fontId="0" fillId="6" borderId="27" xfId="0" applyFill="1" applyBorder="1"/>
    <xf numFmtId="0" fontId="0" fillId="6" borderId="28" xfId="0" applyFill="1" applyBorder="1"/>
    <xf numFmtId="0" fontId="0" fillId="6" borderId="27" xfId="0" applyFill="1" applyBorder="1" applyAlignment="1">
      <alignment vertical="center"/>
    </xf>
    <xf numFmtId="0" fontId="0" fillId="6" borderId="0" xfId="0" applyFill="1" applyBorder="1" applyAlignment="1">
      <alignment vertical="center"/>
    </xf>
    <xf numFmtId="0" fontId="0" fillId="6" borderId="28" xfId="0" applyFill="1" applyBorder="1" applyAlignment="1">
      <alignment vertical="center"/>
    </xf>
    <xf numFmtId="0" fontId="6" fillId="6" borderId="27" xfId="0" applyFont="1" applyFill="1" applyBorder="1" applyAlignment="1">
      <alignment horizontal="center" vertical="top" wrapText="1"/>
    </xf>
    <xf numFmtId="0" fontId="6" fillId="6" borderId="28" xfId="0" applyFont="1" applyFill="1" applyBorder="1" applyAlignment="1">
      <alignment horizontal="center" vertical="top" wrapText="1"/>
    </xf>
    <xf numFmtId="0" fontId="7" fillId="6" borderId="27" xfId="0" applyFont="1" applyFill="1" applyBorder="1" applyAlignment="1">
      <alignment vertical="center"/>
    </xf>
    <xf numFmtId="0" fontId="7" fillId="6" borderId="0" xfId="0" applyFont="1" applyFill="1" applyBorder="1" applyAlignment="1">
      <alignment vertical="center"/>
    </xf>
    <xf numFmtId="0" fontId="7" fillId="6" borderId="28" xfId="0" applyFont="1" applyFill="1" applyBorder="1" applyAlignment="1">
      <alignment vertical="center"/>
    </xf>
    <xf numFmtId="0" fontId="6" fillId="6" borderId="1" xfId="0" applyFont="1" applyFill="1" applyBorder="1" applyAlignment="1">
      <alignment vertical="top"/>
    </xf>
    <xf numFmtId="0" fontId="6" fillId="6" borderId="1" xfId="0" applyFont="1" applyFill="1" applyBorder="1" applyAlignment="1">
      <alignment vertical="top" wrapText="1"/>
    </xf>
    <xf numFmtId="1" fontId="7" fillId="6" borderId="6" xfId="0" applyNumberFormat="1" applyFont="1" applyFill="1" applyBorder="1" applyAlignment="1">
      <alignment horizontal="center" vertical="center" shrinkToFit="1"/>
    </xf>
    <xf numFmtId="0" fontId="42" fillId="29" borderId="5" xfId="0" applyFont="1" applyFill="1" applyBorder="1" applyAlignment="1">
      <alignment horizontal="center" vertical="center"/>
    </xf>
    <xf numFmtId="0" fontId="43" fillId="29" borderId="6" xfId="0" applyFont="1" applyFill="1" applyBorder="1" applyAlignment="1">
      <alignment horizontal="center" vertical="center" wrapText="1"/>
    </xf>
    <xf numFmtId="0" fontId="42" fillId="29" borderId="6" xfId="0" applyFont="1" applyFill="1" applyBorder="1" applyAlignment="1">
      <alignment horizontal="center" vertical="center"/>
    </xf>
    <xf numFmtId="0" fontId="2" fillId="12" borderId="5" xfId="0" applyFont="1" applyFill="1" applyBorder="1" applyAlignment="1" applyProtection="1">
      <alignment horizontal="center"/>
      <protection locked="0"/>
    </xf>
    <xf numFmtId="0" fontId="8" fillId="14" borderId="1" xfId="0" applyFont="1" applyFill="1" applyBorder="1" applyAlignment="1" applyProtection="1">
      <alignment horizontal="center" vertical="center" wrapText="1"/>
      <protection locked="0"/>
    </xf>
    <xf numFmtId="0" fontId="44" fillId="6" borderId="0" xfId="10" applyFill="1"/>
    <xf numFmtId="0" fontId="8" fillId="6" borderId="1" xfId="10" applyFont="1" applyFill="1" applyBorder="1" applyAlignment="1">
      <alignment vertical="center" wrapText="1"/>
    </xf>
    <xf numFmtId="0" fontId="8" fillId="6" borderId="4" xfId="10" applyFont="1" applyFill="1" applyBorder="1" applyAlignment="1">
      <alignment vertical="center" wrapText="1"/>
    </xf>
    <xf numFmtId="0" fontId="8" fillId="6" borderId="6" xfId="10" applyFont="1" applyFill="1" applyBorder="1" applyAlignment="1" applyProtection="1">
      <alignment vertical="center" wrapText="1"/>
    </xf>
    <xf numFmtId="0" fontId="8" fillId="6" borderId="1" xfId="10" applyFont="1" applyFill="1" applyBorder="1" applyAlignment="1" applyProtection="1">
      <alignment vertical="center" wrapText="1"/>
    </xf>
    <xf numFmtId="0" fontId="8" fillId="6" borderId="1" xfId="0" applyFont="1" applyFill="1" applyBorder="1" applyAlignment="1" applyProtection="1">
      <alignment vertical="center"/>
      <protection locked="0"/>
    </xf>
    <xf numFmtId="0" fontId="8" fillId="6" borderId="1" xfId="10" applyFont="1" applyFill="1" applyBorder="1" applyAlignment="1" applyProtection="1">
      <alignment vertical="top" wrapText="1"/>
    </xf>
    <xf numFmtId="0" fontId="8" fillId="6" borderId="1" xfId="10" applyFont="1" applyFill="1" applyBorder="1" applyAlignment="1" applyProtection="1">
      <alignment vertical="center" wrapText="1"/>
      <protection locked="0"/>
    </xf>
    <xf numFmtId="0" fontId="45" fillId="6" borderId="0" xfId="0" applyFont="1" applyFill="1"/>
    <xf numFmtId="0" fontId="46" fillId="6" borderId="0" xfId="0" applyFont="1" applyFill="1" applyBorder="1"/>
    <xf numFmtId="0" fontId="47" fillId="6" borderId="0" xfId="0" applyFont="1" applyFill="1" applyBorder="1"/>
    <xf numFmtId="0" fontId="4" fillId="30" borderId="0" xfId="11" applyAlignment="1">
      <alignment horizontal="center" vertical="center" wrapText="1"/>
    </xf>
    <xf numFmtId="164" fontId="48" fillId="6" borderId="0" xfId="0" applyNumberFormat="1" applyFont="1" applyFill="1" applyAlignment="1">
      <alignment horizontal="center"/>
    </xf>
    <xf numFmtId="0" fontId="8" fillId="12" borderId="0" xfId="0" applyFont="1" applyFill="1" applyAlignment="1">
      <alignment horizontal="left"/>
    </xf>
    <xf numFmtId="0" fontId="8" fillId="16" borderId="0" xfId="0" applyFont="1" applyFill="1" applyAlignment="1">
      <alignment horizontal="left"/>
    </xf>
    <xf numFmtId="0" fontId="8" fillId="28" borderId="0" xfId="0" applyFont="1" applyFill="1" applyAlignment="1">
      <alignment horizontal="left"/>
    </xf>
    <xf numFmtId="0" fontId="5" fillId="6" borderId="24" xfId="0" applyFont="1" applyFill="1" applyBorder="1" applyAlignment="1">
      <alignment horizontal="center" vertical="top" wrapText="1"/>
    </xf>
    <xf numFmtId="0" fontId="5" fillId="6" borderId="25" xfId="0" applyFont="1" applyFill="1" applyBorder="1" applyAlignment="1">
      <alignment horizontal="center" vertical="top" wrapText="1"/>
    </xf>
    <xf numFmtId="0" fontId="5" fillId="6" borderId="26" xfId="0" applyFont="1" applyFill="1" applyBorder="1" applyAlignment="1">
      <alignment horizontal="center" vertical="top" wrapText="1"/>
    </xf>
    <xf numFmtId="0" fontId="5" fillId="6" borderId="27" xfId="0" applyFont="1" applyFill="1" applyBorder="1" applyAlignment="1">
      <alignment horizontal="center" vertical="top" wrapText="1"/>
    </xf>
    <xf numFmtId="0" fontId="5" fillId="6" borderId="0" xfId="0" applyFont="1" applyFill="1" applyBorder="1" applyAlignment="1">
      <alignment horizontal="center" vertical="top" wrapText="1"/>
    </xf>
    <xf numFmtId="0" fontId="5" fillId="6" borderId="28" xfId="0" applyFont="1" applyFill="1" applyBorder="1" applyAlignment="1">
      <alignment horizontal="center" vertical="top" wrapText="1"/>
    </xf>
    <xf numFmtId="0" fontId="5" fillId="6" borderId="29" xfId="0" applyFont="1" applyFill="1" applyBorder="1" applyAlignment="1">
      <alignment horizontal="center" vertical="top" wrapText="1"/>
    </xf>
    <xf numFmtId="0" fontId="5" fillId="6" borderId="30" xfId="0" applyFont="1" applyFill="1" applyBorder="1" applyAlignment="1">
      <alignment horizontal="center" vertical="top" wrapText="1"/>
    </xf>
    <xf numFmtId="0" fontId="5" fillId="6" borderId="31" xfId="0" applyFont="1" applyFill="1" applyBorder="1" applyAlignment="1">
      <alignment horizontal="center" vertical="top" wrapText="1"/>
    </xf>
    <xf numFmtId="0" fontId="8" fillId="6" borderId="27" xfId="0" applyFont="1" applyFill="1" applyBorder="1" applyAlignment="1">
      <alignment horizontal="left" vertical="top" wrapText="1"/>
    </xf>
    <xf numFmtId="0" fontId="8" fillId="6" borderId="0" xfId="0" applyFont="1" applyFill="1" applyBorder="1" applyAlignment="1">
      <alignment horizontal="left" vertical="top" wrapText="1"/>
    </xf>
    <xf numFmtId="0" fontId="8" fillId="6" borderId="28" xfId="0" applyFont="1" applyFill="1" applyBorder="1" applyAlignment="1">
      <alignment horizontal="left" vertical="top" wrapText="1"/>
    </xf>
    <xf numFmtId="0" fontId="7" fillId="6" borderId="27" xfId="0" applyFont="1" applyFill="1" applyBorder="1" applyAlignment="1">
      <alignment horizontal="left" vertical="top" wrapText="1"/>
    </xf>
    <xf numFmtId="0" fontId="7" fillId="6" borderId="0" xfId="0" applyFont="1" applyFill="1" applyBorder="1" applyAlignment="1">
      <alignment horizontal="left" vertical="top" wrapText="1"/>
    </xf>
    <xf numFmtId="0" fontId="7" fillId="6" borderId="28" xfId="0" applyFont="1" applyFill="1" applyBorder="1" applyAlignment="1">
      <alignment horizontal="left" vertical="top" wrapText="1"/>
    </xf>
    <xf numFmtId="0" fontId="7" fillId="6" borderId="29" xfId="0" applyFont="1" applyFill="1" applyBorder="1" applyAlignment="1">
      <alignment horizontal="left" vertical="top" wrapText="1"/>
    </xf>
    <xf numFmtId="0" fontId="7" fillId="6" borderId="30" xfId="0" applyFont="1" applyFill="1" applyBorder="1" applyAlignment="1">
      <alignment horizontal="left" vertical="top" wrapText="1"/>
    </xf>
    <xf numFmtId="0" fontId="7" fillId="6" borderId="31" xfId="0" applyFont="1" applyFill="1" applyBorder="1" applyAlignment="1">
      <alignment horizontal="left" vertical="top" wrapText="1"/>
    </xf>
    <xf numFmtId="0" fontId="8" fillId="13" borderId="1" xfId="0" applyFont="1" applyFill="1" applyBorder="1" applyAlignment="1">
      <alignment horizontal="center" vertical="center"/>
    </xf>
    <xf numFmtId="0" fontId="7" fillId="6" borderId="5" xfId="0" quotePrefix="1" applyFont="1" applyFill="1" applyBorder="1" applyAlignment="1">
      <alignment horizontal="center" vertical="center" wrapText="1"/>
    </xf>
    <xf numFmtId="0" fontId="7" fillId="6" borderId="6" xfId="0" quotePrefix="1"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8" fillId="8" borderId="7" xfId="0" applyFont="1" applyFill="1" applyBorder="1" applyAlignment="1">
      <alignment horizontal="center" vertical="center"/>
    </xf>
    <xf numFmtId="0" fontId="8" fillId="8" borderId="14" xfId="0" applyFont="1" applyFill="1" applyBorder="1" applyAlignment="1">
      <alignment horizontal="center" vertical="center"/>
    </xf>
    <xf numFmtId="0" fontId="8" fillId="8" borderId="9" xfId="0" applyFont="1" applyFill="1" applyBorder="1" applyAlignment="1">
      <alignment horizontal="center" vertical="center"/>
    </xf>
    <xf numFmtId="0" fontId="2" fillId="11" borderId="1" xfId="0" applyFont="1" applyFill="1" applyBorder="1" applyAlignment="1" applyProtection="1">
      <alignment horizontal="center" vertical="center" wrapText="1"/>
      <protection locked="0"/>
    </xf>
    <xf numFmtId="0" fontId="8" fillId="13" borderId="14" xfId="0" applyFont="1" applyFill="1" applyBorder="1" applyAlignment="1">
      <alignment horizontal="center"/>
    </xf>
    <xf numFmtId="0" fontId="8" fillId="13" borderId="0" xfId="0" applyFont="1" applyFill="1" applyBorder="1" applyAlignment="1">
      <alignment horizontal="center"/>
    </xf>
    <xf numFmtId="0" fontId="42" fillId="29" borderId="1" xfId="0" applyFont="1" applyFill="1" applyBorder="1" applyAlignment="1">
      <alignment horizontal="center" vertical="center"/>
    </xf>
    <xf numFmtId="0" fontId="42" fillId="29" borderId="5" xfId="0" applyFont="1" applyFill="1" applyBorder="1" applyAlignment="1">
      <alignment horizontal="center" vertical="center"/>
    </xf>
    <xf numFmtId="0" fontId="42" fillId="29" borderId="6" xfId="0" applyFont="1" applyFill="1" applyBorder="1" applyAlignment="1">
      <alignment horizontal="center" vertical="center"/>
    </xf>
    <xf numFmtId="0" fontId="2" fillId="12" borderId="2" xfId="0" applyFont="1" applyFill="1" applyBorder="1" applyAlignment="1" applyProtection="1">
      <alignment horizontal="center"/>
      <protection locked="0"/>
    </xf>
    <xf numFmtId="0" fontId="2" fillId="12" borderId="3" xfId="0" applyFont="1" applyFill="1" applyBorder="1" applyAlignment="1" applyProtection="1">
      <alignment horizontal="center"/>
      <protection locked="0"/>
    </xf>
    <xf numFmtId="0" fontId="2" fillId="12" borderId="4" xfId="0" applyFont="1" applyFill="1" applyBorder="1" applyAlignment="1" applyProtection="1">
      <alignment horizontal="center"/>
      <protection locked="0"/>
    </xf>
    <xf numFmtId="0" fontId="3" fillId="17" borderId="1" xfId="0" applyFont="1" applyFill="1" applyBorder="1" applyAlignment="1">
      <alignment horizontal="center" vertical="center"/>
    </xf>
    <xf numFmtId="0" fontId="3" fillId="17" borderId="5" xfId="0" applyFont="1" applyFill="1" applyBorder="1" applyAlignment="1">
      <alignment horizontal="center" vertical="center"/>
    </xf>
    <xf numFmtId="0" fontId="3" fillId="17" borderId="8" xfId="0" applyFont="1" applyFill="1" applyBorder="1" applyAlignment="1">
      <alignment horizontal="center" vertical="center"/>
    </xf>
    <xf numFmtId="0" fontId="3" fillId="17" borderId="14" xfId="0" applyFont="1" applyFill="1" applyBorder="1" applyAlignment="1">
      <alignment horizontal="center" vertical="center"/>
    </xf>
    <xf numFmtId="0" fontId="3" fillId="17" borderId="9" xfId="0" applyFont="1" applyFill="1" applyBorder="1" applyAlignment="1">
      <alignment horizontal="center" vertical="center"/>
    </xf>
    <xf numFmtId="0" fontId="8" fillId="8" borderId="1" xfId="0" applyFont="1" applyFill="1" applyBorder="1" applyAlignment="1">
      <alignment horizontal="center" vertical="center" wrapText="1"/>
    </xf>
    <xf numFmtId="0" fontId="8" fillId="8" borderId="1" xfId="0" applyFont="1" applyFill="1" applyBorder="1" applyAlignment="1" applyProtection="1">
      <alignment horizontal="center" vertical="center" wrapText="1"/>
    </xf>
    <xf numFmtId="0" fontId="8" fillId="18" borderId="1" xfId="0" applyFont="1" applyFill="1" applyBorder="1" applyAlignment="1">
      <alignment horizontal="center" vertical="center"/>
    </xf>
    <xf numFmtId="0" fontId="3" fillId="17" borderId="1"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2" fillId="11" borderId="1" xfId="0" applyFont="1" applyFill="1" applyBorder="1" applyAlignment="1">
      <alignment horizontal="center" vertical="center"/>
    </xf>
    <xf numFmtId="0" fontId="3" fillId="10" borderId="1" xfId="0" applyFont="1" applyFill="1" applyBorder="1" applyAlignment="1">
      <alignment horizontal="center" vertical="center"/>
    </xf>
    <xf numFmtId="0" fontId="8" fillId="8" borderId="1" xfId="0" applyFont="1" applyFill="1" applyBorder="1" applyAlignment="1" applyProtection="1">
      <alignment horizontal="center" vertical="center" wrapText="1"/>
      <protection locked="0"/>
    </xf>
    <xf numFmtId="0" fontId="8" fillId="8" borderId="1" xfId="0" applyFont="1" applyFill="1" applyBorder="1" applyAlignment="1" applyProtection="1">
      <alignment horizontal="center" vertical="center"/>
      <protection locked="0"/>
    </xf>
    <xf numFmtId="0" fontId="8" fillId="10" borderId="1" xfId="0" applyFont="1" applyFill="1" applyBorder="1" applyAlignment="1">
      <alignment horizontal="center" vertical="center" wrapText="1"/>
    </xf>
    <xf numFmtId="0" fontId="7" fillId="6" borderId="0" xfId="0" applyFont="1" applyFill="1" applyAlignment="1">
      <alignment horizontal="left" wrapText="1"/>
    </xf>
    <xf numFmtId="0" fontId="8" fillId="8" borderId="1" xfId="0" applyFont="1" applyFill="1" applyBorder="1" applyAlignment="1">
      <alignment horizontal="center" vertical="center"/>
    </xf>
    <xf numFmtId="0" fontId="3" fillId="14" borderId="1" xfId="0" applyFont="1" applyFill="1" applyBorder="1" applyAlignment="1">
      <alignment horizontal="center"/>
    </xf>
    <xf numFmtId="0" fontId="14" fillId="7" borderId="2" xfId="0" applyFont="1" applyFill="1" applyBorder="1" applyAlignment="1">
      <alignment horizontal="left" vertical="top"/>
    </xf>
    <xf numFmtId="0" fontId="14" fillId="7" borderId="3" xfId="0" applyFont="1" applyFill="1" applyBorder="1" applyAlignment="1">
      <alignment horizontal="left" vertical="top"/>
    </xf>
    <xf numFmtId="0" fontId="14" fillId="7" borderId="4" xfId="0" applyFont="1" applyFill="1" applyBorder="1" applyAlignment="1">
      <alignment horizontal="left" vertical="top"/>
    </xf>
    <xf numFmtId="0" fontId="6" fillId="6" borderId="2" xfId="0" applyFont="1" applyFill="1" applyBorder="1" applyAlignment="1">
      <alignment horizontal="left" vertical="top" wrapText="1"/>
    </xf>
    <xf numFmtId="0" fontId="6" fillId="6" borderId="3" xfId="0" applyFont="1" applyFill="1" applyBorder="1" applyAlignment="1">
      <alignment horizontal="left" vertical="top"/>
    </xf>
    <xf numFmtId="0" fontId="6" fillId="6" borderId="4" xfId="0" applyFont="1" applyFill="1" applyBorder="1" applyAlignment="1">
      <alignment horizontal="left" vertical="top"/>
    </xf>
    <xf numFmtId="0" fontId="5" fillId="6" borderId="2" xfId="0" applyFont="1" applyFill="1" applyBorder="1" applyAlignment="1">
      <alignment horizontal="left" vertical="top" wrapText="1"/>
    </xf>
    <xf numFmtId="0" fontId="5" fillId="6" borderId="3" xfId="0" applyFont="1" applyFill="1" applyBorder="1" applyAlignment="1">
      <alignment horizontal="left" vertical="top"/>
    </xf>
    <xf numFmtId="0" fontId="5" fillId="6" borderId="4" xfId="0" applyFont="1" applyFill="1" applyBorder="1" applyAlignment="1">
      <alignment horizontal="left" vertical="top"/>
    </xf>
    <xf numFmtId="0" fontId="6" fillId="6" borderId="1" xfId="0" applyFont="1" applyFill="1" applyBorder="1" applyAlignment="1">
      <alignment horizontal="left" vertical="top"/>
    </xf>
    <xf numFmtId="0" fontId="6" fillId="6" borderId="7" xfId="0" applyFont="1" applyFill="1" applyBorder="1" applyAlignment="1">
      <alignment horizontal="center" vertical="center"/>
    </xf>
    <xf numFmtId="0" fontId="6" fillId="6" borderId="10" xfId="0" applyFont="1" applyFill="1" applyBorder="1" applyAlignment="1">
      <alignment horizontal="center" vertical="center"/>
    </xf>
    <xf numFmtId="0" fontId="6" fillId="6" borderId="12" xfId="0" applyFont="1" applyFill="1" applyBorder="1" applyAlignment="1">
      <alignment horizontal="center" vertical="center"/>
    </xf>
    <xf numFmtId="0" fontId="6" fillId="6" borderId="2" xfId="0" applyFont="1" applyFill="1" applyBorder="1" applyAlignment="1">
      <alignment horizontal="left" vertical="top"/>
    </xf>
    <xf numFmtId="0" fontId="6" fillId="6" borderId="3" xfId="0" applyFont="1" applyFill="1" applyBorder="1" applyAlignment="1">
      <alignment horizontal="left" vertical="top" wrapText="1"/>
    </xf>
    <xf numFmtId="0" fontId="6" fillId="6" borderId="4" xfId="0" applyFont="1" applyFill="1" applyBorder="1" applyAlignment="1">
      <alignment horizontal="left" vertical="top" wrapText="1"/>
    </xf>
    <xf numFmtId="0" fontId="6" fillId="6" borderId="15" xfId="0" applyFont="1" applyFill="1" applyBorder="1" applyAlignment="1">
      <alignment horizontal="center" vertical="top"/>
    </xf>
    <xf numFmtId="0" fontId="14" fillId="7" borderId="15" xfId="0" applyFont="1" applyFill="1" applyBorder="1" applyAlignment="1">
      <alignment horizontal="center" vertical="top"/>
    </xf>
    <xf numFmtId="0" fontId="14" fillId="7" borderId="16" xfId="0" applyFont="1" applyFill="1" applyBorder="1" applyAlignment="1">
      <alignment horizontal="center" vertical="top"/>
    </xf>
    <xf numFmtId="0" fontId="14" fillId="7" borderId="17" xfId="0" applyFont="1" applyFill="1" applyBorder="1" applyAlignment="1">
      <alignment horizontal="center" vertical="top"/>
    </xf>
    <xf numFmtId="14" fontId="6" fillId="6" borderId="16" xfId="0" applyNumberFormat="1" applyFont="1" applyFill="1" applyBorder="1" applyAlignment="1">
      <alignment horizontal="center" vertical="top"/>
    </xf>
    <xf numFmtId="14" fontId="6" fillId="6" borderId="17" xfId="0" applyNumberFormat="1" applyFont="1" applyFill="1" applyBorder="1" applyAlignment="1">
      <alignment horizontal="center" vertical="top"/>
    </xf>
    <xf numFmtId="0" fontId="10" fillId="6" borderId="2" xfId="0" applyFont="1" applyFill="1" applyBorder="1" applyAlignment="1" applyProtection="1">
      <alignment horizontal="center" vertical="center"/>
    </xf>
    <xf numFmtId="0" fontId="10" fillId="6" borderId="3" xfId="0" applyFont="1" applyFill="1" applyBorder="1" applyAlignment="1" applyProtection="1">
      <alignment horizontal="center" vertical="center"/>
    </xf>
    <xf numFmtId="0" fontId="10" fillId="6" borderId="4" xfId="0" applyFont="1" applyFill="1" applyBorder="1" applyAlignment="1" applyProtection="1">
      <alignment horizontal="center" vertical="center"/>
    </xf>
    <xf numFmtId="0" fontId="6" fillId="6" borderId="15" xfId="0" applyFont="1" applyFill="1" applyBorder="1" applyAlignment="1">
      <alignment horizontal="center" vertical="center"/>
    </xf>
    <xf numFmtId="0" fontId="5" fillId="6" borderId="2" xfId="0" applyFont="1" applyFill="1" applyBorder="1" applyAlignment="1">
      <alignment horizontal="center" vertical="top"/>
    </xf>
    <xf numFmtId="0" fontId="5" fillId="6" borderId="3" xfId="0" applyFont="1" applyFill="1" applyBorder="1" applyAlignment="1">
      <alignment horizontal="center" vertical="top"/>
    </xf>
    <xf numFmtId="0" fontId="5" fillId="6" borderId="4" xfId="0" applyFont="1" applyFill="1" applyBorder="1" applyAlignment="1">
      <alignment horizontal="center" vertical="top"/>
    </xf>
    <xf numFmtId="0" fontId="6" fillId="6" borderId="2" xfId="0" quotePrefix="1" applyFont="1" applyFill="1" applyBorder="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14" fontId="12" fillId="6" borderId="16" xfId="0" applyNumberFormat="1" applyFont="1" applyFill="1" applyBorder="1" applyAlignment="1">
      <alignment horizontal="center" vertical="top"/>
    </xf>
    <xf numFmtId="14" fontId="12" fillId="6" borderId="17" xfId="0" applyNumberFormat="1" applyFont="1" applyFill="1" applyBorder="1" applyAlignment="1">
      <alignment horizontal="center" vertical="top"/>
    </xf>
    <xf numFmtId="0" fontId="12" fillId="6" borderId="2" xfId="0" applyFont="1" applyFill="1" applyBorder="1" applyAlignment="1">
      <alignment horizontal="left" vertical="top"/>
    </xf>
    <xf numFmtId="0" fontId="12" fillId="6" borderId="3" xfId="0" applyFont="1" applyFill="1" applyBorder="1" applyAlignment="1">
      <alignment horizontal="left" vertical="top"/>
    </xf>
    <xf numFmtId="0" fontId="12" fillId="6" borderId="4" xfId="0" applyFont="1" applyFill="1" applyBorder="1" applyAlignment="1">
      <alignment horizontal="left" vertical="top"/>
    </xf>
    <xf numFmtId="0" fontId="17" fillId="6" borderId="2" xfId="0" applyFont="1" applyFill="1" applyBorder="1" applyAlignment="1" applyProtection="1">
      <alignment horizontal="center" vertical="center"/>
    </xf>
    <xf numFmtId="0" fontId="17" fillId="6" borderId="3" xfId="0" applyFont="1" applyFill="1" applyBorder="1" applyAlignment="1" applyProtection="1">
      <alignment horizontal="center" vertical="center"/>
    </xf>
    <xf numFmtId="0" fontId="17" fillId="6" borderId="4" xfId="0" applyFont="1" applyFill="1" applyBorder="1" applyAlignment="1" applyProtection="1">
      <alignment horizontal="center" vertical="center"/>
    </xf>
    <xf numFmtId="0" fontId="26" fillId="6" borderId="2" xfId="0" applyFont="1" applyFill="1" applyBorder="1" applyAlignment="1">
      <alignment horizontal="left" vertical="top" wrapText="1"/>
    </xf>
    <xf numFmtId="0" fontId="13" fillId="6" borderId="3" xfId="0" applyFont="1" applyFill="1" applyBorder="1" applyAlignment="1">
      <alignment horizontal="left" vertical="top"/>
    </xf>
    <xf numFmtId="0" fontId="13" fillId="6" borderId="4" xfId="0" applyFont="1" applyFill="1" applyBorder="1" applyAlignment="1">
      <alignment horizontal="left" vertical="top"/>
    </xf>
    <xf numFmtId="0" fontId="6" fillId="6" borderId="7" xfId="0" applyFont="1" applyFill="1" applyBorder="1" applyAlignment="1">
      <alignment horizontal="left" vertical="center"/>
    </xf>
    <xf numFmtId="0" fontId="6" fillId="6" borderId="10" xfId="0" applyFont="1" applyFill="1" applyBorder="1" applyAlignment="1">
      <alignment horizontal="left" vertical="center"/>
    </xf>
    <xf numFmtId="0" fontId="6" fillId="6" borderId="12" xfId="0" applyFont="1" applyFill="1" applyBorder="1" applyAlignment="1">
      <alignment horizontal="left" vertical="center"/>
    </xf>
    <xf numFmtId="0" fontId="6" fillId="6" borderId="7" xfId="0" applyFont="1" applyFill="1" applyBorder="1" applyAlignment="1">
      <alignment vertical="top" wrapText="1"/>
    </xf>
    <xf numFmtId="0" fontId="6" fillId="6" borderId="10" xfId="0" applyFont="1" applyFill="1" applyBorder="1" applyAlignment="1">
      <alignment vertical="top" wrapText="1"/>
    </xf>
    <xf numFmtId="0" fontId="6" fillId="6" borderId="12" xfId="0" applyFont="1" applyFill="1" applyBorder="1" applyAlignment="1">
      <alignment vertical="top" wrapText="1"/>
    </xf>
    <xf numFmtId="0" fontId="6" fillId="6" borderId="9" xfId="0" applyFont="1" applyFill="1" applyBorder="1" applyAlignment="1">
      <alignment vertical="top" wrapText="1"/>
    </xf>
    <xf numFmtId="0" fontId="6" fillId="6" borderId="11" xfId="0" applyFont="1" applyFill="1" applyBorder="1" applyAlignment="1">
      <alignment vertical="top" wrapText="1"/>
    </xf>
    <xf numFmtId="0" fontId="6" fillId="6" borderId="13" xfId="0" applyFont="1" applyFill="1" applyBorder="1" applyAlignment="1">
      <alignment vertical="top" wrapText="1"/>
    </xf>
    <xf numFmtId="0" fontId="6" fillId="6" borderId="7" xfId="0" applyFont="1" applyFill="1" applyBorder="1" applyAlignment="1">
      <alignment horizontal="left" vertical="top" wrapText="1"/>
    </xf>
    <xf numFmtId="0" fontId="6" fillId="6" borderId="10" xfId="0" applyFont="1" applyFill="1" applyBorder="1" applyAlignment="1">
      <alignment horizontal="left" vertical="top" wrapText="1"/>
    </xf>
    <xf numFmtId="0" fontId="6" fillId="6" borderId="12" xfId="0" applyFont="1" applyFill="1" applyBorder="1" applyAlignment="1">
      <alignment horizontal="left" vertical="top" wrapText="1"/>
    </xf>
    <xf numFmtId="0" fontId="6" fillId="6" borderId="14" xfId="0" applyFont="1" applyFill="1" applyBorder="1" applyAlignment="1">
      <alignment horizontal="left" vertical="top" wrapText="1"/>
    </xf>
    <xf numFmtId="0" fontId="6" fillId="6" borderId="0" xfId="0" applyFont="1" applyFill="1" applyBorder="1" applyAlignment="1">
      <alignment horizontal="left" vertical="top" wrapText="1"/>
    </xf>
    <xf numFmtId="0" fontId="6" fillId="6" borderId="19" xfId="0" applyFont="1" applyFill="1" applyBorder="1" applyAlignment="1">
      <alignment horizontal="left" vertical="top" wrapText="1"/>
    </xf>
    <xf numFmtId="0" fontId="6" fillId="6" borderId="9" xfId="0" applyFont="1" applyFill="1" applyBorder="1" applyAlignment="1">
      <alignment horizontal="left" vertical="top" wrapText="1"/>
    </xf>
    <xf numFmtId="0" fontId="6" fillId="6" borderId="11" xfId="0" applyFont="1" applyFill="1" applyBorder="1" applyAlignment="1">
      <alignment horizontal="left" vertical="top" wrapText="1"/>
    </xf>
    <xf numFmtId="0" fontId="6" fillId="6" borderId="13" xfId="0" applyFont="1" applyFill="1" applyBorder="1" applyAlignment="1">
      <alignment horizontal="left" vertical="top" wrapText="1"/>
    </xf>
    <xf numFmtId="0" fontId="25" fillId="6" borderId="3" xfId="0" applyFont="1" applyFill="1" applyBorder="1" applyAlignment="1">
      <alignment horizontal="left" vertical="top"/>
    </xf>
    <xf numFmtId="0" fontId="25" fillId="6" borderId="4" xfId="0" applyFont="1" applyFill="1" applyBorder="1" applyAlignment="1">
      <alignment horizontal="left" vertical="top"/>
    </xf>
    <xf numFmtId="0" fontId="6" fillId="6" borderId="2" xfId="0" applyFont="1" applyFill="1" applyBorder="1" applyAlignment="1">
      <alignment horizontal="center" vertical="top"/>
    </xf>
    <xf numFmtId="0" fontId="5" fillId="6" borderId="3" xfId="0" applyFont="1" applyFill="1" applyBorder="1" applyAlignment="1">
      <alignment horizontal="left" vertical="top" wrapText="1"/>
    </xf>
    <xf numFmtId="0" fontId="5" fillId="6" borderId="4" xfId="0" applyFont="1" applyFill="1" applyBorder="1" applyAlignment="1">
      <alignment horizontal="left" vertical="top" wrapText="1"/>
    </xf>
    <xf numFmtId="0" fontId="6" fillId="6" borderId="1" xfId="0" applyFont="1" applyFill="1" applyBorder="1" applyAlignment="1">
      <alignment horizontal="left" vertical="top" wrapText="1"/>
    </xf>
    <xf numFmtId="0" fontId="14" fillId="7" borderId="2" xfId="0" applyFont="1" applyFill="1" applyBorder="1" applyAlignment="1">
      <alignment horizontal="left" vertical="top" wrapText="1"/>
    </xf>
    <xf numFmtId="0" fontId="14" fillId="7" borderId="3" xfId="0" applyFont="1" applyFill="1" applyBorder="1" applyAlignment="1">
      <alignment horizontal="left" vertical="top" wrapText="1"/>
    </xf>
    <xf numFmtId="0" fontId="14" fillId="7" borderId="4" xfId="0" applyFont="1" applyFill="1" applyBorder="1" applyAlignment="1">
      <alignment horizontal="left" vertical="top" wrapText="1"/>
    </xf>
    <xf numFmtId="0" fontId="5" fillId="6" borderId="2" xfId="0" applyFont="1" applyFill="1" applyBorder="1" applyAlignment="1">
      <alignment horizontal="center" vertical="top" wrapText="1"/>
    </xf>
    <xf numFmtId="0" fontId="5" fillId="6" borderId="3" xfId="0" applyFont="1" applyFill="1" applyBorder="1" applyAlignment="1">
      <alignment horizontal="center" vertical="top" wrapText="1"/>
    </xf>
    <xf numFmtId="0" fontId="5" fillId="6" borderId="4" xfId="0" applyFont="1" applyFill="1" applyBorder="1" applyAlignment="1">
      <alignment horizontal="center" vertical="top" wrapText="1"/>
    </xf>
    <xf numFmtId="0" fontId="6" fillId="6" borderId="2" xfId="0" applyFont="1" applyFill="1" applyBorder="1" applyAlignment="1">
      <alignment vertical="top" wrapText="1"/>
    </xf>
    <xf numFmtId="0" fontId="6" fillId="6" borderId="3" xfId="0" applyFont="1" applyFill="1" applyBorder="1" applyAlignment="1">
      <alignment vertical="top" wrapText="1"/>
    </xf>
    <xf numFmtId="0" fontId="6" fillId="6" borderId="4" xfId="0" applyFont="1" applyFill="1" applyBorder="1" applyAlignment="1">
      <alignment vertical="top" wrapText="1"/>
    </xf>
    <xf numFmtId="0" fontId="6" fillId="6" borderId="1" xfId="0" applyFont="1" applyFill="1" applyBorder="1" applyAlignment="1">
      <alignment horizontal="left" vertical="center" wrapText="1"/>
    </xf>
    <xf numFmtId="0" fontId="6" fillId="6" borderId="15" xfId="0" applyFont="1" applyFill="1" applyBorder="1" applyAlignment="1">
      <alignment horizontal="center" vertical="top" wrapText="1"/>
    </xf>
    <xf numFmtId="0" fontId="6" fillId="6" borderId="15" xfId="0" applyFont="1" applyFill="1" applyBorder="1" applyAlignment="1">
      <alignment horizontal="center" vertical="center" wrapText="1"/>
    </xf>
    <xf numFmtId="0" fontId="14" fillId="7" borderId="15" xfId="0" applyFont="1" applyFill="1" applyBorder="1" applyAlignment="1">
      <alignment horizontal="center" vertical="top" wrapText="1"/>
    </xf>
    <xf numFmtId="0" fontId="14" fillId="7" borderId="16" xfId="0" applyFont="1" applyFill="1" applyBorder="1" applyAlignment="1">
      <alignment horizontal="center" vertical="top" wrapText="1"/>
    </xf>
    <xf numFmtId="0" fontId="14" fillId="7" borderId="17" xfId="0" applyFont="1" applyFill="1" applyBorder="1" applyAlignment="1">
      <alignment horizontal="center" vertical="top" wrapText="1"/>
    </xf>
    <xf numFmtId="14" fontId="6" fillId="6" borderId="16" xfId="0" applyNumberFormat="1" applyFont="1" applyFill="1" applyBorder="1" applyAlignment="1">
      <alignment horizontal="center" vertical="top" wrapText="1"/>
    </xf>
    <xf numFmtId="14" fontId="6" fillId="6" borderId="17" xfId="0" applyNumberFormat="1" applyFont="1" applyFill="1" applyBorder="1" applyAlignment="1">
      <alignment horizontal="center" vertical="top" wrapText="1"/>
    </xf>
    <xf numFmtId="0" fontId="13" fillId="6" borderId="2" xfId="0" applyFont="1" applyFill="1" applyBorder="1" applyAlignment="1">
      <alignment horizontal="left" vertical="top" wrapText="1"/>
    </xf>
    <xf numFmtId="0" fontId="6" fillId="6" borderId="3" xfId="0" applyFont="1" applyFill="1" applyBorder="1" applyAlignment="1">
      <alignment horizontal="center" vertical="top"/>
    </xf>
    <xf numFmtId="0" fontId="6" fillId="6" borderId="4" xfId="0" applyFont="1" applyFill="1" applyBorder="1" applyAlignment="1">
      <alignment horizontal="center" vertical="top"/>
    </xf>
    <xf numFmtId="0" fontId="10" fillId="7" borderId="2" xfId="0" applyFont="1" applyFill="1" applyBorder="1" applyAlignment="1">
      <alignment horizontal="left" vertical="top" wrapText="1"/>
    </xf>
    <xf numFmtId="0" fontId="10" fillId="7" borderId="3" xfId="0" applyFont="1" applyFill="1" applyBorder="1" applyAlignment="1">
      <alignment horizontal="left" vertical="top" wrapText="1"/>
    </xf>
    <xf numFmtId="0" fontId="10" fillId="7" borderId="4" xfId="0" applyFont="1" applyFill="1" applyBorder="1" applyAlignment="1">
      <alignment horizontal="left" vertical="top" wrapText="1"/>
    </xf>
    <xf numFmtId="0" fontId="10" fillId="7" borderId="2" xfId="0" applyFont="1" applyFill="1" applyBorder="1" applyAlignment="1">
      <alignment horizontal="left" vertical="top"/>
    </xf>
    <xf numFmtId="0" fontId="10" fillId="7" borderId="3" xfId="0" applyFont="1" applyFill="1" applyBorder="1" applyAlignment="1">
      <alignment horizontal="left" vertical="top"/>
    </xf>
    <xf numFmtId="0" fontId="10" fillId="7" borderId="4" xfId="0" applyFont="1" applyFill="1" applyBorder="1" applyAlignment="1">
      <alignment horizontal="left" vertical="top"/>
    </xf>
    <xf numFmtId="0" fontId="10" fillId="7" borderId="1" xfId="0" applyFont="1" applyFill="1" applyBorder="1" applyAlignment="1">
      <alignment horizontal="center" vertical="center"/>
    </xf>
    <xf numFmtId="0" fontId="10" fillId="6" borderId="2" xfId="0" applyFont="1" applyFill="1" applyBorder="1" applyAlignment="1">
      <alignment horizontal="left" vertical="top" wrapText="1"/>
    </xf>
    <xf numFmtId="0" fontId="6" fillId="6" borderId="1" xfId="0" applyFont="1" applyFill="1" applyBorder="1" applyAlignment="1">
      <alignment vertical="top" wrapText="1"/>
    </xf>
    <xf numFmtId="0" fontId="6" fillId="6" borderId="1" xfId="0" applyFont="1" applyFill="1" applyBorder="1" applyAlignment="1">
      <alignment vertical="top"/>
    </xf>
    <xf numFmtId="0" fontId="6" fillId="6" borderId="5" xfId="0" applyFont="1" applyFill="1" applyBorder="1" applyAlignment="1">
      <alignment horizontal="center" vertical="center"/>
    </xf>
    <xf numFmtId="0" fontId="6" fillId="6" borderId="8" xfId="0" applyFont="1" applyFill="1" applyBorder="1" applyAlignment="1">
      <alignment horizontal="center" vertical="center"/>
    </xf>
    <xf numFmtId="0" fontId="6" fillId="6" borderId="6" xfId="0" applyFont="1" applyFill="1" applyBorder="1" applyAlignment="1">
      <alignment horizontal="center" vertical="center"/>
    </xf>
    <xf numFmtId="0" fontId="6" fillId="6" borderId="1"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10" fillId="7" borderId="1" xfId="0" applyFont="1" applyFill="1" applyBorder="1" applyAlignment="1">
      <alignment horizontal="left" vertical="top"/>
    </xf>
    <xf numFmtId="0" fontId="6" fillId="6" borderId="2" xfId="0" applyFont="1" applyFill="1" applyBorder="1" applyAlignment="1">
      <alignment horizontal="left" vertical="center" wrapText="1"/>
    </xf>
    <xf numFmtId="0" fontId="6" fillId="6" borderId="3" xfId="0" applyFont="1" applyFill="1" applyBorder="1" applyAlignment="1">
      <alignment horizontal="left" vertical="center" wrapText="1"/>
    </xf>
    <xf numFmtId="0" fontId="6" fillId="6" borderId="4" xfId="0" applyFont="1" applyFill="1" applyBorder="1" applyAlignment="1">
      <alignment horizontal="left" vertical="center" wrapText="1"/>
    </xf>
    <xf numFmtId="0" fontId="10" fillId="7" borderId="2" xfId="0" applyFont="1" applyFill="1" applyBorder="1" applyAlignment="1">
      <alignment horizontal="left" vertical="center" wrapText="1"/>
    </xf>
    <xf numFmtId="0" fontId="10" fillId="7" borderId="3" xfId="0" applyFont="1" applyFill="1" applyBorder="1" applyAlignment="1">
      <alignment horizontal="left" vertical="center" wrapText="1"/>
    </xf>
    <xf numFmtId="0" fontId="10" fillId="7" borderId="4" xfId="0" applyFont="1" applyFill="1" applyBorder="1" applyAlignment="1">
      <alignment horizontal="left" vertical="center" wrapText="1"/>
    </xf>
    <xf numFmtId="14" fontId="6" fillId="6" borderId="15" xfId="0" applyNumberFormat="1" applyFont="1" applyFill="1" applyBorder="1" applyAlignment="1">
      <alignment horizontal="center" vertical="top"/>
    </xf>
    <xf numFmtId="0" fontId="10" fillId="7" borderId="15" xfId="0" applyFont="1" applyFill="1" applyBorder="1" applyAlignment="1">
      <alignment horizontal="center" vertical="top"/>
    </xf>
    <xf numFmtId="14" fontId="6" fillId="6" borderId="15" xfId="0" applyNumberFormat="1" applyFont="1" applyFill="1" applyBorder="1" applyAlignment="1">
      <alignment horizontal="center" vertical="center"/>
    </xf>
    <xf numFmtId="0" fontId="24" fillId="20" borderId="20" xfId="6" applyFont="1" applyFill="1" applyBorder="1" applyAlignment="1">
      <alignment horizontal="center" vertical="top"/>
    </xf>
    <xf numFmtId="0" fontId="30" fillId="21" borderId="0" xfId="6" applyFont="1" applyFill="1" applyBorder="1" applyAlignment="1">
      <alignment horizontal="center" vertical="center"/>
    </xf>
    <xf numFmtId="0" fontId="23" fillId="22" borderId="20" xfId="6" applyFont="1" applyFill="1" applyBorder="1" applyAlignment="1">
      <alignment horizontal="center" vertical="top"/>
    </xf>
    <xf numFmtId="0" fontId="23" fillId="22" borderId="21" xfId="6" applyFont="1" applyFill="1" applyBorder="1" applyAlignment="1">
      <alignment horizontal="center" vertical="top"/>
    </xf>
    <xf numFmtId="14" fontId="24" fillId="20" borderId="1" xfId="6" applyNumberFormat="1" applyFont="1" applyFill="1" applyBorder="1" applyAlignment="1">
      <alignment horizontal="center" vertical="top"/>
    </xf>
    <xf numFmtId="0" fontId="24" fillId="20" borderId="1" xfId="6" applyFont="1" applyFill="1" applyBorder="1" applyAlignment="1">
      <alignment horizontal="center" vertical="top" wrapText="1"/>
    </xf>
    <xf numFmtId="0" fontId="23" fillId="24" borderId="1" xfId="6" applyFont="1" applyFill="1" applyBorder="1" applyAlignment="1">
      <alignment horizontal="center" vertical="top"/>
    </xf>
    <xf numFmtId="0" fontId="24" fillId="20" borderId="22" xfId="6" applyFont="1" applyFill="1" applyBorder="1" applyAlignment="1">
      <alignment horizontal="center" vertical="top"/>
    </xf>
    <xf numFmtId="0" fontId="24" fillId="20" borderId="1" xfId="6" applyFont="1" applyFill="1" applyBorder="1" applyAlignment="1">
      <alignment horizontal="left" vertical="top" wrapText="1"/>
    </xf>
    <xf numFmtId="14" fontId="24" fillId="20" borderId="20" xfId="6" applyNumberFormat="1" applyFont="1" applyFill="1" applyBorder="1" applyAlignment="1">
      <alignment horizontal="center" vertical="top"/>
    </xf>
    <xf numFmtId="0" fontId="23" fillId="22" borderId="1" xfId="6" applyFont="1" applyFill="1" applyBorder="1" applyAlignment="1">
      <alignment horizontal="left" vertical="top"/>
    </xf>
    <xf numFmtId="0" fontId="24" fillId="20" borderId="1" xfId="6" applyFont="1" applyFill="1" applyBorder="1" applyAlignment="1">
      <alignment horizontal="left" vertical="top"/>
    </xf>
    <xf numFmtId="0" fontId="23" fillId="22" borderId="1" xfId="6" applyFont="1" applyFill="1" applyBorder="1" applyAlignment="1">
      <alignment horizontal="left" vertical="top" wrapText="1"/>
    </xf>
    <xf numFmtId="0" fontId="23" fillId="20" borderId="1" xfId="6" applyFont="1" applyFill="1" applyBorder="1" applyAlignment="1">
      <alignment horizontal="left" vertical="top" wrapText="1"/>
    </xf>
    <xf numFmtId="0" fontId="23" fillId="20" borderId="0" xfId="6" applyFont="1" applyFill="1" applyBorder="1" applyAlignment="1">
      <alignment horizontal="center" vertical="top" wrapText="1"/>
    </xf>
    <xf numFmtId="0" fontId="23" fillId="20" borderId="2" xfId="6" applyFont="1" applyFill="1" applyBorder="1" applyAlignment="1">
      <alignment horizontal="left" vertical="top" wrapText="1"/>
    </xf>
    <xf numFmtId="0" fontId="23" fillId="20" borderId="3" xfId="6" applyFont="1" applyFill="1" applyBorder="1" applyAlignment="1">
      <alignment horizontal="left" vertical="top" wrapText="1"/>
    </xf>
    <xf numFmtId="0" fontId="23" fillId="20" borderId="4" xfId="6" applyFont="1" applyFill="1" applyBorder="1" applyAlignment="1">
      <alignment horizontal="left" vertical="top" wrapText="1"/>
    </xf>
    <xf numFmtId="0" fontId="24" fillId="20" borderId="1" xfId="6" applyFont="1" applyFill="1" applyBorder="1" applyAlignment="1">
      <alignment horizontal="center" vertical="top"/>
    </xf>
    <xf numFmtId="0" fontId="6" fillId="6" borderId="2" xfId="0" applyFont="1" applyFill="1" applyBorder="1" applyAlignment="1">
      <alignment horizontal="center" vertical="top" wrapText="1"/>
    </xf>
    <xf numFmtId="0" fontId="6" fillId="6" borderId="3" xfId="0" applyFont="1" applyFill="1" applyBorder="1" applyAlignment="1">
      <alignment horizontal="center" vertical="top" wrapText="1"/>
    </xf>
    <xf numFmtId="0" fontId="6" fillId="6" borderId="4" xfId="0" applyFont="1" applyFill="1" applyBorder="1" applyAlignment="1">
      <alignment horizontal="center" vertical="top" wrapText="1"/>
    </xf>
    <xf numFmtId="0" fontId="10" fillId="7" borderId="2" xfId="0" applyFont="1" applyFill="1" applyBorder="1" applyAlignment="1">
      <alignment horizontal="center" vertical="top"/>
    </xf>
    <xf numFmtId="0" fontId="10" fillId="7" borderId="3" xfId="0" applyFont="1" applyFill="1" applyBorder="1" applyAlignment="1">
      <alignment horizontal="center" vertical="top"/>
    </xf>
    <xf numFmtId="0" fontId="10" fillId="7" borderId="4" xfId="0" applyFont="1" applyFill="1" applyBorder="1" applyAlignment="1">
      <alignment horizontal="center" vertical="top"/>
    </xf>
    <xf numFmtId="0" fontId="10" fillId="7" borderId="1" xfId="0" applyFont="1" applyFill="1" applyBorder="1" applyAlignment="1">
      <alignment horizontal="center" vertical="top"/>
    </xf>
    <xf numFmtId="0" fontId="6" fillId="6" borderId="5" xfId="0" applyFont="1" applyFill="1" applyBorder="1" applyAlignment="1">
      <alignment vertical="top"/>
    </xf>
    <xf numFmtId="0" fontId="6" fillId="6" borderId="6" xfId="0" applyFont="1" applyFill="1" applyBorder="1" applyAlignment="1">
      <alignment vertical="top"/>
    </xf>
    <xf numFmtId="0" fontId="6" fillId="6" borderId="5" xfId="0" applyFont="1" applyFill="1" applyBorder="1" applyAlignment="1">
      <alignment vertical="center" wrapText="1"/>
    </xf>
    <xf numFmtId="0" fontId="6" fillId="6" borderId="8" xfId="0" applyFont="1" applyFill="1" applyBorder="1" applyAlignment="1">
      <alignment vertical="center" wrapText="1"/>
    </xf>
    <xf numFmtId="0" fontId="6" fillId="6" borderId="6" xfId="0" applyFont="1" applyFill="1" applyBorder="1" applyAlignment="1">
      <alignment vertical="center" wrapText="1"/>
    </xf>
    <xf numFmtId="0" fontId="6" fillId="6" borderId="8" xfId="0" applyFont="1" applyFill="1" applyBorder="1" applyAlignment="1">
      <alignment vertical="top"/>
    </xf>
    <xf numFmtId="0" fontId="10" fillId="7" borderId="2" xfId="0" applyFont="1" applyFill="1" applyBorder="1" applyAlignment="1">
      <alignment horizontal="center" vertical="top" wrapText="1"/>
    </xf>
    <xf numFmtId="0" fontId="10" fillId="7" borderId="3" xfId="0" applyFont="1" applyFill="1" applyBorder="1" applyAlignment="1">
      <alignment horizontal="center" vertical="top" wrapText="1"/>
    </xf>
    <xf numFmtId="0" fontId="10" fillId="7" borderId="4" xfId="0" applyFont="1" applyFill="1" applyBorder="1" applyAlignment="1">
      <alignment horizontal="center" vertical="top" wrapText="1"/>
    </xf>
    <xf numFmtId="0" fontId="6" fillId="6" borderId="5" xfId="0" applyFont="1" applyFill="1" applyBorder="1" applyAlignment="1">
      <alignment horizontal="left" vertical="center" wrapText="1"/>
    </xf>
    <xf numFmtId="0" fontId="6" fillId="6" borderId="8" xfId="0" applyFont="1" applyFill="1" applyBorder="1" applyAlignment="1">
      <alignment horizontal="left" vertical="center" wrapText="1"/>
    </xf>
    <xf numFmtId="0" fontId="6" fillId="6" borderId="5" xfId="0" applyFont="1" applyFill="1" applyBorder="1" applyAlignment="1">
      <alignment horizontal="left" vertical="center"/>
    </xf>
    <xf numFmtId="0" fontId="6" fillId="6" borderId="8" xfId="0" applyFont="1" applyFill="1" applyBorder="1" applyAlignment="1">
      <alignment horizontal="left" vertical="center"/>
    </xf>
    <xf numFmtId="0" fontId="6" fillId="6" borderId="5" xfId="0" applyFont="1" applyFill="1" applyBorder="1" applyAlignment="1">
      <alignment horizontal="left" vertical="top" wrapText="1"/>
    </xf>
    <xf numFmtId="0" fontId="6" fillId="6" borderId="8" xfId="0" applyFont="1" applyFill="1" applyBorder="1" applyAlignment="1">
      <alignment horizontal="left" vertical="top" wrapText="1"/>
    </xf>
    <xf numFmtId="0" fontId="6" fillId="6" borderId="6" xfId="0" applyFont="1" applyFill="1" applyBorder="1" applyAlignment="1">
      <alignment horizontal="left" vertical="top" wrapText="1"/>
    </xf>
    <xf numFmtId="0" fontId="6" fillId="6" borderId="5" xfId="0" applyFont="1" applyFill="1" applyBorder="1" applyAlignment="1">
      <alignment horizontal="left" vertical="top"/>
    </xf>
    <xf numFmtId="0" fontId="6" fillId="6" borderId="8" xfId="0" applyFont="1" applyFill="1" applyBorder="1" applyAlignment="1">
      <alignment horizontal="left" vertical="top"/>
    </xf>
    <xf numFmtId="0" fontId="6" fillId="6" borderId="6" xfId="0" applyFont="1" applyFill="1" applyBorder="1" applyAlignment="1">
      <alignment horizontal="left" vertical="top"/>
    </xf>
    <xf numFmtId="0" fontId="5" fillId="6" borderId="15" xfId="0" applyFont="1" applyFill="1" applyBorder="1" applyAlignment="1">
      <alignment horizontal="center" vertical="top"/>
    </xf>
    <xf numFmtId="0" fontId="36" fillId="6" borderId="2" xfId="0" applyFont="1" applyFill="1" applyBorder="1" applyAlignment="1">
      <alignment horizontal="left" vertical="top" wrapText="1"/>
    </xf>
    <xf numFmtId="0" fontId="14" fillId="7" borderId="1" xfId="0" applyFont="1" applyFill="1" applyBorder="1" applyAlignment="1">
      <alignment horizontal="left" vertical="top"/>
    </xf>
    <xf numFmtId="0" fontId="5" fillId="6" borderId="1" xfId="0" applyFont="1" applyFill="1" applyBorder="1" applyAlignment="1">
      <alignment horizontal="left" vertical="top"/>
    </xf>
    <xf numFmtId="0" fontId="6" fillId="6" borderId="6" xfId="0" applyFont="1" applyFill="1" applyBorder="1" applyAlignment="1">
      <alignment horizontal="left" vertical="center" wrapText="1"/>
    </xf>
    <xf numFmtId="0" fontId="0" fillId="0" borderId="3" xfId="0" applyBorder="1"/>
    <xf numFmtId="0" fontId="0" fillId="0" borderId="4" xfId="0" applyBorder="1"/>
    <xf numFmtId="0" fontId="18" fillId="6" borderId="7" xfId="0" applyFont="1" applyFill="1" applyBorder="1" applyAlignment="1">
      <alignment horizontal="center" vertical="center"/>
    </xf>
    <xf numFmtId="0" fontId="18" fillId="6" borderId="10" xfId="0" applyFont="1" applyFill="1" applyBorder="1" applyAlignment="1">
      <alignment horizontal="center" vertical="center"/>
    </xf>
    <xf numFmtId="0" fontId="18" fillId="6" borderId="12" xfId="0" applyFont="1" applyFill="1" applyBorder="1" applyAlignment="1">
      <alignment horizontal="center" vertical="center"/>
    </xf>
    <xf numFmtId="0" fontId="13" fillId="6" borderId="7" xfId="0" applyFont="1" applyFill="1" applyBorder="1" applyAlignment="1">
      <alignment horizontal="left" vertical="top" wrapText="1"/>
    </xf>
    <xf numFmtId="0" fontId="13" fillId="6" borderId="10" xfId="0" applyFont="1" applyFill="1" applyBorder="1" applyAlignment="1">
      <alignment horizontal="left" vertical="top"/>
    </xf>
    <xf numFmtId="0" fontId="13" fillId="6" borderId="12" xfId="0" applyFont="1" applyFill="1" applyBorder="1" applyAlignment="1">
      <alignment horizontal="left" vertical="top"/>
    </xf>
    <xf numFmtId="0" fontId="13" fillId="6" borderId="9" xfId="0" applyFont="1" applyFill="1" applyBorder="1" applyAlignment="1">
      <alignment horizontal="left" vertical="top" wrapText="1"/>
    </xf>
    <xf numFmtId="0" fontId="13" fillId="6" borderId="11" xfId="0" applyFont="1" applyFill="1" applyBorder="1" applyAlignment="1">
      <alignment horizontal="left" vertical="top" wrapText="1"/>
    </xf>
    <xf numFmtId="0" fontId="13" fillId="6" borderId="13" xfId="0" applyFont="1" applyFill="1" applyBorder="1" applyAlignment="1">
      <alignment horizontal="left" vertical="top" wrapText="1"/>
    </xf>
    <xf numFmtId="0" fontId="5" fillId="6" borderId="1" xfId="0" applyFont="1" applyFill="1" applyBorder="1" applyAlignment="1">
      <alignment horizontal="center" vertical="top"/>
    </xf>
    <xf numFmtId="14" fontId="5" fillId="6" borderId="1" xfId="0" applyNumberFormat="1" applyFont="1" applyFill="1" applyBorder="1" applyAlignment="1">
      <alignment horizontal="center" vertical="top"/>
    </xf>
    <xf numFmtId="14" fontId="5" fillId="6" borderId="15" xfId="0" applyNumberFormat="1" applyFont="1" applyFill="1" applyBorder="1" applyAlignment="1">
      <alignment horizontal="center" vertical="center"/>
    </xf>
    <xf numFmtId="49" fontId="5" fillId="6" borderId="15" xfId="0" applyNumberFormat="1" applyFont="1" applyFill="1" applyBorder="1" applyAlignment="1">
      <alignment horizontal="left" vertical="top" wrapText="1"/>
    </xf>
    <xf numFmtId="0" fontId="14" fillId="7" borderId="23" xfId="0" applyFont="1" applyFill="1" applyBorder="1" applyAlignment="1">
      <alignment horizontal="center" vertical="top"/>
    </xf>
    <xf numFmtId="0" fontId="5" fillId="6" borderId="0" xfId="0" applyFont="1" applyFill="1" applyBorder="1" applyAlignment="1">
      <alignment horizontal="center" vertical="top"/>
    </xf>
    <xf numFmtId="14" fontId="5" fillId="6" borderId="0" xfId="0" applyNumberFormat="1" applyFont="1" applyFill="1" applyBorder="1" applyAlignment="1">
      <alignment horizontal="center" vertical="top"/>
    </xf>
    <xf numFmtId="0" fontId="5" fillId="6" borderId="2" xfId="0" applyFont="1" applyFill="1" applyBorder="1" applyAlignment="1">
      <alignment horizontal="left" vertical="center" wrapText="1"/>
    </xf>
    <xf numFmtId="0" fontId="5" fillId="6" borderId="3" xfId="0" applyFont="1" applyFill="1" applyBorder="1" applyAlignment="1">
      <alignment horizontal="left" vertical="center" wrapText="1"/>
    </xf>
    <xf numFmtId="0" fontId="5" fillId="6" borderId="4" xfId="0" applyFont="1" applyFill="1" applyBorder="1" applyAlignment="1">
      <alignment horizontal="left" vertical="center" wrapText="1"/>
    </xf>
    <xf numFmtId="49" fontId="5" fillId="6" borderId="2" xfId="0" applyNumberFormat="1" applyFont="1" applyFill="1" applyBorder="1" applyAlignment="1">
      <alignment horizontal="left" vertical="top" wrapText="1"/>
    </xf>
    <xf numFmtId="49" fontId="5" fillId="6" borderId="3" xfId="0" applyNumberFormat="1" applyFont="1" applyFill="1" applyBorder="1" applyAlignment="1">
      <alignment horizontal="left" vertical="top" wrapText="1"/>
    </xf>
    <xf numFmtId="49" fontId="5" fillId="6" borderId="4" xfId="0" applyNumberFormat="1" applyFont="1" applyFill="1" applyBorder="1" applyAlignment="1">
      <alignment horizontal="left" vertical="top" wrapText="1"/>
    </xf>
    <xf numFmtId="0" fontId="14" fillId="7" borderId="2" xfId="0" applyFont="1" applyFill="1" applyBorder="1" applyAlignment="1">
      <alignment horizontal="left" vertical="center" wrapText="1"/>
    </xf>
    <xf numFmtId="0" fontId="14" fillId="7" borderId="3" xfId="0" applyFont="1" applyFill="1" applyBorder="1" applyAlignment="1">
      <alignment horizontal="left" vertical="center" wrapText="1"/>
    </xf>
    <xf numFmtId="0" fontId="14" fillId="7" borderId="4" xfId="0" applyFont="1" applyFill="1" applyBorder="1" applyAlignment="1">
      <alignment horizontal="left" vertical="center" wrapText="1"/>
    </xf>
    <xf numFmtId="0" fontId="5" fillId="6" borderId="1" xfId="0" applyFont="1" applyFill="1" applyBorder="1" applyAlignment="1">
      <alignment horizontal="left" vertical="top" wrapText="1"/>
    </xf>
    <xf numFmtId="0" fontId="5" fillId="6" borderId="5" xfId="0" applyFont="1" applyFill="1" applyBorder="1" applyAlignment="1">
      <alignment horizontal="center" vertical="center"/>
    </xf>
    <xf numFmtId="0" fontId="5" fillId="6" borderId="8" xfId="0" applyFont="1" applyFill="1" applyBorder="1" applyAlignment="1">
      <alignment horizontal="center" vertical="center"/>
    </xf>
    <xf numFmtId="0" fontId="5" fillId="6" borderId="6" xfId="0" applyFont="1" applyFill="1" applyBorder="1" applyAlignment="1">
      <alignment horizontal="center" vertical="center"/>
    </xf>
    <xf numFmtId="0" fontId="5" fillId="6" borderId="2" xfId="0" applyFont="1" applyFill="1" applyBorder="1" applyAlignment="1">
      <alignment horizontal="left" vertical="top"/>
    </xf>
    <xf numFmtId="0" fontId="14" fillId="7" borderId="1" xfId="0" applyFont="1" applyFill="1" applyBorder="1" applyAlignment="1">
      <alignment horizontal="center" vertical="center"/>
    </xf>
    <xf numFmtId="49" fontId="14" fillId="6" borderId="2" xfId="0" applyNumberFormat="1" applyFont="1" applyFill="1" applyBorder="1" applyAlignment="1">
      <alignment horizontal="left" vertical="top" wrapText="1"/>
    </xf>
    <xf numFmtId="49" fontId="5" fillId="6" borderId="1" xfId="0" applyNumberFormat="1" applyFont="1" applyFill="1" applyBorder="1" applyAlignment="1">
      <alignment horizontal="left" vertical="top" wrapText="1"/>
    </xf>
    <xf numFmtId="49" fontId="5" fillId="6" borderId="1" xfId="0" applyNumberFormat="1" applyFont="1" applyFill="1" applyBorder="1" applyAlignment="1">
      <alignment horizontal="left" vertical="top"/>
    </xf>
    <xf numFmtId="49" fontId="5" fillId="6" borderId="3" xfId="0" applyNumberFormat="1" applyFont="1" applyFill="1" applyBorder="1" applyAlignment="1">
      <alignment horizontal="left" vertical="top"/>
    </xf>
    <xf numFmtId="49" fontId="5" fillId="6" borderId="4" xfId="0" applyNumberFormat="1" applyFont="1" applyFill="1" applyBorder="1" applyAlignment="1">
      <alignment horizontal="left" vertical="top"/>
    </xf>
    <xf numFmtId="0" fontId="29" fillId="20" borderId="20" xfId="6" applyFont="1" applyFill="1" applyBorder="1" applyAlignment="1">
      <alignment horizontal="center" vertical="top"/>
    </xf>
    <xf numFmtId="0" fontId="29" fillId="20" borderId="20" xfId="6" applyFont="1" applyFill="1" applyBorder="1" applyAlignment="1">
      <alignment horizontal="center" vertical="center"/>
    </xf>
    <xf numFmtId="0" fontId="31" fillId="22" borderId="20" xfId="6" applyFont="1" applyFill="1" applyBorder="1" applyAlignment="1">
      <alignment horizontal="center" vertical="top"/>
    </xf>
    <xf numFmtId="14" fontId="29" fillId="20" borderId="20" xfId="6" applyNumberFormat="1" applyFont="1" applyFill="1" applyBorder="1" applyAlignment="1">
      <alignment horizontal="center" vertical="center"/>
    </xf>
    <xf numFmtId="0" fontId="29" fillId="20" borderId="20" xfId="6" applyFont="1" applyFill="1" applyBorder="1" applyAlignment="1">
      <alignment horizontal="center" vertical="center" wrapText="1"/>
    </xf>
    <xf numFmtId="0" fontId="29" fillId="20" borderId="1" xfId="6" applyFont="1" applyFill="1" applyBorder="1" applyAlignment="1">
      <alignment horizontal="left" vertical="top" wrapText="1"/>
    </xf>
    <xf numFmtId="14" fontId="32" fillId="20" borderId="21" xfId="6" applyNumberFormat="1" applyFont="1" applyFill="1" applyBorder="1" applyAlignment="1">
      <alignment horizontal="center" vertical="top"/>
    </xf>
    <xf numFmtId="0" fontId="32" fillId="20" borderId="21" xfId="6" applyFont="1" applyFill="1" applyBorder="1" applyAlignment="1">
      <alignment horizontal="center" vertical="top"/>
    </xf>
    <xf numFmtId="0" fontId="29" fillId="20" borderId="1" xfId="6" applyFont="1" applyFill="1" applyBorder="1" applyAlignment="1">
      <alignment horizontal="center" vertical="top"/>
    </xf>
    <xf numFmtId="0" fontId="31" fillId="22" borderId="1" xfId="6" applyFont="1" applyFill="1" applyBorder="1" applyAlignment="1">
      <alignment horizontal="center" vertical="top"/>
    </xf>
    <xf numFmtId="0" fontId="31" fillId="22" borderId="22" xfId="6" applyFont="1" applyFill="1" applyBorder="1" applyAlignment="1">
      <alignment horizontal="center" vertical="top"/>
    </xf>
    <xf numFmtId="14" fontId="29" fillId="20" borderId="20" xfId="6" applyNumberFormat="1" applyFont="1" applyFill="1" applyBorder="1" applyAlignment="1">
      <alignment horizontal="center" vertical="top"/>
    </xf>
    <xf numFmtId="0" fontId="31" fillId="22" borderId="1" xfId="6" applyFont="1" applyFill="1" applyBorder="1" applyAlignment="1">
      <alignment horizontal="left" vertical="top"/>
    </xf>
    <xf numFmtId="0" fontId="31" fillId="22" borderId="1" xfId="6" applyFont="1" applyFill="1" applyBorder="1" applyAlignment="1">
      <alignment horizontal="left" vertical="center"/>
    </xf>
    <xf numFmtId="0" fontId="29" fillId="20" borderId="1" xfId="6" applyFont="1" applyFill="1" applyBorder="1" applyAlignment="1">
      <alignment horizontal="left" vertical="center" wrapText="1"/>
    </xf>
    <xf numFmtId="0" fontId="31" fillId="22" borderId="1" xfId="6" applyFont="1" applyFill="1" applyBorder="1" applyAlignment="1">
      <alignment horizontal="center" vertical="center" wrapText="1"/>
    </xf>
    <xf numFmtId="0" fontId="29" fillId="20" borderId="1" xfId="6" applyFont="1" applyFill="1" applyBorder="1" applyAlignment="1">
      <alignment horizontal="left" vertical="top"/>
    </xf>
    <xf numFmtId="0" fontId="29" fillId="20" borderId="2" xfId="6" applyFont="1" applyFill="1" applyBorder="1" applyAlignment="1">
      <alignment horizontal="left"/>
    </xf>
    <xf numFmtId="0" fontId="29" fillId="20" borderId="3" xfId="6" applyFont="1" applyFill="1" applyBorder="1" applyAlignment="1">
      <alignment horizontal="left"/>
    </xf>
    <xf numFmtId="0" fontId="29" fillId="20" borderId="4" xfId="6" applyFont="1" applyFill="1" applyBorder="1" applyAlignment="1">
      <alignment horizontal="left"/>
    </xf>
    <xf numFmtId="0" fontId="33" fillId="20" borderId="1" xfId="6" applyFont="1" applyFill="1" applyBorder="1" applyAlignment="1">
      <alignment horizontal="left" vertical="top" wrapText="1"/>
    </xf>
    <xf numFmtId="0" fontId="31" fillId="22" borderId="1" xfId="6" applyFont="1" applyFill="1" applyBorder="1" applyAlignment="1">
      <alignment horizontal="left" vertical="top" wrapText="1"/>
    </xf>
    <xf numFmtId="0" fontId="28" fillId="20" borderId="1" xfId="6" applyFont="1" applyFill="1" applyBorder="1" applyAlignment="1">
      <alignment horizontal="center" vertical="top"/>
    </xf>
    <xf numFmtId="14" fontId="5" fillId="6" borderId="2" xfId="0" applyNumberFormat="1" applyFont="1" applyFill="1" applyBorder="1" applyAlignment="1">
      <alignment horizontal="center" vertical="top"/>
    </xf>
    <xf numFmtId="14" fontId="5" fillId="6" borderId="4" xfId="0" applyNumberFormat="1" applyFont="1" applyFill="1" applyBorder="1" applyAlignment="1">
      <alignment horizontal="center" vertical="top"/>
    </xf>
    <xf numFmtId="0" fontId="14" fillId="7" borderId="1" xfId="0" applyFont="1" applyFill="1" applyBorder="1" applyAlignment="1">
      <alignment horizontal="center" vertical="top"/>
    </xf>
    <xf numFmtId="0" fontId="14" fillId="7" borderId="2" xfId="0" applyFont="1" applyFill="1" applyBorder="1" applyAlignment="1">
      <alignment horizontal="center" vertical="top"/>
    </xf>
    <xf numFmtId="0" fontId="14" fillId="7" borderId="4" xfId="0" applyFont="1" applyFill="1" applyBorder="1" applyAlignment="1">
      <alignment horizontal="center" vertical="top"/>
    </xf>
    <xf numFmtId="0" fontId="5" fillId="6" borderId="5" xfId="0" applyFont="1" applyFill="1" applyBorder="1" applyAlignment="1">
      <alignment horizontal="left" vertical="center"/>
    </xf>
    <xf numFmtId="0" fontId="5" fillId="6" borderId="8" xfId="0" applyFont="1" applyFill="1" applyBorder="1" applyAlignment="1">
      <alignment horizontal="left" vertical="center"/>
    </xf>
    <xf numFmtId="0" fontId="14" fillId="7" borderId="2" xfId="0" applyFont="1" applyFill="1" applyBorder="1" applyAlignment="1">
      <alignment horizontal="center" vertical="top" wrapText="1"/>
    </xf>
    <xf numFmtId="0" fontId="14" fillId="7" borderId="3" xfId="0" applyFont="1" applyFill="1" applyBorder="1" applyAlignment="1">
      <alignment horizontal="center" vertical="top" wrapText="1"/>
    </xf>
    <xf numFmtId="0" fontId="14" fillId="7" borderId="4" xfId="0" applyFont="1" applyFill="1" applyBorder="1" applyAlignment="1">
      <alignment horizontal="center" vertical="top" wrapText="1"/>
    </xf>
    <xf numFmtId="0" fontId="5" fillId="6" borderId="5" xfId="0" applyFont="1" applyFill="1" applyBorder="1" applyAlignment="1">
      <alignment horizontal="left" vertical="top"/>
    </xf>
    <xf numFmtId="0" fontId="5" fillId="6" borderId="8" xfId="0" applyFont="1" applyFill="1" applyBorder="1" applyAlignment="1">
      <alignment horizontal="left" vertical="top"/>
    </xf>
    <xf numFmtId="0" fontId="5" fillId="6" borderId="6" xfId="0" applyFont="1" applyFill="1" applyBorder="1" applyAlignment="1">
      <alignment horizontal="left" vertical="top"/>
    </xf>
    <xf numFmtId="0" fontId="5" fillId="6" borderId="14" xfId="0" applyFont="1" applyFill="1" applyBorder="1" applyAlignment="1">
      <alignment horizontal="left" vertical="top" wrapText="1"/>
    </xf>
    <xf numFmtId="0" fontId="5" fillId="6" borderId="0" xfId="0" applyFont="1" applyFill="1" applyBorder="1" applyAlignment="1">
      <alignment horizontal="left" vertical="top"/>
    </xf>
    <xf numFmtId="0" fontId="5" fillId="6" borderId="19" xfId="0" applyFont="1" applyFill="1" applyBorder="1" applyAlignment="1">
      <alignment horizontal="left" vertical="top"/>
    </xf>
    <xf numFmtId="0" fontId="5" fillId="6" borderId="6" xfId="0" applyFont="1" applyFill="1" applyBorder="1" applyAlignment="1">
      <alignment horizontal="left" vertical="top" wrapText="1"/>
    </xf>
    <xf numFmtId="0" fontId="5" fillId="6" borderId="1" xfId="0" applyFont="1" applyFill="1" applyBorder="1" applyAlignment="1">
      <alignment horizontal="left" vertical="center"/>
    </xf>
    <xf numFmtId="0" fontId="9" fillId="9" borderId="0" xfId="0" applyFont="1" applyFill="1" applyAlignment="1">
      <alignment horizontal="center" vertical="center"/>
    </xf>
    <xf numFmtId="0" fontId="6" fillId="6" borderId="1" xfId="0" applyFont="1" applyFill="1" applyBorder="1" applyAlignment="1">
      <alignment horizontal="center" vertical="top"/>
    </xf>
    <xf numFmtId="0" fontId="3" fillId="13" borderId="1" xfId="0" applyFont="1" applyFill="1" applyBorder="1" applyAlignment="1">
      <alignment horizontal="left" vertical="center"/>
    </xf>
    <xf numFmtId="0" fontId="3" fillId="13" borderId="5" xfId="0" applyFont="1" applyFill="1" applyBorder="1" applyAlignment="1">
      <alignment horizontal="center" vertical="center"/>
    </xf>
    <xf numFmtId="0" fontId="3" fillId="13" borderId="6" xfId="0" applyFont="1" applyFill="1" applyBorder="1" applyAlignment="1">
      <alignment horizontal="center" vertical="center"/>
    </xf>
    <xf numFmtId="0" fontId="8" fillId="6" borderId="5" xfId="0" applyFont="1" applyFill="1" applyBorder="1" applyAlignment="1" applyProtection="1">
      <alignment horizontal="left" vertical="center" wrapText="1"/>
      <protection locked="0"/>
    </xf>
    <xf numFmtId="0" fontId="8" fillId="6" borderId="6" xfId="0" applyFont="1" applyFill="1" applyBorder="1" applyAlignment="1" applyProtection="1">
      <alignment horizontal="left" vertical="center" wrapText="1"/>
      <protection locked="0"/>
    </xf>
    <xf numFmtId="0" fontId="8" fillId="6" borderId="5" xfId="0" applyFont="1" applyFill="1" applyBorder="1" applyAlignment="1" applyProtection="1">
      <alignment horizontal="left" vertical="center"/>
      <protection locked="0"/>
    </xf>
    <xf numFmtId="0" fontId="8" fillId="6" borderId="6" xfId="0" applyFont="1" applyFill="1" applyBorder="1" applyAlignment="1" applyProtection="1">
      <alignment horizontal="left" vertical="center"/>
      <protection locked="0"/>
    </xf>
    <xf numFmtId="1" fontId="7" fillId="6" borderId="1" xfId="0" applyNumberFormat="1" applyFont="1" applyFill="1" applyBorder="1" applyAlignment="1">
      <alignment horizontal="center" vertical="center" wrapText="1"/>
    </xf>
    <xf numFmtId="1" fontId="7" fillId="6" borderId="5" xfId="0" applyNumberFormat="1" applyFont="1" applyFill="1" applyBorder="1" applyAlignment="1">
      <alignment horizontal="center" vertical="center" wrapText="1"/>
    </xf>
    <xf numFmtId="1" fontId="7" fillId="6" borderId="6" xfId="0" applyNumberFormat="1" applyFont="1" applyFill="1" applyBorder="1" applyAlignment="1">
      <alignment horizontal="center" vertical="center" wrapText="1"/>
    </xf>
  </cellXfs>
  <cellStyles count="12">
    <cellStyle name="20 % - Accent4" xfId="2" builtinId="42"/>
    <cellStyle name="20 % - Accent6" xfId="7" builtinId="50"/>
    <cellStyle name="40 % - Accent4" xfId="3" builtinId="43"/>
    <cellStyle name="40 % - Accent6" xfId="8" builtinId="51"/>
    <cellStyle name="60 % - Accent4" xfId="4" builtinId="44"/>
    <cellStyle name="60 % - Accent6" xfId="9" builtinId="52"/>
    <cellStyle name="Accent2" xfId="11" builtinId="33"/>
    <cellStyle name="Accent4" xfId="1" builtinId="41"/>
    <cellStyle name="Lien hypertexte" xfId="10" builtinId="8"/>
    <cellStyle name="Normal" xfId="0" builtinId="0"/>
    <cellStyle name="Normal 2" xfId="6"/>
    <cellStyle name="Pourcentage" xfId="5" builtinId="5"/>
  </cellStyles>
  <dxfs count="0"/>
  <tableStyles count="0" defaultTableStyle="TableStyleMedium2" defaultPivotStyle="PivotStyleLight16"/>
  <colors>
    <mruColors>
      <color rgb="FFFF8080"/>
      <color rgb="FF0000FF"/>
      <color rgb="FFA6D1D1"/>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69850</xdr:colOff>
      <xdr:row>1</xdr:row>
      <xdr:rowOff>38100</xdr:rowOff>
    </xdr:from>
    <xdr:to>
      <xdr:col>2</xdr:col>
      <xdr:colOff>3175</xdr:colOff>
      <xdr:row>3</xdr:row>
      <xdr:rowOff>175419</xdr:rowOff>
    </xdr:to>
    <xdr:pic>
      <xdr:nvPicPr>
        <xdr:cNvPr id="2" name="Picture 1">
          <a:extLst>
            <a:ext uri="{FF2B5EF4-FFF2-40B4-BE49-F238E27FC236}">
              <a16:creationId xmlns:a16="http://schemas.microsoft.com/office/drawing/2014/main" xmlns="" id="{4568CEFA-592C-408C-8E38-19BE76CBCA91}"/>
            </a:ext>
          </a:extLst>
        </xdr:cNvPr>
        <xdr:cNvPicPr>
          <a:picLocks noChangeAspect="1" noChangeArrowheads="1"/>
        </xdr:cNvPicPr>
      </xdr:nvPicPr>
      <xdr:blipFill>
        <a:blip xmlns:r="http://schemas.openxmlformats.org/officeDocument/2006/relationships" r:embed="rId1" cstate="print"/>
        <a:srcRect r="45454"/>
        <a:stretch>
          <a:fillRect/>
        </a:stretch>
      </xdr:blipFill>
      <xdr:spPr bwMode="auto">
        <a:xfrm>
          <a:off x="215900" y="228600"/>
          <a:ext cx="533400" cy="505619"/>
        </a:xfrm>
        <a:prstGeom prst="rect">
          <a:avLst/>
        </a:prstGeom>
        <a:noFill/>
        <a:ln w="9525">
          <a:noFill/>
          <a:miter lim="800000"/>
          <a:headEnd/>
          <a:tailEnd/>
        </a:ln>
      </xdr:spPr>
    </xdr:pic>
    <xdr:clientData/>
  </xdr:twoCellAnchor>
  <xdr:twoCellAnchor editAs="oneCell">
    <xdr:from>
      <xdr:col>11</xdr:col>
      <xdr:colOff>2089150</xdr:colOff>
      <xdr:row>1</xdr:row>
      <xdr:rowOff>69851</xdr:rowOff>
    </xdr:from>
    <xdr:to>
      <xdr:col>11</xdr:col>
      <xdr:colOff>2456994</xdr:colOff>
      <xdr:row>3</xdr:row>
      <xdr:rowOff>139701</xdr:rowOff>
    </xdr:to>
    <xdr:pic>
      <xdr:nvPicPr>
        <xdr:cNvPr id="3" name="Picture 2" descr="Résultat de recherche d'images pour &quot;iset réseau&quot;">
          <a:extLst>
            <a:ext uri="{FF2B5EF4-FFF2-40B4-BE49-F238E27FC236}">
              <a16:creationId xmlns:a16="http://schemas.microsoft.com/office/drawing/2014/main" xmlns="" id="{AB9C8D2A-8193-4FB0-9802-597B484BE8E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31200" y="260351"/>
          <a:ext cx="367844"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2454731</xdr:colOff>
      <xdr:row>1</xdr:row>
      <xdr:rowOff>92906</xdr:rowOff>
    </xdr:from>
    <xdr:to>
      <xdr:col>11</xdr:col>
      <xdr:colOff>3290675</xdr:colOff>
      <xdr:row>3</xdr:row>
      <xdr:rowOff>101600</xdr:rowOff>
    </xdr:to>
    <xdr:pic>
      <xdr:nvPicPr>
        <xdr:cNvPr id="4" name="Picture 3" descr="Résultat de recherche d'images pour &quot;fed tic&quot;">
          <a:extLst>
            <a:ext uri="{FF2B5EF4-FFF2-40B4-BE49-F238E27FC236}">
              <a16:creationId xmlns:a16="http://schemas.microsoft.com/office/drawing/2014/main" xmlns="" id="{904C6FFC-944E-49C0-8434-18586A4C0DA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696781" y="283406"/>
          <a:ext cx="835944" cy="3769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3204031</xdr:colOff>
      <xdr:row>1</xdr:row>
      <xdr:rowOff>35756</xdr:rowOff>
    </xdr:from>
    <xdr:to>
      <xdr:col>12</xdr:col>
      <xdr:colOff>2800</xdr:colOff>
      <xdr:row>3</xdr:row>
      <xdr:rowOff>95250</xdr:rowOff>
    </xdr:to>
    <xdr:pic>
      <xdr:nvPicPr>
        <xdr:cNvPr id="5" name="Picture 4" descr="Résultat de recherche d'images pour &quot;tact tunisie&quot;">
          <a:extLst>
            <a:ext uri="{FF2B5EF4-FFF2-40B4-BE49-F238E27FC236}">
              <a16:creationId xmlns:a16="http://schemas.microsoft.com/office/drawing/2014/main" xmlns="" id="{403CA4BD-1A65-403D-8ADD-87AE838B394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446081" y="226256"/>
          <a:ext cx="427794" cy="427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02%20Private\2.%20Engagements\13.%20World%20Bank\WB-M06%20-%20ICT%20QCF\2.%20Document%20in%20progress\Implementation\2.%20Etablissements%20de%20formation\Polytechnique%20Sousse\diagnostic\WBK-ICT-assistance%20technique%20-template-Polytech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tions PE "/>
      <sheetName val="Périmètre"/>
      <sheetName val="compétences"/>
      <sheetName val="Gap Analysis "/>
      <sheetName val="reporting"/>
      <sheetName val="planning"/>
      <sheetName val="Annexe1-compét techniques "/>
      <sheetName val="Annexe 2_soft skills"/>
      <sheetName val="Métiers REM-REC"/>
      <sheetName val="compétence REM-REC"/>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Numu Consulting">
      <a:dk1>
        <a:srgbClr val="008080"/>
      </a:dk1>
      <a:lt1>
        <a:srgbClr val="FFFFFF"/>
      </a:lt1>
      <a:dk2>
        <a:srgbClr val="008080"/>
      </a:dk2>
      <a:lt2>
        <a:srgbClr val="FFFFFF"/>
      </a:lt2>
      <a:accent1>
        <a:srgbClr val="C8C8C8"/>
      </a:accent1>
      <a:accent2>
        <a:srgbClr val="6AB2B2"/>
      </a:accent2>
      <a:accent3>
        <a:srgbClr val="AAAAAA"/>
      </a:accent3>
      <a:accent4>
        <a:srgbClr val="008080"/>
      </a:accent4>
      <a:accent5>
        <a:srgbClr val="7D7D7D"/>
      </a:accent5>
      <a:accent6>
        <a:srgbClr val="1E6262"/>
      </a:accent6>
      <a:hlink>
        <a:srgbClr val="909090"/>
      </a:hlink>
      <a:folHlink>
        <a:srgbClr val="6A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Plan%20d'&#233;tudes%20TIC%20des%20ISETs_pack%20parcours%20DSI.xlsx"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Plan%20d'&#233;tudes%20TIC%20des%20ISETs_pack%20parcours%20DSI.xlsx"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Plan%20d'&#233;tudes%20TIC%20des%20ISETs_pack%20parcours%20DSI.xlsx"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Plan%20d'&#233;tudes%20TIC%20des%20ISETs_pack%20parcours%20DSI.xlsx"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Plan%20d'&#233;tudes%20TIC%20des%20ISETs_pack%20parcours%20DSI.xlsx"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Plan%20d'&#233;tudes%20TIC%20des%20ISETs_pack%20parcours%20DSI.xlsx"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Plan%20d'&#233;tudes%20TIC%20des%20ISETs_pack%20parcours%20DSI.xlsx"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Plan%20d'&#233;tudes%20TIC%20des%20ISETs_pack%20parcours%20DSI.xlsx"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Plan%20d'&#233;tudes%20TIC%20des%20ISETs_pack%20parcours%20DSI.xlsx"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Plan%20d'&#233;tudes%20TIC%20des%20ISETs_pack%20parcours%20DSI.xlsx"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Plan%20d'&#233;tudes%20TIC%20des%20ISETs_pack%20parcours%20DSI.xls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Plan%20d'&#233;tudes%20TIC%20des%20ISETs_pack%20parcours%20DSI.xlsx"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Plan%20d'&#233;tudes%20TIC%20des%20ISETs_pack%20parcours%20DSI.xlsx"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Plan%20d'&#233;tudes%20TIC%20des%20ISETs_pack%20parcours%20DSI.xlsx"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Plan%20d'&#233;tudes%20TIC%20des%20ISETs_pack%20parcours%20DSI.xlsx"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Plan%20d'&#233;tudes%20TIC%20des%20ISETs_pack%20parcours%20DSI.xlsx" TargetMode="Externa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Plan%20d'&#233;tudes%20TIC%20des%20ISETs_pack%20parcours%20DSI.xlsx" TargetMode="External"/></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Plan%20d'&#233;tudes%20TIC%20des%20ISETs_pack%20parcours%20DSI.xlsx" TargetMode="External"/></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Plan%20d'&#233;tudes%20TIC%20des%20ISETs_pack%20parcours%20DSI.xlsx" TargetMode="External"/></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Plan%20d'&#233;tudes%20TIC%20des%20ISETs_pack%20parcours%20DSI.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6"/>
  <sheetViews>
    <sheetView tabSelected="1" workbookViewId="0">
      <selection activeCell="K27" sqref="K27"/>
    </sheetView>
  </sheetViews>
  <sheetFormatPr baseColWidth="10" defaultColWidth="8.85546875" defaultRowHeight="15" x14ac:dyDescent="0.25"/>
  <cols>
    <col min="1" max="1" width="2.140625" style="1" customWidth="1"/>
    <col min="2" max="11" width="8.85546875" style="1"/>
    <col min="12" max="12" width="53" style="1" customWidth="1"/>
    <col min="13" max="16384" width="8.85546875" style="1"/>
  </cols>
  <sheetData>
    <row r="1" spans="2:12" ht="15.75" thickBot="1" x14ac:dyDescent="0.3"/>
    <row r="2" spans="2:12" ht="14.45" customHeight="1" x14ac:dyDescent="0.25">
      <c r="B2" s="288"/>
      <c r="C2" s="289"/>
      <c r="D2" s="289"/>
      <c r="E2" s="289"/>
      <c r="F2" s="289"/>
      <c r="G2" s="289"/>
      <c r="H2" s="289"/>
      <c r="I2" s="289"/>
      <c r="J2" s="289"/>
      <c r="K2" s="289"/>
      <c r="L2" s="290"/>
    </row>
    <row r="3" spans="2:12" x14ac:dyDescent="0.25">
      <c r="B3" s="291"/>
      <c r="C3" s="36"/>
      <c r="D3" s="36"/>
      <c r="E3" s="36"/>
      <c r="F3" s="36"/>
      <c r="G3" s="36"/>
      <c r="H3" s="36"/>
      <c r="I3" s="36"/>
      <c r="J3" s="36"/>
      <c r="K3" s="36"/>
      <c r="L3" s="292"/>
    </row>
    <row r="4" spans="2:12" ht="18.75" x14ac:dyDescent="0.3">
      <c r="B4" s="291"/>
      <c r="C4" s="36"/>
      <c r="D4" s="36"/>
      <c r="E4" s="317" t="s">
        <v>863</v>
      </c>
      <c r="F4" s="318"/>
      <c r="G4" s="318"/>
      <c r="H4" s="318"/>
      <c r="I4" s="36"/>
      <c r="J4" s="36"/>
      <c r="K4" s="36"/>
      <c r="L4" s="292"/>
    </row>
    <row r="5" spans="2:12" ht="15.75" x14ac:dyDescent="0.25">
      <c r="B5" s="291"/>
      <c r="C5" s="36"/>
      <c r="D5" s="36"/>
      <c r="E5" s="319"/>
      <c r="F5" s="319"/>
      <c r="G5" s="321">
        <v>43282</v>
      </c>
      <c r="H5" s="321"/>
      <c r="I5" s="36"/>
      <c r="J5" s="36"/>
      <c r="K5" s="36"/>
      <c r="L5" s="292"/>
    </row>
    <row r="6" spans="2:12" x14ac:dyDescent="0.25">
      <c r="B6" s="291"/>
      <c r="C6" s="36"/>
      <c r="D6" s="36"/>
      <c r="E6" s="36"/>
      <c r="F6" s="36"/>
      <c r="G6" s="36"/>
      <c r="H6" s="36"/>
      <c r="I6" s="36"/>
      <c r="J6" s="36"/>
      <c r="K6" s="36"/>
      <c r="L6" s="292"/>
    </row>
    <row r="7" spans="2:12" ht="15.75" thickBot="1" x14ac:dyDescent="0.3">
      <c r="B7" s="293"/>
      <c r="C7" s="294"/>
      <c r="D7" s="294"/>
      <c r="E7" s="294"/>
      <c r="F7" s="294"/>
      <c r="G7" s="294"/>
      <c r="H7" s="294"/>
      <c r="I7" s="294"/>
      <c r="J7" s="294"/>
      <c r="K7" s="294"/>
      <c r="L7" s="295"/>
    </row>
    <row r="8" spans="2:12" ht="14.45" customHeight="1" x14ac:dyDescent="0.25">
      <c r="B8" s="325" t="s">
        <v>807</v>
      </c>
      <c r="C8" s="326"/>
      <c r="D8" s="326"/>
      <c r="E8" s="326"/>
      <c r="F8" s="326"/>
      <c r="G8" s="326"/>
      <c r="H8" s="326"/>
      <c r="I8" s="326"/>
      <c r="J8" s="326"/>
      <c r="K8" s="326"/>
      <c r="L8" s="327"/>
    </row>
    <row r="9" spans="2:12" x14ac:dyDescent="0.25">
      <c r="B9" s="328"/>
      <c r="C9" s="329"/>
      <c r="D9" s="329"/>
      <c r="E9" s="329"/>
      <c r="F9" s="329"/>
      <c r="G9" s="329"/>
      <c r="H9" s="329"/>
      <c r="I9" s="329"/>
      <c r="J9" s="329"/>
      <c r="K9" s="329"/>
      <c r="L9" s="330"/>
    </row>
    <row r="10" spans="2:12" x14ac:dyDescent="0.25">
      <c r="B10" s="328"/>
      <c r="C10" s="329"/>
      <c r="D10" s="329"/>
      <c r="E10" s="329"/>
      <c r="F10" s="329"/>
      <c r="G10" s="329"/>
      <c r="H10" s="329"/>
      <c r="I10" s="329"/>
      <c r="J10" s="329"/>
      <c r="K10" s="329"/>
      <c r="L10" s="330"/>
    </row>
    <row r="11" spans="2:12" x14ac:dyDescent="0.25">
      <c r="B11" s="328"/>
      <c r="C11" s="329"/>
      <c r="D11" s="329"/>
      <c r="E11" s="329"/>
      <c r="F11" s="329"/>
      <c r="G11" s="329"/>
      <c r="H11" s="329"/>
      <c r="I11" s="329"/>
      <c r="J11" s="329"/>
      <c r="K11" s="329"/>
      <c r="L11" s="330"/>
    </row>
    <row r="12" spans="2:12" ht="15.75" thickBot="1" x14ac:dyDescent="0.3">
      <c r="B12" s="331"/>
      <c r="C12" s="332"/>
      <c r="D12" s="332"/>
      <c r="E12" s="332"/>
      <c r="F12" s="332"/>
      <c r="G12" s="332"/>
      <c r="H12" s="332"/>
      <c r="I12" s="332"/>
      <c r="J12" s="332"/>
      <c r="K12" s="332"/>
      <c r="L12" s="333"/>
    </row>
    <row r="13" spans="2:12" ht="15.75" x14ac:dyDescent="0.25">
      <c r="B13" s="296"/>
      <c r="C13" s="177"/>
      <c r="D13" s="177"/>
      <c r="E13" s="177"/>
      <c r="F13" s="177"/>
      <c r="G13" s="177"/>
      <c r="H13" s="177"/>
      <c r="I13" s="177"/>
      <c r="J13" s="177"/>
      <c r="K13" s="177"/>
      <c r="L13" s="297"/>
    </row>
    <row r="14" spans="2:12" ht="14.1" customHeight="1" x14ac:dyDescent="0.25">
      <c r="B14" s="334" t="s">
        <v>803</v>
      </c>
      <c r="C14" s="335"/>
      <c r="D14" s="335"/>
      <c r="E14" s="335"/>
      <c r="F14" s="335"/>
      <c r="G14" s="335"/>
      <c r="H14" s="335"/>
      <c r="I14" s="335"/>
      <c r="J14" s="335"/>
      <c r="K14" s="335"/>
      <c r="L14" s="336"/>
    </row>
    <row r="15" spans="2:12" x14ac:dyDescent="0.25">
      <c r="B15" s="337" t="s">
        <v>808</v>
      </c>
      <c r="C15" s="338"/>
      <c r="D15" s="338"/>
      <c r="E15" s="338"/>
      <c r="F15" s="338"/>
      <c r="G15" s="338"/>
      <c r="H15" s="338"/>
      <c r="I15" s="338"/>
      <c r="J15" s="338"/>
      <c r="K15" s="338"/>
      <c r="L15" s="339"/>
    </row>
    <row r="16" spans="2:12" x14ac:dyDescent="0.25">
      <c r="B16" s="298" t="s">
        <v>809</v>
      </c>
      <c r="C16" s="299"/>
      <c r="D16" s="299"/>
      <c r="E16" s="299"/>
      <c r="F16" s="299"/>
      <c r="G16" s="299"/>
      <c r="H16" s="299"/>
      <c r="I16" s="299"/>
      <c r="J16" s="299"/>
      <c r="K16" s="299"/>
      <c r="L16" s="300"/>
    </row>
    <row r="17" spans="2:12" x14ac:dyDescent="0.25">
      <c r="B17" s="337" t="s">
        <v>810</v>
      </c>
      <c r="C17" s="338"/>
      <c r="D17" s="338"/>
      <c r="E17" s="338"/>
      <c r="F17" s="338"/>
      <c r="G17" s="338"/>
      <c r="H17" s="338"/>
      <c r="I17" s="338"/>
      <c r="J17" s="338"/>
      <c r="K17" s="338"/>
      <c r="L17" s="339"/>
    </row>
    <row r="18" spans="2:12" x14ac:dyDescent="0.25">
      <c r="B18" s="298" t="s">
        <v>811</v>
      </c>
      <c r="C18" s="299"/>
      <c r="D18" s="299"/>
      <c r="E18" s="299"/>
      <c r="F18" s="299"/>
      <c r="G18" s="299"/>
      <c r="H18" s="299"/>
      <c r="I18" s="299"/>
      <c r="J18" s="299"/>
      <c r="K18" s="299"/>
      <c r="L18" s="300"/>
    </row>
    <row r="19" spans="2:12" x14ac:dyDescent="0.25">
      <c r="B19" s="337" t="s">
        <v>812</v>
      </c>
      <c r="C19" s="338"/>
      <c r="D19" s="338"/>
      <c r="E19" s="338"/>
      <c r="F19" s="338"/>
      <c r="G19" s="338"/>
      <c r="H19" s="338"/>
      <c r="I19" s="338"/>
      <c r="J19" s="338"/>
      <c r="K19" s="338"/>
      <c r="L19" s="339"/>
    </row>
    <row r="20" spans="2:12" x14ac:dyDescent="0.25">
      <c r="B20" s="298" t="s">
        <v>813</v>
      </c>
      <c r="C20" s="299"/>
      <c r="D20" s="299"/>
      <c r="E20" s="299"/>
      <c r="F20" s="299"/>
      <c r="G20" s="299"/>
      <c r="H20" s="299"/>
      <c r="I20" s="299"/>
      <c r="J20" s="299"/>
      <c r="K20" s="299"/>
      <c r="L20" s="300"/>
    </row>
    <row r="21" spans="2:12" ht="15.75" thickBot="1" x14ac:dyDescent="0.3">
      <c r="B21" s="340" t="s">
        <v>814</v>
      </c>
      <c r="C21" s="341"/>
      <c r="D21" s="341"/>
      <c r="E21" s="341"/>
      <c r="F21" s="341"/>
      <c r="G21" s="341"/>
      <c r="H21" s="341"/>
      <c r="I21" s="341"/>
      <c r="J21" s="341"/>
      <c r="K21" s="341"/>
      <c r="L21" s="342"/>
    </row>
    <row r="22" spans="2:12" x14ac:dyDescent="0.25">
      <c r="B22" s="294"/>
      <c r="C22" s="294"/>
      <c r="D22" s="294"/>
      <c r="E22" s="294"/>
      <c r="F22" s="294"/>
      <c r="G22" s="294"/>
      <c r="H22" s="294"/>
      <c r="I22" s="294"/>
      <c r="J22" s="294"/>
      <c r="K22" s="294"/>
      <c r="L22" s="294"/>
    </row>
    <row r="24" spans="2:12" x14ac:dyDescent="0.25">
      <c r="B24" s="322" t="s">
        <v>804</v>
      </c>
      <c r="C24" s="322"/>
      <c r="D24" s="322"/>
    </row>
    <row r="25" spans="2:12" x14ac:dyDescent="0.25">
      <c r="B25" s="323" t="s">
        <v>805</v>
      </c>
      <c r="C25" s="323"/>
      <c r="D25" s="323"/>
    </row>
    <row r="26" spans="2:12" x14ac:dyDescent="0.25">
      <c r="B26" s="324" t="s">
        <v>806</v>
      </c>
      <c r="C26" s="324"/>
      <c r="D26" s="324"/>
      <c r="K26" s="1" t="s">
        <v>871</v>
      </c>
    </row>
  </sheetData>
  <mergeCells count="10">
    <mergeCell ref="G5:H5"/>
    <mergeCell ref="B24:D24"/>
    <mergeCell ref="B25:D25"/>
    <mergeCell ref="B26:D26"/>
    <mergeCell ref="B8:L12"/>
    <mergeCell ref="B14:L14"/>
    <mergeCell ref="B15:L15"/>
    <mergeCell ref="B17:L17"/>
    <mergeCell ref="B19:L19"/>
    <mergeCell ref="B21:L21"/>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sheetPr>
  <dimension ref="B5:H34"/>
  <sheetViews>
    <sheetView topLeftCell="B9" zoomScale="80" zoomScaleNormal="80" workbookViewId="0">
      <selection activeCell="B17" sqref="B17"/>
    </sheetView>
  </sheetViews>
  <sheetFormatPr baseColWidth="10" defaultColWidth="8.85546875" defaultRowHeight="15" x14ac:dyDescent="0.25"/>
  <cols>
    <col min="1" max="2" width="8.85546875" style="1"/>
    <col min="3" max="3" width="18.85546875" style="1" customWidth="1"/>
    <col min="4" max="4" width="17.85546875" style="1" bestFit="1" customWidth="1"/>
    <col min="5" max="5" width="23.140625" style="1" bestFit="1" customWidth="1"/>
    <col min="6" max="6" width="21.85546875" style="1" bestFit="1" customWidth="1"/>
    <col min="7" max="7" width="37.85546875" style="1" bestFit="1" customWidth="1"/>
    <col min="8" max="8" width="39.5703125" style="1" bestFit="1" customWidth="1"/>
    <col min="9" max="9" width="12.140625" style="1" bestFit="1" customWidth="1"/>
    <col min="10" max="16384" width="8.85546875" style="1"/>
  </cols>
  <sheetData>
    <row r="5" spans="2:8" x14ac:dyDescent="0.25">
      <c r="B5" s="3" t="s">
        <v>1</v>
      </c>
      <c r="C5" s="24" t="s">
        <v>149</v>
      </c>
      <c r="D5" s="24"/>
      <c r="E5" s="24"/>
      <c r="F5" s="24"/>
      <c r="G5" s="24"/>
      <c r="H5" s="24"/>
    </row>
    <row r="6" spans="2:8" s="36" customFormat="1" x14ac:dyDescent="0.25">
      <c r="B6" s="35"/>
      <c r="C6" s="37"/>
      <c r="D6" s="37"/>
      <c r="E6" s="37"/>
      <c r="F6" s="37"/>
      <c r="G6" s="37"/>
      <c r="H6" s="37"/>
    </row>
    <row r="7" spans="2:8" x14ac:dyDescent="0.25">
      <c r="C7" s="9" t="s">
        <v>3</v>
      </c>
      <c r="D7" s="9"/>
      <c r="E7" s="9"/>
      <c r="F7" s="9" t="s">
        <v>0</v>
      </c>
      <c r="G7" s="9"/>
      <c r="H7" s="9"/>
    </row>
    <row r="8" spans="2:8" x14ac:dyDescent="0.25">
      <c r="B8" s="343" t="s">
        <v>2</v>
      </c>
      <c r="C8" s="343" t="s">
        <v>4</v>
      </c>
      <c r="D8" s="343" t="s">
        <v>5</v>
      </c>
      <c r="E8" s="343" t="s">
        <v>6</v>
      </c>
      <c r="F8" s="42" t="s">
        <v>76</v>
      </c>
      <c r="G8" s="43"/>
      <c r="H8" s="43"/>
    </row>
    <row r="9" spans="2:8" x14ac:dyDescent="0.25">
      <c r="B9" s="343"/>
      <c r="C9" s="343"/>
      <c r="D9" s="343"/>
      <c r="E9" s="343"/>
      <c r="F9" s="191" t="s">
        <v>776</v>
      </c>
      <c r="G9" s="191" t="s">
        <v>777</v>
      </c>
      <c r="H9" s="191" t="s">
        <v>778</v>
      </c>
    </row>
    <row r="10" spans="2:8" x14ac:dyDescent="0.25">
      <c r="B10" s="6">
        <v>1</v>
      </c>
      <c r="C10" s="44" t="s">
        <v>116</v>
      </c>
      <c r="D10" s="44" t="s">
        <v>124</v>
      </c>
      <c r="E10" s="8" t="s">
        <v>7</v>
      </c>
      <c r="F10" s="7" t="s">
        <v>73</v>
      </c>
      <c r="G10" s="7" t="s">
        <v>73</v>
      </c>
      <c r="H10" s="7"/>
    </row>
    <row r="11" spans="2:8" x14ac:dyDescent="0.25">
      <c r="B11" s="6">
        <v>2</v>
      </c>
      <c r="C11" s="44" t="s">
        <v>117</v>
      </c>
      <c r="D11" s="44" t="s">
        <v>125</v>
      </c>
      <c r="E11" s="8" t="s">
        <v>75</v>
      </c>
      <c r="F11" s="7" t="s">
        <v>73</v>
      </c>
      <c r="G11" s="7" t="s">
        <v>73</v>
      </c>
      <c r="H11" s="7"/>
    </row>
    <row r="12" spans="2:8" x14ac:dyDescent="0.25">
      <c r="B12" s="6">
        <v>3</v>
      </c>
      <c r="C12" s="44" t="s">
        <v>118</v>
      </c>
      <c r="D12" s="44" t="s">
        <v>124</v>
      </c>
      <c r="E12" s="8" t="s">
        <v>75</v>
      </c>
      <c r="F12" s="7" t="s">
        <v>73</v>
      </c>
      <c r="G12" s="7" t="s">
        <v>73</v>
      </c>
      <c r="H12" s="7"/>
    </row>
    <row r="13" spans="2:8" x14ac:dyDescent="0.25">
      <c r="B13" s="6">
        <v>4</v>
      </c>
      <c r="C13" s="44" t="s">
        <v>119</v>
      </c>
      <c r="D13" s="44" t="s">
        <v>126</v>
      </c>
      <c r="E13" s="8" t="s">
        <v>74</v>
      </c>
      <c r="F13" s="7" t="s">
        <v>73</v>
      </c>
      <c r="G13" s="7" t="s">
        <v>73</v>
      </c>
      <c r="H13" s="7"/>
    </row>
    <row r="14" spans="2:8" x14ac:dyDescent="0.25">
      <c r="B14" s="6">
        <v>5</v>
      </c>
      <c r="C14" s="44" t="s">
        <v>123</v>
      </c>
      <c r="D14" s="44" t="s">
        <v>130</v>
      </c>
      <c r="E14" s="8" t="s">
        <v>455</v>
      </c>
      <c r="F14" s="7" t="s">
        <v>73</v>
      </c>
      <c r="G14" s="7" t="s">
        <v>73</v>
      </c>
      <c r="H14" s="7"/>
    </row>
    <row r="15" spans="2:8" x14ac:dyDescent="0.25">
      <c r="B15" s="6">
        <v>6</v>
      </c>
      <c r="C15" s="8" t="s">
        <v>133</v>
      </c>
      <c r="D15" s="8" t="s">
        <v>134</v>
      </c>
      <c r="E15" s="8" t="s">
        <v>75</v>
      </c>
      <c r="F15" s="7" t="s">
        <v>73</v>
      </c>
      <c r="G15" s="7" t="s">
        <v>73</v>
      </c>
      <c r="H15" s="7"/>
    </row>
    <row r="16" spans="2:8" x14ac:dyDescent="0.25">
      <c r="B16" s="6">
        <v>7</v>
      </c>
      <c r="C16" s="8" t="s">
        <v>841</v>
      </c>
      <c r="D16" s="8" t="s">
        <v>842</v>
      </c>
      <c r="E16" s="8" t="s">
        <v>843</v>
      </c>
      <c r="F16" s="7"/>
      <c r="G16" s="7" t="s">
        <v>73</v>
      </c>
      <c r="H16" s="7"/>
    </row>
    <row r="17" spans="2:8" x14ac:dyDescent="0.25">
      <c r="B17" s="6">
        <v>8</v>
      </c>
      <c r="C17" s="44" t="s">
        <v>120</v>
      </c>
      <c r="D17" s="44" t="s">
        <v>127</v>
      </c>
      <c r="E17" s="8" t="s">
        <v>137</v>
      </c>
      <c r="F17" s="7" t="s">
        <v>73</v>
      </c>
      <c r="G17" s="7" t="s">
        <v>73</v>
      </c>
      <c r="H17" s="7"/>
    </row>
    <row r="18" spans="2:8" x14ac:dyDescent="0.25">
      <c r="B18" s="6">
        <v>10</v>
      </c>
      <c r="C18" s="44" t="s">
        <v>131</v>
      </c>
      <c r="D18" s="44" t="s">
        <v>127</v>
      </c>
      <c r="E18" s="8" t="s">
        <v>132</v>
      </c>
      <c r="F18" s="7" t="s">
        <v>73</v>
      </c>
      <c r="G18" s="7" t="s">
        <v>73</v>
      </c>
      <c r="H18" s="7"/>
    </row>
    <row r="19" spans="2:8" x14ac:dyDescent="0.25">
      <c r="B19" s="6">
        <v>11</v>
      </c>
      <c r="C19" s="44" t="s">
        <v>121</v>
      </c>
      <c r="D19" s="44" t="s">
        <v>128</v>
      </c>
      <c r="E19" s="8" t="s">
        <v>138</v>
      </c>
      <c r="F19" s="7" t="s">
        <v>73</v>
      </c>
      <c r="G19" s="7" t="s">
        <v>73</v>
      </c>
      <c r="H19" s="8"/>
    </row>
    <row r="20" spans="2:8" x14ac:dyDescent="0.25">
      <c r="B20" s="6">
        <v>12</v>
      </c>
      <c r="C20" s="44" t="s">
        <v>122</v>
      </c>
      <c r="D20" s="44" t="s">
        <v>129</v>
      </c>
      <c r="E20" s="8" t="s">
        <v>139</v>
      </c>
      <c r="F20" s="7" t="s">
        <v>73</v>
      </c>
      <c r="G20" s="7" t="s">
        <v>73</v>
      </c>
      <c r="H20" s="8"/>
    </row>
    <row r="21" spans="2:8" x14ac:dyDescent="0.25">
      <c r="B21" s="6">
        <v>13</v>
      </c>
      <c r="C21" s="8" t="s">
        <v>135</v>
      </c>
      <c r="D21" s="8" t="s">
        <v>128</v>
      </c>
      <c r="E21" s="8" t="s">
        <v>136</v>
      </c>
      <c r="F21" s="7" t="s">
        <v>73</v>
      </c>
      <c r="G21" s="7" t="s">
        <v>73</v>
      </c>
      <c r="H21" s="8"/>
    </row>
    <row r="22" spans="2:8" x14ac:dyDescent="0.25">
      <c r="B22" s="6">
        <v>14</v>
      </c>
      <c r="C22" s="151" t="s">
        <v>439</v>
      </c>
      <c r="D22" s="151" t="s">
        <v>440</v>
      </c>
      <c r="E22" s="151" t="s">
        <v>441</v>
      </c>
      <c r="F22" s="7" t="s">
        <v>73</v>
      </c>
      <c r="G22" s="8"/>
      <c r="H22" s="7" t="s">
        <v>73</v>
      </c>
    </row>
    <row r="23" spans="2:8" x14ac:dyDescent="0.25">
      <c r="B23" s="6">
        <v>15</v>
      </c>
      <c r="C23" s="151" t="s">
        <v>442</v>
      </c>
      <c r="D23" s="151" t="s">
        <v>134</v>
      </c>
      <c r="E23" s="151" t="s">
        <v>441</v>
      </c>
      <c r="F23" s="7" t="s">
        <v>73</v>
      </c>
      <c r="G23" s="8"/>
      <c r="H23" s="7" t="s">
        <v>73</v>
      </c>
    </row>
    <row r="24" spans="2:8" x14ac:dyDescent="0.25">
      <c r="B24" s="6">
        <v>16</v>
      </c>
      <c r="C24" s="151" t="s">
        <v>443</v>
      </c>
      <c r="D24" s="151" t="s">
        <v>444</v>
      </c>
      <c r="E24" s="151" t="s">
        <v>441</v>
      </c>
      <c r="F24" s="7" t="s">
        <v>73</v>
      </c>
      <c r="G24" s="8"/>
      <c r="H24" s="7" t="s">
        <v>73</v>
      </c>
    </row>
    <row r="25" spans="2:8" x14ac:dyDescent="0.25">
      <c r="B25" s="6">
        <v>17</v>
      </c>
      <c r="C25" s="151" t="s">
        <v>445</v>
      </c>
      <c r="D25" s="151" t="s">
        <v>126</v>
      </c>
      <c r="E25" s="151" t="s">
        <v>441</v>
      </c>
      <c r="F25" s="7" t="s">
        <v>73</v>
      </c>
      <c r="G25" s="8"/>
      <c r="H25" s="7" t="s">
        <v>73</v>
      </c>
    </row>
    <row r="26" spans="2:8" x14ac:dyDescent="0.25">
      <c r="B26" s="6">
        <v>18</v>
      </c>
      <c r="C26" s="151" t="s">
        <v>446</v>
      </c>
      <c r="D26" s="151" t="s">
        <v>447</v>
      </c>
      <c r="E26" s="151" t="s">
        <v>448</v>
      </c>
      <c r="F26" s="7" t="s">
        <v>73</v>
      </c>
      <c r="G26" s="8"/>
      <c r="H26" s="7" t="s">
        <v>73</v>
      </c>
    </row>
    <row r="27" spans="2:8" x14ac:dyDescent="0.25">
      <c r="B27" s="6">
        <v>19</v>
      </c>
      <c r="C27" s="151" t="s">
        <v>449</v>
      </c>
      <c r="D27" s="151" t="s">
        <v>447</v>
      </c>
      <c r="E27" s="151" t="s">
        <v>450</v>
      </c>
      <c r="F27" s="7" t="s">
        <v>73</v>
      </c>
      <c r="G27" s="8"/>
      <c r="H27" s="7" t="s">
        <v>73</v>
      </c>
    </row>
    <row r="28" spans="2:8" x14ac:dyDescent="0.25">
      <c r="B28" s="6">
        <v>20</v>
      </c>
      <c r="C28" s="151" t="s">
        <v>451</v>
      </c>
      <c r="D28" s="151" t="s">
        <v>130</v>
      </c>
      <c r="E28" s="151" t="s">
        <v>441</v>
      </c>
      <c r="F28" s="7" t="s">
        <v>73</v>
      </c>
      <c r="G28" s="8"/>
      <c r="H28" s="7" t="s">
        <v>73</v>
      </c>
    </row>
    <row r="29" spans="2:8" x14ac:dyDescent="0.25">
      <c r="B29" s="6">
        <v>21</v>
      </c>
      <c r="C29" s="151" t="s">
        <v>452</v>
      </c>
      <c r="D29" s="151" t="s">
        <v>453</v>
      </c>
      <c r="E29" s="151" t="s">
        <v>441</v>
      </c>
      <c r="F29" s="7" t="s">
        <v>73</v>
      </c>
      <c r="G29" s="8"/>
      <c r="H29" s="7" t="s">
        <v>73</v>
      </c>
    </row>
    <row r="30" spans="2:8" x14ac:dyDescent="0.25">
      <c r="B30" s="6">
        <v>22</v>
      </c>
      <c r="C30" s="151" t="s">
        <v>454</v>
      </c>
      <c r="D30" s="151" t="s">
        <v>440</v>
      </c>
      <c r="E30" s="151" t="s">
        <v>455</v>
      </c>
      <c r="F30" s="7" t="s">
        <v>73</v>
      </c>
      <c r="G30" s="8"/>
      <c r="H30" s="7" t="s">
        <v>73</v>
      </c>
    </row>
    <row r="31" spans="2:8" x14ac:dyDescent="0.25">
      <c r="B31" s="6">
        <v>23</v>
      </c>
      <c r="C31" s="8" t="s">
        <v>459</v>
      </c>
      <c r="D31" s="151" t="s">
        <v>440</v>
      </c>
      <c r="E31" s="151" t="s">
        <v>455</v>
      </c>
      <c r="F31" s="7" t="s">
        <v>73</v>
      </c>
      <c r="G31" s="2"/>
      <c r="H31" s="7" t="s">
        <v>73</v>
      </c>
    </row>
    <row r="32" spans="2:8" x14ac:dyDescent="0.25">
      <c r="B32" s="6">
        <v>24</v>
      </c>
      <c r="C32" s="8" t="s">
        <v>785</v>
      </c>
      <c r="D32" s="8" t="s">
        <v>801</v>
      </c>
      <c r="E32" s="8" t="s">
        <v>802</v>
      </c>
      <c r="F32" s="2"/>
      <c r="G32" s="2"/>
      <c r="H32" s="7" t="s">
        <v>73</v>
      </c>
    </row>
    <row r="33" spans="2:8" x14ac:dyDescent="0.25">
      <c r="B33" s="6">
        <v>25</v>
      </c>
      <c r="C33" s="8" t="s">
        <v>786</v>
      </c>
      <c r="D33" s="151" t="s">
        <v>440</v>
      </c>
      <c r="E33" s="151" t="s">
        <v>800</v>
      </c>
      <c r="F33" s="2"/>
      <c r="G33" s="2"/>
      <c r="H33" s="7" t="s">
        <v>73</v>
      </c>
    </row>
    <row r="34" spans="2:8" x14ac:dyDescent="0.25">
      <c r="B34" s="6">
        <v>26</v>
      </c>
      <c r="C34" s="8" t="s">
        <v>815</v>
      </c>
      <c r="D34" s="151" t="s">
        <v>440</v>
      </c>
      <c r="E34" s="151" t="s">
        <v>455</v>
      </c>
      <c r="F34" s="2"/>
      <c r="G34" s="2"/>
      <c r="H34" s="7" t="s">
        <v>73</v>
      </c>
    </row>
  </sheetData>
  <mergeCells count="4">
    <mergeCell ref="B8:B9"/>
    <mergeCell ref="C8:C9"/>
    <mergeCell ref="D8:D9"/>
    <mergeCell ref="E8:E9"/>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1"/>
  </sheetPr>
  <dimension ref="C2:G14"/>
  <sheetViews>
    <sheetView topLeftCell="B1" zoomScale="80" zoomScaleNormal="80" workbookViewId="0">
      <selection activeCell="F9" sqref="F9"/>
    </sheetView>
  </sheetViews>
  <sheetFormatPr baseColWidth="10" defaultColWidth="8.85546875" defaultRowHeight="15" x14ac:dyDescent="0.25"/>
  <cols>
    <col min="1" max="2" width="8.85546875" style="1"/>
    <col min="3" max="3" width="11.85546875" style="1" customWidth="1"/>
    <col min="4" max="4" width="36.140625" style="1" customWidth="1"/>
    <col min="5" max="5" width="48.140625" style="1" customWidth="1"/>
    <col min="6" max="6" width="17.5703125" style="1" bestFit="1" customWidth="1"/>
    <col min="7" max="7" width="20.85546875" style="1" bestFit="1" customWidth="1"/>
    <col min="8" max="16384" width="8.85546875" style="1"/>
  </cols>
  <sheetData>
    <row r="2" spans="3:7" x14ac:dyDescent="0.25">
      <c r="C2" s="3" t="s">
        <v>1</v>
      </c>
      <c r="D2" s="24" t="s">
        <v>149</v>
      </c>
      <c r="E2" s="38"/>
      <c r="F2" s="38"/>
      <c r="G2" s="38"/>
    </row>
    <row r="4" spans="3:7" ht="15.75" x14ac:dyDescent="0.25">
      <c r="C4" s="25" t="s">
        <v>2</v>
      </c>
      <c r="D4" s="25" t="s">
        <v>77</v>
      </c>
      <c r="E4" s="25" t="s">
        <v>8</v>
      </c>
      <c r="F4" s="25" t="s">
        <v>80</v>
      </c>
      <c r="G4" s="25" t="s">
        <v>78</v>
      </c>
    </row>
    <row r="5" spans="3:7" ht="94.5" x14ac:dyDescent="0.25">
      <c r="C5" s="10">
        <v>1</v>
      </c>
      <c r="D5" s="4" t="s">
        <v>141</v>
      </c>
      <c r="E5" s="22" t="s">
        <v>784</v>
      </c>
      <c r="F5" s="26" t="s">
        <v>79</v>
      </c>
      <c r="G5" s="23" t="s">
        <v>787</v>
      </c>
    </row>
    <row r="6" spans="3:7" ht="47.25" x14ac:dyDescent="0.25">
      <c r="C6" s="10">
        <v>2</v>
      </c>
      <c r="D6" s="4" t="s">
        <v>142</v>
      </c>
      <c r="E6" s="22" t="s">
        <v>783</v>
      </c>
      <c r="F6" s="26" t="s">
        <v>79</v>
      </c>
      <c r="G6" s="23" t="s">
        <v>787</v>
      </c>
    </row>
    <row r="7" spans="3:7" ht="63" x14ac:dyDescent="0.25">
      <c r="C7" s="10">
        <v>3</v>
      </c>
      <c r="D7" s="5" t="s">
        <v>140</v>
      </c>
      <c r="E7" s="22" t="s">
        <v>782</v>
      </c>
      <c r="F7" s="26" t="s">
        <v>79</v>
      </c>
      <c r="G7" s="23" t="s">
        <v>788</v>
      </c>
    </row>
    <row r="8" spans="3:7" ht="78.75" x14ac:dyDescent="0.25">
      <c r="C8" s="10">
        <v>4</v>
      </c>
      <c r="D8" s="4" t="s">
        <v>143</v>
      </c>
      <c r="E8" s="22" t="s">
        <v>780</v>
      </c>
      <c r="F8" s="26" t="s">
        <v>79</v>
      </c>
      <c r="G8" s="23" t="s">
        <v>789</v>
      </c>
    </row>
    <row r="9" spans="3:7" ht="63" x14ac:dyDescent="0.25">
      <c r="C9" s="10">
        <v>5</v>
      </c>
      <c r="D9" s="4" t="s">
        <v>144</v>
      </c>
      <c r="E9" s="22" t="s">
        <v>781</v>
      </c>
      <c r="F9" s="26" t="s">
        <v>79</v>
      </c>
      <c r="G9" s="23" t="s">
        <v>790</v>
      </c>
    </row>
    <row r="11" spans="3:7" x14ac:dyDescent="0.25">
      <c r="D11" s="27" t="s">
        <v>81</v>
      </c>
    </row>
    <row r="13" spans="3:7" x14ac:dyDescent="0.25">
      <c r="C13" s="39" t="s">
        <v>115</v>
      </c>
      <c r="D13" s="34" t="s">
        <v>114</v>
      </c>
    </row>
    <row r="14" spans="3:7" x14ac:dyDescent="0.25">
      <c r="D14" s="34" t="s">
        <v>113</v>
      </c>
    </row>
  </sheetData>
  <autoFilter ref="C4:F9">
    <sortState ref="C5:F9">
      <sortCondition ref="C4:C9"/>
    </sortState>
  </autoFilter>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1"/>
  </sheetPr>
  <dimension ref="B2:C36"/>
  <sheetViews>
    <sheetView topLeftCell="A23" workbookViewId="0">
      <selection activeCell="C41" sqref="C41"/>
    </sheetView>
  </sheetViews>
  <sheetFormatPr baseColWidth="10" defaultColWidth="8.85546875" defaultRowHeight="15" x14ac:dyDescent="0.25"/>
  <cols>
    <col min="1" max="2" width="8.85546875" style="1"/>
    <col min="3" max="3" width="54.85546875" style="1" customWidth="1"/>
    <col min="4" max="16384" width="8.85546875" style="1"/>
  </cols>
  <sheetData>
    <row r="2" spans="2:3" x14ac:dyDescent="0.25">
      <c r="B2" s="3" t="s">
        <v>1</v>
      </c>
      <c r="C2" s="24" t="s">
        <v>149</v>
      </c>
    </row>
    <row r="4" spans="2:3" x14ac:dyDescent="0.25">
      <c r="B4" s="11" t="s">
        <v>2</v>
      </c>
      <c r="C4" s="11" t="s">
        <v>22</v>
      </c>
    </row>
    <row r="5" spans="2:3" x14ac:dyDescent="0.25">
      <c r="B5" s="20">
        <v>1</v>
      </c>
      <c r="C5" s="45" t="s">
        <v>9</v>
      </c>
    </row>
    <row r="6" spans="2:3" x14ac:dyDescent="0.25">
      <c r="B6" s="20">
        <v>2</v>
      </c>
      <c r="C6" s="46" t="s">
        <v>10</v>
      </c>
    </row>
    <row r="7" spans="2:3" x14ac:dyDescent="0.25">
      <c r="B7" s="20">
        <v>3</v>
      </c>
      <c r="C7" s="46" t="s">
        <v>145</v>
      </c>
    </row>
    <row r="8" spans="2:3" x14ac:dyDescent="0.25">
      <c r="B8" s="20">
        <v>4</v>
      </c>
      <c r="C8" s="46" t="s">
        <v>11</v>
      </c>
    </row>
    <row r="9" spans="2:3" x14ac:dyDescent="0.25">
      <c r="B9" s="20">
        <v>5</v>
      </c>
      <c r="C9" s="45" t="s">
        <v>12</v>
      </c>
    </row>
    <row r="10" spans="2:3" x14ac:dyDescent="0.25">
      <c r="B10" s="20">
        <v>6</v>
      </c>
      <c r="C10" s="47" t="s">
        <v>146</v>
      </c>
    </row>
    <row r="11" spans="2:3" x14ac:dyDescent="0.25">
      <c r="B11" s="20">
        <v>7</v>
      </c>
      <c r="C11" s="47" t="s">
        <v>13</v>
      </c>
    </row>
    <row r="12" spans="2:3" x14ac:dyDescent="0.25">
      <c r="B12" s="20">
        <v>8</v>
      </c>
      <c r="C12" s="47" t="s">
        <v>104</v>
      </c>
    </row>
    <row r="13" spans="2:3" x14ac:dyDescent="0.25">
      <c r="B13" s="20">
        <v>9</v>
      </c>
      <c r="C13" s="48" t="s">
        <v>14</v>
      </c>
    </row>
    <row r="14" spans="2:3" x14ac:dyDescent="0.25">
      <c r="B14" s="20">
        <v>10</v>
      </c>
      <c r="C14" s="45" t="s">
        <v>15</v>
      </c>
    </row>
    <row r="15" spans="2:3" x14ac:dyDescent="0.25">
      <c r="B15" s="20">
        <v>11</v>
      </c>
      <c r="C15" s="46" t="s">
        <v>16</v>
      </c>
    </row>
    <row r="16" spans="2:3" x14ac:dyDescent="0.25">
      <c r="B16" s="20">
        <v>12</v>
      </c>
      <c r="C16" s="47" t="s">
        <v>17</v>
      </c>
    </row>
    <row r="17" spans="2:3" x14ac:dyDescent="0.25">
      <c r="B17" s="20">
        <v>13</v>
      </c>
      <c r="C17" s="49" t="s">
        <v>18</v>
      </c>
    </row>
    <row r="18" spans="2:3" x14ac:dyDescent="0.25">
      <c r="B18" s="20">
        <v>14</v>
      </c>
      <c r="C18" s="45" t="s">
        <v>19</v>
      </c>
    </row>
    <row r="19" spans="2:3" x14ac:dyDescent="0.25">
      <c r="B19" s="20">
        <v>15</v>
      </c>
      <c r="C19" s="49" t="s">
        <v>147</v>
      </c>
    </row>
    <row r="20" spans="2:3" x14ac:dyDescent="0.25">
      <c r="B20" s="20">
        <v>16</v>
      </c>
      <c r="C20" s="47" t="s">
        <v>148</v>
      </c>
    </row>
    <row r="21" spans="2:3" x14ac:dyDescent="0.25">
      <c r="B21" s="20">
        <v>17</v>
      </c>
      <c r="C21" s="49" t="s">
        <v>20</v>
      </c>
    </row>
    <row r="22" spans="2:3" x14ac:dyDescent="0.25">
      <c r="B22" s="20">
        <v>18</v>
      </c>
      <c r="C22" s="49" t="s">
        <v>21</v>
      </c>
    </row>
    <row r="23" spans="2:3" x14ac:dyDescent="0.25">
      <c r="B23" s="279" t="s">
        <v>2</v>
      </c>
      <c r="C23" s="279" t="s">
        <v>794</v>
      </c>
    </row>
    <row r="24" spans="2:3" x14ac:dyDescent="0.25">
      <c r="B24" s="192">
        <v>1</v>
      </c>
      <c r="C24" s="282" t="s">
        <v>791</v>
      </c>
    </row>
    <row r="25" spans="2:3" x14ac:dyDescent="0.25">
      <c r="B25" s="192">
        <v>2</v>
      </c>
      <c r="C25" s="282" t="s">
        <v>792</v>
      </c>
    </row>
    <row r="26" spans="2:3" x14ac:dyDescent="0.25">
      <c r="B26" s="192">
        <v>3</v>
      </c>
      <c r="C26" s="282" t="s">
        <v>471</v>
      </c>
    </row>
    <row r="27" spans="2:3" x14ac:dyDescent="0.25">
      <c r="B27" s="192">
        <v>4</v>
      </c>
      <c r="C27" s="282" t="s">
        <v>15</v>
      </c>
    </row>
    <row r="28" spans="2:3" x14ac:dyDescent="0.25">
      <c r="B28" s="192">
        <v>5</v>
      </c>
      <c r="C28" s="282" t="s">
        <v>472</v>
      </c>
    </row>
    <row r="29" spans="2:3" x14ac:dyDescent="0.25">
      <c r="B29" s="192">
        <v>6</v>
      </c>
      <c r="C29" s="283" t="s">
        <v>507</v>
      </c>
    </row>
    <row r="30" spans="2:3" x14ac:dyDescent="0.25">
      <c r="B30" s="192">
        <v>7</v>
      </c>
      <c r="C30" s="284" t="s">
        <v>550</v>
      </c>
    </row>
    <row r="31" spans="2:3" x14ac:dyDescent="0.25">
      <c r="B31" s="192">
        <v>8</v>
      </c>
      <c r="C31" s="282" t="s">
        <v>530</v>
      </c>
    </row>
    <row r="32" spans="2:3" x14ac:dyDescent="0.25">
      <c r="B32" s="192">
        <v>9</v>
      </c>
      <c r="C32" s="285" t="s">
        <v>531</v>
      </c>
    </row>
    <row r="33" spans="2:3" x14ac:dyDescent="0.25">
      <c r="B33" s="192">
        <v>10</v>
      </c>
      <c r="C33" s="286" t="s">
        <v>793</v>
      </c>
    </row>
    <row r="34" spans="2:3" x14ac:dyDescent="0.25">
      <c r="B34" s="192">
        <v>11</v>
      </c>
      <c r="C34" s="287" t="s">
        <v>795</v>
      </c>
    </row>
    <row r="35" spans="2:3" x14ac:dyDescent="0.25">
      <c r="B35" s="192">
        <v>12</v>
      </c>
      <c r="C35" s="287" t="s">
        <v>796</v>
      </c>
    </row>
    <row r="36" spans="2:3" x14ac:dyDescent="0.25">
      <c r="B36" s="192">
        <v>13</v>
      </c>
      <c r="C36" s="287" t="s">
        <v>797</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'[1]compétence REM-REC'!#REF!</xm:f>
          </x14:formula1>
          <xm:sqref>C22</xm:sqref>
        </x14:dataValidation>
        <x14:dataValidation type="list" allowBlank="1" showInputMessage="1" showErrorMessage="1">
          <x14:formula1>
            <xm:f>'[1]compétence REM-REC'!#REF!</xm:f>
          </x14:formula1>
          <xm:sqref>C24:C33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1"/>
  </sheetPr>
  <dimension ref="C2:Q52"/>
  <sheetViews>
    <sheetView zoomScale="90" zoomScaleNormal="90" workbookViewId="0">
      <selection activeCell="G42" sqref="G42"/>
    </sheetView>
  </sheetViews>
  <sheetFormatPr baseColWidth="10" defaultColWidth="8.85546875" defaultRowHeight="15" x14ac:dyDescent="0.25"/>
  <cols>
    <col min="1" max="2" width="8.85546875" style="1"/>
    <col min="3" max="3" width="10.42578125" style="1" customWidth="1"/>
    <col min="4" max="4" width="14.28515625" style="1" customWidth="1"/>
    <col min="5" max="5" width="38.5703125" style="1" bestFit="1" customWidth="1"/>
    <col min="6" max="6" width="7.140625" style="1" bestFit="1" customWidth="1"/>
    <col min="7" max="7" width="33.85546875" style="1" bestFit="1" customWidth="1"/>
    <col min="8" max="8" width="8.5703125" style="278" customWidth="1"/>
    <col min="9" max="17" width="8.85546875" style="278"/>
    <col min="18" max="16384" width="8.85546875" style="1"/>
  </cols>
  <sheetData>
    <row r="2" spans="3:17" x14ac:dyDescent="0.25">
      <c r="C2" s="3" t="s">
        <v>1</v>
      </c>
      <c r="D2" s="353" t="s">
        <v>149</v>
      </c>
      <c r="E2" s="354"/>
      <c r="F2" s="354"/>
      <c r="G2" s="354"/>
      <c r="H2" s="354"/>
      <c r="I2" s="354"/>
      <c r="J2" s="354"/>
      <c r="K2" s="354"/>
      <c r="L2" s="354"/>
      <c r="M2" s="354"/>
      <c r="N2" s="354"/>
      <c r="O2" s="354"/>
      <c r="P2" s="354"/>
      <c r="Q2" s="354"/>
    </row>
    <row r="4" spans="3:17" ht="15.75" customHeight="1" x14ac:dyDescent="0.25">
      <c r="C4" s="349" t="s">
        <v>82</v>
      </c>
      <c r="D4" s="13" t="s">
        <v>24</v>
      </c>
      <c r="E4" s="13"/>
      <c r="F4" s="13"/>
      <c r="G4" s="13" t="s">
        <v>23</v>
      </c>
      <c r="H4" s="358" t="s">
        <v>846</v>
      </c>
      <c r="I4" s="359"/>
      <c r="J4" s="359"/>
      <c r="K4" s="360"/>
      <c r="L4" s="307" t="s">
        <v>847</v>
      </c>
      <c r="M4" s="307"/>
      <c r="N4" s="307" t="s">
        <v>848</v>
      </c>
      <c r="O4" s="307"/>
      <c r="P4" s="307" t="s">
        <v>849</v>
      </c>
      <c r="Q4" s="307"/>
    </row>
    <row r="5" spans="3:17" ht="23.25" customHeight="1" x14ac:dyDescent="0.25">
      <c r="C5" s="350"/>
      <c r="D5" s="352" t="s">
        <v>33</v>
      </c>
      <c r="E5" s="352" t="s">
        <v>25</v>
      </c>
      <c r="F5" s="352" t="s">
        <v>26</v>
      </c>
      <c r="G5" s="352" t="s">
        <v>25</v>
      </c>
      <c r="H5" s="355" t="s">
        <v>850</v>
      </c>
      <c r="I5" s="355"/>
      <c r="J5" s="355"/>
      <c r="K5" s="355"/>
      <c r="L5" s="304" t="s">
        <v>851</v>
      </c>
      <c r="M5" s="356" t="s">
        <v>852</v>
      </c>
      <c r="N5" s="304" t="s">
        <v>851</v>
      </c>
      <c r="O5" s="356" t="s">
        <v>852</v>
      </c>
      <c r="P5" s="304" t="s">
        <v>853</v>
      </c>
      <c r="Q5" s="304" t="s">
        <v>470</v>
      </c>
    </row>
    <row r="6" spans="3:17" ht="36" customHeight="1" x14ac:dyDescent="0.25">
      <c r="C6" s="351"/>
      <c r="D6" s="352"/>
      <c r="E6" s="352"/>
      <c r="F6" s="352"/>
      <c r="G6" s="352"/>
      <c r="H6" s="306" t="s">
        <v>854</v>
      </c>
      <c r="I6" s="306" t="s">
        <v>548</v>
      </c>
      <c r="J6" s="306" t="s">
        <v>547</v>
      </c>
      <c r="K6" s="306" t="s">
        <v>546</v>
      </c>
      <c r="L6" s="305" t="s">
        <v>855</v>
      </c>
      <c r="M6" s="357"/>
      <c r="N6" s="305" t="s">
        <v>855</v>
      </c>
      <c r="O6" s="357"/>
      <c r="P6" s="306" t="s">
        <v>856</v>
      </c>
      <c r="Q6" s="306"/>
    </row>
    <row r="7" spans="3:17" x14ac:dyDescent="0.25">
      <c r="C7" s="362" t="s">
        <v>83</v>
      </c>
      <c r="D7" s="53" t="s">
        <v>34</v>
      </c>
      <c r="E7" s="82" t="s">
        <v>28</v>
      </c>
      <c r="F7" s="83">
        <v>63</v>
      </c>
      <c r="G7" s="310" t="s">
        <v>27</v>
      </c>
      <c r="H7" s="303">
        <v>21</v>
      </c>
      <c r="I7" s="103">
        <v>1</v>
      </c>
      <c r="J7" s="103">
        <v>0.5</v>
      </c>
      <c r="K7" s="103">
        <v>0</v>
      </c>
      <c r="L7" s="103">
        <v>3</v>
      </c>
      <c r="M7" s="346">
        <v>6</v>
      </c>
      <c r="N7" s="103">
        <v>3</v>
      </c>
      <c r="O7" s="346">
        <v>6</v>
      </c>
      <c r="P7" s="103" t="s">
        <v>73</v>
      </c>
      <c r="Q7" s="103"/>
    </row>
    <row r="8" spans="3:17" x14ac:dyDescent="0.25">
      <c r="C8" s="363"/>
      <c r="D8" s="54"/>
      <c r="E8" s="86"/>
      <c r="F8" s="87"/>
      <c r="G8" s="311" t="s">
        <v>195</v>
      </c>
      <c r="H8" s="85">
        <v>42</v>
      </c>
      <c r="I8" s="103">
        <v>0</v>
      </c>
      <c r="J8" s="103">
        <v>0</v>
      </c>
      <c r="K8" s="103">
        <v>3</v>
      </c>
      <c r="L8" s="103">
        <v>3</v>
      </c>
      <c r="M8" s="347"/>
      <c r="N8" s="103">
        <v>3</v>
      </c>
      <c r="O8" s="347"/>
      <c r="P8" s="103" t="s">
        <v>73</v>
      </c>
      <c r="Q8" s="103"/>
    </row>
    <row r="9" spans="3:17" x14ac:dyDescent="0.25">
      <c r="C9" s="363"/>
      <c r="D9" s="625" t="s">
        <v>34</v>
      </c>
      <c r="E9" s="47" t="s">
        <v>868</v>
      </c>
      <c r="F9" s="632">
        <f>SUM(H9)</f>
        <v>42</v>
      </c>
      <c r="G9" s="310" t="s">
        <v>196</v>
      </c>
      <c r="H9" s="85">
        <v>42</v>
      </c>
      <c r="I9" s="103">
        <v>2</v>
      </c>
      <c r="J9" s="103">
        <v>1</v>
      </c>
      <c r="K9" s="103">
        <v>0</v>
      </c>
      <c r="L9" s="103">
        <v>4</v>
      </c>
      <c r="M9" s="103">
        <v>4</v>
      </c>
      <c r="N9" s="103">
        <v>4</v>
      </c>
      <c r="O9" s="103">
        <v>4</v>
      </c>
      <c r="P9" s="103" t="s">
        <v>73</v>
      </c>
      <c r="Q9" s="103"/>
    </row>
    <row r="10" spans="3:17" x14ac:dyDescent="0.25">
      <c r="C10" s="363"/>
      <c r="D10" s="626" t="s">
        <v>34</v>
      </c>
      <c r="E10" s="628" t="s">
        <v>867</v>
      </c>
      <c r="F10" s="633">
        <f>SUM(H10:H11)</f>
        <v>63</v>
      </c>
      <c r="G10" s="310" t="s">
        <v>29</v>
      </c>
      <c r="H10" s="85">
        <v>21</v>
      </c>
      <c r="I10" s="103">
        <v>1</v>
      </c>
      <c r="J10" s="103">
        <v>0.5</v>
      </c>
      <c r="K10" s="103">
        <v>0</v>
      </c>
      <c r="L10" s="103">
        <v>3</v>
      </c>
      <c r="M10" s="348">
        <v>6</v>
      </c>
      <c r="N10" s="103">
        <v>3</v>
      </c>
      <c r="O10" s="348">
        <v>6</v>
      </c>
      <c r="P10" s="103" t="s">
        <v>73</v>
      </c>
      <c r="Q10" s="103"/>
    </row>
    <row r="11" spans="3:17" x14ac:dyDescent="0.25">
      <c r="C11" s="363"/>
      <c r="D11" s="627"/>
      <c r="E11" s="629"/>
      <c r="F11" s="634"/>
      <c r="G11" s="310" t="s">
        <v>197</v>
      </c>
      <c r="H11" s="85">
        <v>42</v>
      </c>
      <c r="I11" s="103">
        <v>0</v>
      </c>
      <c r="J11" s="103">
        <v>0</v>
      </c>
      <c r="K11" s="103">
        <v>3</v>
      </c>
      <c r="L11" s="103">
        <v>3</v>
      </c>
      <c r="M11" s="347"/>
      <c r="N11" s="103">
        <v>3</v>
      </c>
      <c r="O11" s="347"/>
      <c r="P11" s="103" t="s">
        <v>73</v>
      </c>
      <c r="Q11" s="103"/>
    </row>
    <row r="12" spans="3:17" x14ac:dyDescent="0.25">
      <c r="C12" s="363"/>
      <c r="D12" s="53" t="s">
        <v>34</v>
      </c>
      <c r="E12" s="630" t="s">
        <v>799</v>
      </c>
      <c r="F12" s="89">
        <f>SUM(H12:H13)</f>
        <v>84</v>
      </c>
      <c r="G12" s="310" t="s">
        <v>199</v>
      </c>
      <c r="H12" s="85">
        <v>42</v>
      </c>
      <c r="I12" s="103">
        <v>0</v>
      </c>
      <c r="J12" s="103">
        <v>0</v>
      </c>
      <c r="K12" s="103">
        <v>3</v>
      </c>
      <c r="L12" s="103">
        <v>3</v>
      </c>
      <c r="M12" s="346">
        <v>6</v>
      </c>
      <c r="N12" s="103">
        <v>3</v>
      </c>
      <c r="O12" s="346">
        <v>6</v>
      </c>
      <c r="P12" s="103" t="s">
        <v>73</v>
      </c>
      <c r="Q12" s="103"/>
    </row>
    <row r="13" spans="3:17" ht="30" x14ac:dyDescent="0.25">
      <c r="C13" s="363"/>
      <c r="D13" s="78"/>
      <c r="E13" s="631"/>
      <c r="F13" s="94"/>
      <c r="G13" s="310" t="s">
        <v>200</v>
      </c>
      <c r="H13" s="85">
        <v>42</v>
      </c>
      <c r="I13" s="103">
        <v>0</v>
      </c>
      <c r="J13" s="103">
        <v>0</v>
      </c>
      <c r="K13" s="103">
        <v>3</v>
      </c>
      <c r="L13" s="103">
        <v>3</v>
      </c>
      <c r="M13" s="347"/>
      <c r="N13" s="103">
        <v>3</v>
      </c>
      <c r="O13" s="347"/>
      <c r="P13" s="103" t="s">
        <v>73</v>
      </c>
      <c r="Q13" s="103"/>
    </row>
    <row r="14" spans="3:17" x14ac:dyDescent="0.25">
      <c r="C14" s="363"/>
      <c r="D14" s="53" t="s">
        <v>35</v>
      </c>
      <c r="E14" s="163" t="s">
        <v>460</v>
      </c>
      <c r="F14" s="64">
        <v>63</v>
      </c>
      <c r="G14" s="312" t="s">
        <v>462</v>
      </c>
      <c r="H14" s="67">
        <v>21</v>
      </c>
      <c r="I14" s="103">
        <v>1</v>
      </c>
      <c r="J14" s="103">
        <v>0.5</v>
      </c>
      <c r="K14" s="103">
        <v>0</v>
      </c>
      <c r="L14" s="103">
        <v>2</v>
      </c>
      <c r="M14" s="346">
        <v>4</v>
      </c>
      <c r="N14" s="103">
        <v>2</v>
      </c>
      <c r="O14" s="346">
        <v>4</v>
      </c>
      <c r="P14" s="103" t="s">
        <v>73</v>
      </c>
      <c r="Q14" s="103"/>
    </row>
    <row r="15" spans="3:17" x14ac:dyDescent="0.25">
      <c r="C15" s="363"/>
      <c r="D15" s="79"/>
      <c r="E15" s="70"/>
      <c r="F15" s="66"/>
      <c r="G15" s="313" t="s">
        <v>71</v>
      </c>
      <c r="H15" s="67">
        <v>42</v>
      </c>
      <c r="I15" s="103">
        <v>2</v>
      </c>
      <c r="J15" s="103">
        <v>1</v>
      </c>
      <c r="K15" s="103">
        <v>0</v>
      </c>
      <c r="L15" s="103">
        <v>2</v>
      </c>
      <c r="M15" s="347"/>
      <c r="N15" s="103">
        <v>2</v>
      </c>
      <c r="O15" s="347"/>
      <c r="P15" s="103" t="s">
        <v>73</v>
      </c>
      <c r="Q15" s="103"/>
    </row>
    <row r="16" spans="3:17" x14ac:dyDescent="0.25">
      <c r="C16" s="364"/>
      <c r="D16" s="50" t="s">
        <v>36</v>
      </c>
      <c r="E16" s="76" t="s">
        <v>220</v>
      </c>
      <c r="F16" s="64">
        <v>42</v>
      </c>
      <c r="G16" s="314" t="s">
        <v>779</v>
      </c>
      <c r="H16" s="64">
        <v>42</v>
      </c>
      <c r="I16" s="103" t="s">
        <v>858</v>
      </c>
      <c r="J16" s="103" t="s">
        <v>858</v>
      </c>
      <c r="K16" s="103" t="s">
        <v>858</v>
      </c>
      <c r="L16" s="103">
        <v>2</v>
      </c>
      <c r="M16" s="346">
        <v>4</v>
      </c>
      <c r="N16" s="103">
        <v>2</v>
      </c>
      <c r="O16" s="344">
        <v>4</v>
      </c>
      <c r="P16" s="103" t="s">
        <v>73</v>
      </c>
      <c r="Q16" s="103"/>
    </row>
    <row r="17" spans="3:17" x14ac:dyDescent="0.25">
      <c r="C17" s="365"/>
      <c r="D17" s="51"/>
      <c r="E17" s="71"/>
      <c r="F17" s="75"/>
      <c r="G17" s="314" t="s">
        <v>779</v>
      </c>
      <c r="H17" s="75"/>
      <c r="I17" s="103" t="s">
        <v>858</v>
      </c>
      <c r="J17" s="103" t="s">
        <v>858</v>
      </c>
      <c r="K17" s="103" t="s">
        <v>858</v>
      </c>
      <c r="L17" s="103">
        <v>2</v>
      </c>
      <c r="M17" s="347"/>
      <c r="N17" s="103">
        <v>2</v>
      </c>
      <c r="O17" s="345"/>
      <c r="P17" s="103" t="s">
        <v>73</v>
      </c>
      <c r="Q17" s="103"/>
    </row>
    <row r="18" spans="3:17" x14ac:dyDescent="0.25">
      <c r="C18" s="28"/>
      <c r="D18" s="77" t="s">
        <v>30</v>
      </c>
      <c r="E18" s="60"/>
      <c r="F18" s="74">
        <f>SUM(F7:F16)</f>
        <v>357</v>
      </c>
      <c r="G18" s="15" t="s">
        <v>30</v>
      </c>
      <c r="H18" s="14">
        <f>SUM(H7:H16)</f>
        <v>357</v>
      </c>
      <c r="I18" s="14">
        <f>SUM(I7:I15)+3</f>
        <v>10</v>
      </c>
      <c r="J18" s="14">
        <f>SUM(J7:J15)</f>
        <v>3.5</v>
      </c>
      <c r="K18" s="14">
        <f>SUM(K7:K15)</f>
        <v>12</v>
      </c>
      <c r="L18" s="14">
        <f>SUM(L7:L17)</f>
        <v>30</v>
      </c>
      <c r="M18" s="14">
        <f t="shared" ref="M18:O18" si="0">SUM(M7:M17)</f>
        <v>30</v>
      </c>
      <c r="N18" s="14">
        <f t="shared" si="0"/>
        <v>30</v>
      </c>
      <c r="O18" s="14">
        <f t="shared" si="0"/>
        <v>30</v>
      </c>
      <c r="P18" s="14"/>
      <c r="Q18" s="14"/>
    </row>
    <row r="19" spans="3:17" x14ac:dyDescent="0.25">
      <c r="C19" s="361" t="s">
        <v>84</v>
      </c>
      <c r="D19" s="50" t="s">
        <v>34</v>
      </c>
      <c r="E19" s="97" t="s">
        <v>798</v>
      </c>
      <c r="F19" s="89">
        <f>SUM(H19:H20)</f>
        <v>63</v>
      </c>
      <c r="G19" s="311" t="s">
        <v>31</v>
      </c>
      <c r="H19" s="68">
        <v>21</v>
      </c>
      <c r="I19" s="103">
        <v>0</v>
      </c>
      <c r="J19" s="103">
        <v>0</v>
      </c>
      <c r="K19" s="103">
        <v>1.5</v>
      </c>
      <c r="L19" s="103">
        <v>2</v>
      </c>
      <c r="M19" s="346">
        <v>5</v>
      </c>
      <c r="N19" s="103">
        <v>2</v>
      </c>
      <c r="O19" s="346">
        <v>5</v>
      </c>
      <c r="P19" s="103" t="s">
        <v>73</v>
      </c>
      <c r="Q19" s="103"/>
    </row>
    <row r="20" spans="3:17" x14ac:dyDescent="0.25">
      <c r="C20" s="361"/>
      <c r="D20" s="51"/>
      <c r="E20" s="98"/>
      <c r="F20" s="94"/>
      <c r="G20" s="311" t="s">
        <v>202</v>
      </c>
      <c r="H20" s="68">
        <v>42</v>
      </c>
      <c r="I20" s="103">
        <v>0</v>
      </c>
      <c r="J20" s="103">
        <v>0</v>
      </c>
      <c r="K20" s="103">
        <v>3</v>
      </c>
      <c r="L20" s="103">
        <v>3</v>
      </c>
      <c r="M20" s="347"/>
      <c r="N20" s="103">
        <v>3</v>
      </c>
      <c r="O20" s="347"/>
      <c r="P20" s="103" t="s">
        <v>73</v>
      </c>
      <c r="Q20" s="103"/>
    </row>
    <row r="21" spans="3:17" x14ac:dyDescent="0.25">
      <c r="C21" s="361"/>
      <c r="D21" s="50" t="s">
        <v>34</v>
      </c>
      <c r="E21" s="82" t="s">
        <v>203</v>
      </c>
      <c r="F21" s="89">
        <f>SUM(H21:H22)</f>
        <v>63</v>
      </c>
      <c r="G21" s="313" t="s">
        <v>185</v>
      </c>
      <c r="H21" s="33">
        <v>21</v>
      </c>
      <c r="I21" s="103">
        <v>1</v>
      </c>
      <c r="J21" s="103">
        <v>0.5</v>
      </c>
      <c r="K21" s="103">
        <v>0</v>
      </c>
      <c r="L21" s="103">
        <v>2</v>
      </c>
      <c r="M21" s="346">
        <v>4</v>
      </c>
      <c r="N21" s="103">
        <v>2</v>
      </c>
      <c r="O21" s="346">
        <v>4</v>
      </c>
      <c r="P21" s="103" t="s">
        <v>73</v>
      </c>
      <c r="Q21" s="103"/>
    </row>
    <row r="22" spans="3:17" ht="30" x14ac:dyDescent="0.25">
      <c r="C22" s="361"/>
      <c r="D22" s="51"/>
      <c r="E22" s="86"/>
      <c r="F22" s="99"/>
      <c r="G22" s="313" t="s">
        <v>204</v>
      </c>
      <c r="H22" s="33">
        <v>42</v>
      </c>
      <c r="I22" s="103">
        <v>0</v>
      </c>
      <c r="J22" s="103">
        <v>0</v>
      </c>
      <c r="K22" s="103">
        <v>3</v>
      </c>
      <c r="L22" s="103">
        <v>2</v>
      </c>
      <c r="M22" s="347"/>
      <c r="N22" s="103">
        <v>2</v>
      </c>
      <c r="O22" s="347"/>
      <c r="P22" s="103" t="s">
        <v>73</v>
      </c>
      <c r="Q22" s="103"/>
    </row>
    <row r="23" spans="3:17" x14ac:dyDescent="0.25">
      <c r="C23" s="361"/>
      <c r="D23" s="50" t="s">
        <v>34</v>
      </c>
      <c r="E23" s="82" t="s">
        <v>205</v>
      </c>
      <c r="F23" s="89">
        <f>SUM(H23:H24)</f>
        <v>63</v>
      </c>
      <c r="G23" s="310" t="s">
        <v>205</v>
      </c>
      <c r="H23" s="85">
        <v>21</v>
      </c>
      <c r="I23" s="103">
        <v>1</v>
      </c>
      <c r="J23" s="103">
        <v>0.5</v>
      </c>
      <c r="K23" s="103">
        <v>0</v>
      </c>
      <c r="L23" s="103">
        <v>3</v>
      </c>
      <c r="M23" s="346">
        <v>6</v>
      </c>
      <c r="N23" s="103">
        <v>3</v>
      </c>
      <c r="O23" s="346">
        <v>6</v>
      </c>
      <c r="P23" s="103" t="s">
        <v>73</v>
      </c>
      <c r="Q23" s="103"/>
    </row>
    <row r="24" spans="3:17" ht="30" x14ac:dyDescent="0.25">
      <c r="C24" s="361"/>
      <c r="D24" s="51"/>
      <c r="E24" s="86"/>
      <c r="F24" s="94"/>
      <c r="G24" s="310" t="s">
        <v>206</v>
      </c>
      <c r="H24" s="85">
        <v>42</v>
      </c>
      <c r="I24" s="103">
        <v>0</v>
      </c>
      <c r="J24" s="103">
        <v>0</v>
      </c>
      <c r="K24" s="103">
        <v>3</v>
      </c>
      <c r="L24" s="103">
        <v>3</v>
      </c>
      <c r="M24" s="347"/>
      <c r="N24" s="103">
        <v>3</v>
      </c>
      <c r="O24" s="347"/>
      <c r="P24" s="103" t="s">
        <v>73</v>
      </c>
      <c r="Q24" s="103"/>
    </row>
    <row r="25" spans="3:17" x14ac:dyDescent="0.25">
      <c r="C25" s="361"/>
      <c r="D25" s="50" t="s">
        <v>34</v>
      </c>
      <c r="E25" s="82" t="s">
        <v>186</v>
      </c>
      <c r="F25" s="89">
        <f>SUM(H25:H26)</f>
        <v>63</v>
      </c>
      <c r="G25" s="313" t="s">
        <v>186</v>
      </c>
      <c r="H25" s="33">
        <v>21</v>
      </c>
      <c r="I25" s="103">
        <v>1</v>
      </c>
      <c r="J25" s="103">
        <v>0.5</v>
      </c>
      <c r="K25" s="103">
        <v>0</v>
      </c>
      <c r="L25" s="103">
        <v>3</v>
      </c>
      <c r="M25" s="346">
        <v>6</v>
      </c>
      <c r="N25" s="103">
        <v>3</v>
      </c>
      <c r="O25" s="346">
        <v>6</v>
      </c>
      <c r="P25" s="103" t="s">
        <v>73</v>
      </c>
      <c r="Q25" s="103"/>
    </row>
    <row r="26" spans="3:17" x14ac:dyDescent="0.25">
      <c r="C26" s="361"/>
      <c r="D26" s="51"/>
      <c r="E26" s="86"/>
      <c r="F26" s="99"/>
      <c r="G26" s="313" t="s">
        <v>207</v>
      </c>
      <c r="H26" s="33">
        <v>42</v>
      </c>
      <c r="I26" s="103">
        <v>0</v>
      </c>
      <c r="J26" s="103">
        <v>0</v>
      </c>
      <c r="K26" s="103">
        <v>3</v>
      </c>
      <c r="L26" s="103">
        <v>3</v>
      </c>
      <c r="M26" s="347"/>
      <c r="N26" s="103">
        <v>3</v>
      </c>
      <c r="O26" s="347"/>
      <c r="P26" s="103" t="s">
        <v>73</v>
      </c>
      <c r="Q26" s="103"/>
    </row>
    <row r="27" spans="3:17" x14ac:dyDescent="0.25">
      <c r="C27" s="361"/>
      <c r="D27" s="55" t="s">
        <v>35</v>
      </c>
      <c r="E27" s="72" t="s">
        <v>461</v>
      </c>
      <c r="F27" s="89">
        <f>SUM(H27:H28)</f>
        <v>63</v>
      </c>
      <c r="G27" s="315" t="s">
        <v>816</v>
      </c>
      <c r="H27" s="68">
        <v>21</v>
      </c>
      <c r="I27" s="103">
        <v>1</v>
      </c>
      <c r="J27" s="103">
        <v>0.5</v>
      </c>
      <c r="K27" s="103">
        <v>0</v>
      </c>
      <c r="L27" s="103">
        <v>2</v>
      </c>
      <c r="M27" s="346">
        <v>4</v>
      </c>
      <c r="N27" s="103">
        <v>2</v>
      </c>
      <c r="O27" s="346">
        <v>4</v>
      </c>
      <c r="P27" s="103" t="s">
        <v>73</v>
      </c>
      <c r="Q27" s="103"/>
    </row>
    <row r="28" spans="3:17" ht="30" x14ac:dyDescent="0.25">
      <c r="C28" s="361"/>
      <c r="D28" s="57"/>
      <c r="E28" s="73"/>
      <c r="F28" s="75"/>
      <c r="G28" s="315" t="s">
        <v>70</v>
      </c>
      <c r="H28" s="68">
        <v>42</v>
      </c>
      <c r="I28" s="103">
        <v>1</v>
      </c>
      <c r="J28" s="103">
        <v>2</v>
      </c>
      <c r="K28" s="103">
        <v>0</v>
      </c>
      <c r="L28" s="103">
        <v>2</v>
      </c>
      <c r="M28" s="347"/>
      <c r="N28" s="103">
        <v>2</v>
      </c>
      <c r="O28" s="347"/>
      <c r="P28" s="103" t="s">
        <v>73</v>
      </c>
      <c r="Q28" s="103"/>
    </row>
    <row r="29" spans="3:17" x14ac:dyDescent="0.25">
      <c r="C29" s="361"/>
      <c r="D29" s="55" t="s">
        <v>36</v>
      </c>
      <c r="E29" s="76" t="s">
        <v>220</v>
      </c>
      <c r="F29" s="64">
        <v>42</v>
      </c>
      <c r="G29" s="314" t="s">
        <v>779</v>
      </c>
      <c r="H29" s="64">
        <v>42</v>
      </c>
      <c r="I29" s="103" t="s">
        <v>858</v>
      </c>
      <c r="J29" s="103" t="s">
        <v>858</v>
      </c>
      <c r="K29" s="103" t="s">
        <v>858</v>
      </c>
      <c r="L29" s="103">
        <v>3</v>
      </c>
      <c r="M29" s="346">
        <v>5</v>
      </c>
      <c r="N29" s="103">
        <v>3</v>
      </c>
      <c r="O29" s="346">
        <v>5</v>
      </c>
      <c r="P29" s="103" t="s">
        <v>73</v>
      </c>
      <c r="Q29" s="103"/>
    </row>
    <row r="30" spans="3:17" x14ac:dyDescent="0.25">
      <c r="C30" s="361"/>
      <c r="D30" s="57"/>
      <c r="E30" s="70"/>
      <c r="F30" s="75"/>
      <c r="G30" s="314" t="s">
        <v>779</v>
      </c>
      <c r="H30" s="75"/>
      <c r="I30" s="103" t="s">
        <v>858</v>
      </c>
      <c r="J30" s="103" t="s">
        <v>858</v>
      </c>
      <c r="K30" s="103" t="s">
        <v>858</v>
      </c>
      <c r="L30" s="103">
        <v>2</v>
      </c>
      <c r="M30" s="347"/>
      <c r="N30" s="103">
        <v>2</v>
      </c>
      <c r="O30" s="347"/>
      <c r="P30" s="103" t="s">
        <v>73</v>
      </c>
      <c r="Q30" s="103"/>
    </row>
    <row r="31" spans="3:17" x14ac:dyDescent="0.25">
      <c r="C31" s="21"/>
      <c r="D31" s="56" t="s">
        <v>30</v>
      </c>
      <c r="E31" s="60"/>
      <c r="F31" s="16">
        <f>SUM(F19:F30)</f>
        <v>357</v>
      </c>
      <c r="G31" s="15" t="s">
        <v>30</v>
      </c>
      <c r="H31" s="61">
        <f>SUM(H19:H30)</f>
        <v>357</v>
      </c>
      <c r="I31" s="308">
        <f>SUM(I19:I28)+3</f>
        <v>8</v>
      </c>
      <c r="J31" s="308">
        <f>SUM(J19:J28)</f>
        <v>4</v>
      </c>
      <c r="K31" s="308">
        <f>SUM(K19:K28)</f>
        <v>13.5</v>
      </c>
      <c r="L31" s="308">
        <f>SUM(L19:L30)</f>
        <v>30</v>
      </c>
      <c r="M31" s="308">
        <f t="shared" ref="M31:O31" si="1">SUM(M19:M30)</f>
        <v>30</v>
      </c>
      <c r="N31" s="308">
        <f t="shared" si="1"/>
        <v>30</v>
      </c>
      <c r="O31" s="308">
        <f t="shared" si="1"/>
        <v>30</v>
      </c>
      <c r="P31" s="308"/>
      <c r="Q31" s="308"/>
    </row>
    <row r="32" spans="3:17" x14ac:dyDescent="0.25">
      <c r="C32" s="361" t="s">
        <v>85</v>
      </c>
      <c r="D32" s="50" t="s">
        <v>34</v>
      </c>
      <c r="E32" s="100" t="s">
        <v>208</v>
      </c>
      <c r="F32" s="89">
        <f>SUM(H32:H33)</f>
        <v>42</v>
      </c>
      <c r="G32" s="310" t="s">
        <v>209</v>
      </c>
      <c r="H32" s="103">
        <v>21</v>
      </c>
      <c r="I32" s="103">
        <v>1</v>
      </c>
      <c r="J32" s="103">
        <v>0.5</v>
      </c>
      <c r="K32" s="103">
        <v>0</v>
      </c>
      <c r="L32" s="103">
        <v>3</v>
      </c>
      <c r="M32" s="346">
        <v>5</v>
      </c>
      <c r="N32" s="103">
        <v>3</v>
      </c>
      <c r="O32" s="346">
        <v>5</v>
      </c>
      <c r="P32" s="103" t="s">
        <v>73</v>
      </c>
      <c r="Q32" s="103"/>
    </row>
    <row r="33" spans="3:17" x14ac:dyDescent="0.25">
      <c r="C33" s="361"/>
      <c r="D33" s="51"/>
      <c r="E33" s="101"/>
      <c r="F33" s="94"/>
      <c r="G33" s="310" t="s">
        <v>210</v>
      </c>
      <c r="H33" s="103">
        <v>21</v>
      </c>
      <c r="I33" s="103">
        <v>0</v>
      </c>
      <c r="J33" s="103">
        <v>0</v>
      </c>
      <c r="K33" s="103">
        <v>1.5</v>
      </c>
      <c r="L33" s="103">
        <v>2</v>
      </c>
      <c r="M33" s="347"/>
      <c r="N33" s="103">
        <v>2</v>
      </c>
      <c r="O33" s="347"/>
      <c r="P33" s="103" t="s">
        <v>73</v>
      </c>
      <c r="Q33" s="103"/>
    </row>
    <row r="34" spans="3:17" x14ac:dyDescent="0.25">
      <c r="C34" s="361"/>
      <c r="D34" s="50"/>
      <c r="E34" s="82" t="s">
        <v>211</v>
      </c>
      <c r="F34" s="89">
        <f>SUM(H34:H35)</f>
        <v>63</v>
      </c>
      <c r="G34" s="310" t="s">
        <v>212</v>
      </c>
      <c r="H34" s="85">
        <v>21</v>
      </c>
      <c r="I34" s="103">
        <v>1</v>
      </c>
      <c r="J34" s="103">
        <v>0.5</v>
      </c>
      <c r="K34" s="103">
        <v>0</v>
      </c>
      <c r="L34" s="103">
        <v>3</v>
      </c>
      <c r="M34" s="346">
        <v>6</v>
      </c>
      <c r="N34" s="103">
        <v>3</v>
      </c>
      <c r="O34" s="346">
        <v>6</v>
      </c>
      <c r="P34" s="103" t="s">
        <v>73</v>
      </c>
      <c r="Q34" s="103"/>
    </row>
    <row r="35" spans="3:17" x14ac:dyDescent="0.25">
      <c r="C35" s="361"/>
      <c r="D35" s="51" t="s">
        <v>34</v>
      </c>
      <c r="E35" s="86"/>
      <c r="F35" s="94"/>
      <c r="G35" s="310" t="s">
        <v>378</v>
      </c>
      <c r="H35" s="85">
        <v>42</v>
      </c>
      <c r="I35" s="103">
        <v>0</v>
      </c>
      <c r="J35" s="103">
        <v>0</v>
      </c>
      <c r="K35" s="103">
        <v>3</v>
      </c>
      <c r="L35" s="103">
        <v>3</v>
      </c>
      <c r="M35" s="347"/>
      <c r="N35" s="103">
        <v>3</v>
      </c>
      <c r="O35" s="347"/>
      <c r="P35" s="103" t="s">
        <v>73</v>
      </c>
      <c r="Q35" s="103"/>
    </row>
    <row r="36" spans="3:17" x14ac:dyDescent="0.25">
      <c r="C36" s="361"/>
      <c r="D36" s="50"/>
      <c r="E36" s="82" t="s">
        <v>214</v>
      </c>
      <c r="F36" s="89">
        <f>SUM(H36:H37)</f>
        <v>42</v>
      </c>
      <c r="G36" s="313" t="s">
        <v>215</v>
      </c>
      <c r="H36" s="33">
        <v>21</v>
      </c>
      <c r="I36" s="103">
        <v>1</v>
      </c>
      <c r="J36" s="103">
        <v>0.5</v>
      </c>
      <c r="K36" s="103">
        <v>0</v>
      </c>
      <c r="L36" s="103">
        <v>3</v>
      </c>
      <c r="M36" s="346">
        <v>5</v>
      </c>
      <c r="N36" s="103">
        <v>3</v>
      </c>
      <c r="O36" s="346">
        <v>5</v>
      </c>
      <c r="P36" s="103" t="s">
        <v>73</v>
      </c>
      <c r="Q36" s="103"/>
    </row>
    <row r="37" spans="3:17" x14ac:dyDescent="0.25">
      <c r="C37" s="361"/>
      <c r="D37" s="51" t="s">
        <v>34</v>
      </c>
      <c r="E37" s="86"/>
      <c r="F37" s="99"/>
      <c r="G37" s="313" t="s">
        <v>31</v>
      </c>
      <c r="H37" s="33">
        <v>21</v>
      </c>
      <c r="I37" s="103">
        <v>0</v>
      </c>
      <c r="J37" s="103">
        <v>0</v>
      </c>
      <c r="K37" s="103">
        <v>1.5</v>
      </c>
      <c r="L37" s="103">
        <v>2</v>
      </c>
      <c r="M37" s="347"/>
      <c r="N37" s="103">
        <v>2</v>
      </c>
      <c r="O37" s="347"/>
      <c r="P37" s="103" t="s">
        <v>73</v>
      </c>
      <c r="Q37" s="103"/>
    </row>
    <row r="38" spans="3:17" x14ac:dyDescent="0.25">
      <c r="C38" s="361"/>
      <c r="D38" s="50"/>
      <c r="E38" s="82" t="s">
        <v>216</v>
      </c>
      <c r="F38" s="89">
        <f>SUM(H38:H40)</f>
        <v>105</v>
      </c>
      <c r="G38" s="310" t="s">
        <v>217</v>
      </c>
      <c r="H38" s="85">
        <v>21</v>
      </c>
      <c r="I38" s="103">
        <v>1</v>
      </c>
      <c r="J38" s="103">
        <v>0.5</v>
      </c>
      <c r="K38" s="103">
        <v>0</v>
      </c>
      <c r="L38" s="103">
        <v>2</v>
      </c>
      <c r="M38" s="346">
        <v>6</v>
      </c>
      <c r="N38" s="103">
        <v>2</v>
      </c>
      <c r="O38" s="346">
        <v>6</v>
      </c>
      <c r="P38" s="103" t="s">
        <v>73</v>
      </c>
      <c r="Q38" s="103"/>
    </row>
    <row r="39" spans="3:17" x14ac:dyDescent="0.25">
      <c r="C39" s="361"/>
      <c r="D39" s="52" t="s">
        <v>34</v>
      </c>
      <c r="E39" s="102"/>
      <c r="F39" s="92"/>
      <c r="G39" s="310" t="s">
        <v>218</v>
      </c>
      <c r="H39" s="85">
        <v>42</v>
      </c>
      <c r="I39" s="103">
        <v>0</v>
      </c>
      <c r="J39" s="103">
        <v>0</v>
      </c>
      <c r="K39" s="103">
        <v>3</v>
      </c>
      <c r="L39" s="103">
        <v>2</v>
      </c>
      <c r="M39" s="348"/>
      <c r="N39" s="103">
        <v>2</v>
      </c>
      <c r="O39" s="348"/>
      <c r="P39" s="103" t="s">
        <v>73</v>
      </c>
      <c r="Q39" s="103"/>
    </row>
    <row r="40" spans="3:17" x14ac:dyDescent="0.25">
      <c r="C40" s="361"/>
      <c r="D40" s="51"/>
      <c r="E40" s="86"/>
      <c r="F40" s="94"/>
      <c r="G40" s="310" t="s">
        <v>219</v>
      </c>
      <c r="H40" s="85">
        <v>42</v>
      </c>
      <c r="I40" s="103">
        <v>0</v>
      </c>
      <c r="J40" s="103">
        <v>0</v>
      </c>
      <c r="K40" s="103">
        <v>3</v>
      </c>
      <c r="L40" s="103">
        <v>2</v>
      </c>
      <c r="M40" s="347"/>
      <c r="N40" s="103">
        <v>2</v>
      </c>
      <c r="O40" s="347"/>
      <c r="P40" s="103" t="s">
        <v>73</v>
      </c>
      <c r="Q40" s="103"/>
    </row>
    <row r="41" spans="3:17" x14ac:dyDescent="0.25">
      <c r="C41" s="361"/>
      <c r="D41" s="50" t="s">
        <v>35</v>
      </c>
      <c r="E41" s="169" t="s">
        <v>461</v>
      </c>
      <c r="F41" s="166">
        <f>SUM(H41:H42)</f>
        <v>63</v>
      </c>
      <c r="G41" s="313" t="s">
        <v>817</v>
      </c>
      <c r="H41" s="69">
        <v>21</v>
      </c>
      <c r="I41" s="103">
        <v>1</v>
      </c>
      <c r="J41" s="103">
        <v>0.5</v>
      </c>
      <c r="K41" s="103">
        <v>0</v>
      </c>
      <c r="L41" s="103">
        <v>2</v>
      </c>
      <c r="M41" s="346">
        <v>4</v>
      </c>
      <c r="N41" s="103">
        <v>2</v>
      </c>
      <c r="O41" s="346">
        <v>4</v>
      </c>
      <c r="P41" s="103" t="s">
        <v>73</v>
      </c>
      <c r="Q41" s="103"/>
    </row>
    <row r="42" spans="3:17" ht="30" x14ac:dyDescent="0.25">
      <c r="C42" s="361"/>
      <c r="D42" s="51"/>
      <c r="E42" s="167"/>
      <c r="F42" s="168"/>
      <c r="G42" s="316" t="s">
        <v>463</v>
      </c>
      <c r="H42" s="69">
        <v>42</v>
      </c>
      <c r="I42" s="103">
        <v>1</v>
      </c>
      <c r="J42" s="103">
        <v>2</v>
      </c>
      <c r="K42" s="103">
        <v>0</v>
      </c>
      <c r="L42" s="103">
        <v>2</v>
      </c>
      <c r="M42" s="347"/>
      <c r="N42" s="103">
        <v>2</v>
      </c>
      <c r="O42" s="347"/>
      <c r="P42" s="103" t="s">
        <v>73</v>
      </c>
      <c r="Q42" s="103"/>
    </row>
    <row r="43" spans="3:17" x14ac:dyDescent="0.25">
      <c r="C43" s="361"/>
      <c r="D43" s="55" t="s">
        <v>36</v>
      </c>
      <c r="E43" s="76" t="s">
        <v>220</v>
      </c>
      <c r="F43" s="64">
        <v>42</v>
      </c>
      <c r="G43" s="314" t="s">
        <v>779</v>
      </c>
      <c r="H43" s="64">
        <v>42</v>
      </c>
      <c r="I43" s="103" t="s">
        <v>858</v>
      </c>
      <c r="J43" s="103" t="s">
        <v>858</v>
      </c>
      <c r="K43" s="103" t="s">
        <v>858</v>
      </c>
      <c r="L43" s="103">
        <v>2</v>
      </c>
      <c r="M43" s="346">
        <v>4</v>
      </c>
      <c r="N43" s="103">
        <v>2</v>
      </c>
      <c r="O43" s="346">
        <v>4</v>
      </c>
      <c r="P43" s="103" t="s">
        <v>73</v>
      </c>
      <c r="Q43" s="103"/>
    </row>
    <row r="44" spans="3:17" x14ac:dyDescent="0.25">
      <c r="C44" s="361"/>
      <c r="D44" s="58"/>
      <c r="E44" s="65"/>
      <c r="F44" s="75"/>
      <c r="G44" s="314" t="s">
        <v>779</v>
      </c>
      <c r="H44" s="75"/>
      <c r="I44" s="103" t="s">
        <v>858</v>
      </c>
      <c r="J44" s="103" t="s">
        <v>858</v>
      </c>
      <c r="K44" s="103" t="s">
        <v>858</v>
      </c>
      <c r="L44" s="103">
        <v>2</v>
      </c>
      <c r="M44" s="347"/>
      <c r="N44" s="103">
        <v>2</v>
      </c>
      <c r="O44" s="347"/>
      <c r="P44" s="103" t="s">
        <v>73</v>
      </c>
      <c r="Q44" s="103"/>
    </row>
    <row r="45" spans="3:17" x14ac:dyDescent="0.25">
      <c r="C45" s="80"/>
      <c r="D45" s="56" t="s">
        <v>30</v>
      </c>
      <c r="E45" s="60"/>
      <c r="F45" s="16">
        <f>SUM(F32:F44)</f>
        <v>357</v>
      </c>
      <c r="G45" s="15" t="s">
        <v>30</v>
      </c>
      <c r="H45" s="308">
        <f>SUM(H32:H44)</f>
        <v>357</v>
      </c>
      <c r="I45" s="308">
        <f>SUM(I32:I42)+4.5</f>
        <v>10.5</v>
      </c>
      <c r="J45" s="308">
        <f>SUM(J32:J42)</f>
        <v>4.5</v>
      </c>
      <c r="K45" s="308">
        <f>SUM(K32:K42)</f>
        <v>12</v>
      </c>
      <c r="L45" s="308">
        <f>SUM(L32:L44)</f>
        <v>30</v>
      </c>
      <c r="M45" s="308">
        <f t="shared" ref="M45:O45" si="2">SUM(M32:M44)</f>
        <v>30</v>
      </c>
      <c r="N45" s="308">
        <f t="shared" si="2"/>
        <v>30</v>
      </c>
      <c r="O45" s="308">
        <f t="shared" si="2"/>
        <v>30</v>
      </c>
      <c r="P45" s="308"/>
      <c r="Q45" s="308"/>
    </row>
    <row r="46" spans="3:17" x14ac:dyDescent="0.25">
      <c r="C46" s="81"/>
      <c r="D46" s="59" t="s">
        <v>32</v>
      </c>
      <c r="E46" s="62"/>
      <c r="F46" s="12">
        <f>F45+F31+F18</f>
        <v>1071</v>
      </c>
      <c r="G46" s="63"/>
      <c r="H46" s="12">
        <f>H45+H31+H18</f>
        <v>1071</v>
      </c>
      <c r="I46" s="63"/>
      <c r="J46" s="63"/>
      <c r="K46" s="63"/>
      <c r="L46" s="63"/>
      <c r="M46" s="63"/>
      <c r="N46" s="63"/>
      <c r="O46" s="63"/>
      <c r="P46" s="63"/>
      <c r="Q46" s="63"/>
    </row>
    <row r="48" spans="3:17" ht="45" x14ac:dyDescent="0.25">
      <c r="H48" s="320" t="s">
        <v>865</v>
      </c>
      <c r="I48" s="320" t="s">
        <v>866</v>
      </c>
    </row>
    <row r="49" spans="7:9" x14ac:dyDescent="0.25">
      <c r="G49" s="320"/>
      <c r="H49" s="320"/>
      <c r="I49" s="320"/>
    </row>
    <row r="50" spans="7:9" x14ac:dyDescent="0.25">
      <c r="G50" s="320" t="s">
        <v>859</v>
      </c>
      <c r="H50" s="320">
        <f>H18/14</f>
        <v>25.5</v>
      </c>
      <c r="I50" s="320">
        <f>SUM(I18:K18)</f>
        <v>25.5</v>
      </c>
    </row>
    <row r="51" spans="7:9" x14ac:dyDescent="0.25">
      <c r="G51" s="320" t="s">
        <v>860</v>
      </c>
      <c r="H51" s="320">
        <f>H31/14</f>
        <v>25.5</v>
      </c>
      <c r="I51" s="320">
        <f>SUM(I31:K31)</f>
        <v>25.5</v>
      </c>
    </row>
    <row r="52" spans="7:9" x14ac:dyDescent="0.25">
      <c r="G52" s="320" t="s">
        <v>861</v>
      </c>
      <c r="H52" s="320">
        <f>H45/14</f>
        <v>25.5</v>
      </c>
      <c r="I52" s="320">
        <f>SUM(I45:K45)</f>
        <v>27</v>
      </c>
    </row>
  </sheetData>
  <mergeCells count="51">
    <mergeCell ref="O10:O11"/>
    <mergeCell ref="D10:D11"/>
    <mergeCell ref="E10:E11"/>
    <mergeCell ref="F10:F11"/>
    <mergeCell ref="E12:E13"/>
    <mergeCell ref="M10:M11"/>
    <mergeCell ref="O12:O13"/>
    <mergeCell ref="M14:M15"/>
    <mergeCell ref="O14:O15"/>
    <mergeCell ref="M16:M17"/>
    <mergeCell ref="C32:C44"/>
    <mergeCell ref="C7:C17"/>
    <mergeCell ref="M7:M8"/>
    <mergeCell ref="O7:O8"/>
    <mergeCell ref="M12:M13"/>
    <mergeCell ref="M25:M26"/>
    <mergeCell ref="O25:O26"/>
    <mergeCell ref="M27:M28"/>
    <mergeCell ref="O27:O28"/>
    <mergeCell ref="C19:C30"/>
    <mergeCell ref="C4:C6"/>
    <mergeCell ref="D5:D6"/>
    <mergeCell ref="E5:E6"/>
    <mergeCell ref="D2:Q2"/>
    <mergeCell ref="H5:K5"/>
    <mergeCell ref="M5:M6"/>
    <mergeCell ref="O5:O6"/>
    <mergeCell ref="F5:F6"/>
    <mergeCell ref="G5:G6"/>
    <mergeCell ref="H4:K4"/>
    <mergeCell ref="O19:O20"/>
    <mergeCell ref="M21:M22"/>
    <mergeCell ref="O21:O22"/>
    <mergeCell ref="M23:M24"/>
    <mergeCell ref="O23:O24"/>
    <mergeCell ref="O16:O17"/>
    <mergeCell ref="M29:M30"/>
    <mergeCell ref="O29:O30"/>
    <mergeCell ref="M43:M44"/>
    <mergeCell ref="O43:O44"/>
    <mergeCell ref="M32:M33"/>
    <mergeCell ref="O32:O33"/>
    <mergeCell ref="M34:M35"/>
    <mergeCell ref="O34:O35"/>
    <mergeCell ref="M36:M37"/>
    <mergeCell ref="O36:O37"/>
    <mergeCell ref="M38:M40"/>
    <mergeCell ref="O38:O40"/>
    <mergeCell ref="M41:M42"/>
    <mergeCell ref="O41:O42"/>
    <mergeCell ref="M19:M20"/>
  </mergeCells>
  <conditionalFormatting sqref="E44 E30 G16:G17">
    <cfRule type="colorScale" priority="11">
      <colorScale>
        <cfvo type="num" val="0"/>
        <cfvo type="num" val="0"/>
        <color rgb="FFFF0000"/>
        <color rgb="FF00B050"/>
      </colorScale>
    </cfRule>
  </conditionalFormatting>
  <conditionalFormatting sqref="G42 E42">
    <cfRule type="colorScale" priority="4">
      <colorScale>
        <cfvo type="num" val="0"/>
        <cfvo type="num" val="0"/>
        <color rgb="FFFF0000"/>
        <color rgb="FF00B050"/>
      </colorScale>
    </cfRule>
  </conditionalFormatting>
  <conditionalFormatting sqref="G43:G44">
    <cfRule type="colorScale" priority="1">
      <colorScale>
        <cfvo type="num" val="0"/>
        <cfvo type="num" val="0"/>
        <color rgb="FFFF0000"/>
        <color rgb="FF00B050"/>
      </colorScale>
    </cfRule>
  </conditionalFormatting>
  <conditionalFormatting sqref="G29:G30">
    <cfRule type="colorScale" priority="2">
      <colorScale>
        <cfvo type="num" val="0"/>
        <cfvo type="num" val="0"/>
        <color rgb="FFFF0000"/>
        <color rgb="FF00B050"/>
      </colorScale>
    </cfRule>
  </conditionalFormatting>
  <hyperlinks>
    <hyperlink ref="G7" location="BaseDonnées" display="Bases de Données"/>
    <hyperlink ref="G8" location="ATBaseDonnées" display="Atelier Base de Données"/>
    <hyperlink ref="G9" location="ModelisationObjet" display="Modélisation Objet (UML2)"/>
    <hyperlink ref="G10" location="ProgObjet" display="Programmation Objet"/>
    <hyperlink ref="G11" location="ATProgObj" display="Atelier de Programmation Objet"/>
    <hyperlink ref="G12" location="AtFrameWorkCLient" display="Atelier framework Coté Client"/>
    <hyperlink ref="G13" location="AtDevCoteServeur" display="Atelier Développement web coté serveur"/>
    <hyperlink ref="G14" location="HighTechEnglish" display="High tech english "/>
    <hyperlink ref="G15" r:id="rId1" location="CommEntreprise"/>
    <hyperlink ref="G19" location="ProjetIntegration" display="Projet d’Intégration"/>
    <hyperlink ref="G20" location="AtFrameworkCoteServeur" display="Atelier framework coté serveur"/>
    <hyperlink ref="G21" location="ArchitectureLogicielle" display="Architecture logicielle"/>
    <hyperlink ref="G22" location="AtEnvDeveloppement" display="Atelier Environnement de Développement"/>
    <hyperlink ref="G23" location="ProgOOAvancée" display="Programmation Objet Avancée"/>
    <hyperlink ref="G24" location="AtProgOOAvancée" display="Atelier Programmation Objet Avancée"/>
    <hyperlink ref="G25" location="SGBD" display="SGBD"/>
    <hyperlink ref="G26" location="AtSGBD" display="Atelier SGBD"/>
    <hyperlink ref="G28" location="EtudMgProjet" display="Etude et management de projets innovants"/>
    <hyperlink ref="G32" location="SOA" display="SOA"/>
    <hyperlink ref="G33" location="AtSOA" display="Atelier SOA"/>
    <hyperlink ref="G34" location="GestDMassive" display="Gestion des données Massives"/>
    <hyperlink ref="G35" location="AtDMassive" display="Atelier Base de Données Avancées"/>
    <hyperlink ref="G36" location="MethConceptionObjet" display="Méthodologie de Conception Objet"/>
    <hyperlink ref="G37" location="ProjetIntS5" display="Projet d’Intégration"/>
    <hyperlink ref="G38" location="DevelopMobile" display="Développement Mobile"/>
    <hyperlink ref="G39" location="AtDevMobile" display="Atelier développement Mobile natif"/>
    <hyperlink ref="G40" location="AtCorssPlforme" display="Atelier Framework cross-platform"/>
    <hyperlink ref="G41" location="TOIEC" display="Preparing TOEIC "/>
    <hyperlink ref="G42" location="TRechEmploi" display="Technique de recherche d'emploi et marketing de soi "/>
    <hyperlink ref="G27" location="BusinessEnglish" display="Business english"/>
  </hyperlinks>
  <pageMargins left="0.7" right="0.7" top="0.75" bottom="0.75" header="0.3" footer="0.3"/>
  <pageSetup orientation="portrait" horizontalDpi="300" verticalDpi="300" r:id="rId2"/>
  <ignoredErrors>
    <ignoredError sqref="I31"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1"/>
  </sheetPr>
  <dimension ref="A2:AT26"/>
  <sheetViews>
    <sheetView topLeftCell="AC1" zoomScale="90" zoomScaleNormal="90" workbookViewId="0">
      <selection activeCell="AC4" sqref="AC4:AT4"/>
    </sheetView>
  </sheetViews>
  <sheetFormatPr baseColWidth="10" defaultColWidth="8.85546875" defaultRowHeight="15" x14ac:dyDescent="0.25"/>
  <cols>
    <col min="1" max="1" width="8.85546875" style="1"/>
    <col min="2" max="2" width="7.42578125" style="1" customWidth="1"/>
    <col min="3" max="4" width="6" style="1" bestFit="1" customWidth="1"/>
    <col min="5" max="5" width="3.42578125" style="1" bestFit="1" customWidth="1"/>
    <col min="6" max="6" width="6" style="1" bestFit="1" customWidth="1"/>
    <col min="7" max="7" width="7.140625" style="1" customWidth="1"/>
    <col min="8" max="8" width="10.5703125" style="1" customWidth="1"/>
    <col min="9" max="9" width="6" style="1" customWidth="1"/>
    <col min="10" max="10" width="10.42578125" style="1" customWidth="1"/>
    <col min="11" max="11" width="7.85546875" style="1" customWidth="1"/>
    <col min="12" max="13" width="10.5703125" style="1" customWidth="1"/>
    <col min="14" max="15" width="8.140625" style="1" customWidth="1"/>
    <col min="16" max="16" width="3.42578125" style="1" customWidth="1"/>
    <col min="17" max="20" width="8.140625" style="1" customWidth="1"/>
    <col min="21" max="21" width="6" style="1" bestFit="1" customWidth="1"/>
    <col min="22" max="23" width="9.5703125" style="1" customWidth="1"/>
    <col min="24" max="26" width="6" style="1" bestFit="1" customWidth="1"/>
    <col min="27" max="28" width="29.85546875" style="1" customWidth="1"/>
    <col min="29" max="29" width="8.5703125" style="1" bestFit="1" customWidth="1"/>
    <col min="30" max="30" width="8.140625" style="1" customWidth="1"/>
    <col min="31" max="31" width="12.140625" style="1" customWidth="1"/>
    <col min="32" max="32" width="8.42578125" style="1" customWidth="1"/>
    <col min="33" max="33" width="8.140625" style="1" customWidth="1"/>
    <col min="34" max="34" width="7.85546875" style="1" customWidth="1"/>
    <col min="35" max="35" width="8.42578125" style="1" customWidth="1"/>
    <col min="36" max="37" width="13.5703125" style="1" customWidth="1"/>
    <col min="38" max="38" width="5.42578125" style="1" bestFit="1" customWidth="1"/>
    <col min="39" max="40" width="7.85546875" style="1" customWidth="1"/>
    <col min="41" max="41" width="8.140625" style="1" customWidth="1"/>
    <col min="42" max="42" width="11.42578125" style="1" customWidth="1"/>
    <col min="43" max="43" width="10.42578125" style="1" customWidth="1"/>
    <col min="44" max="44" width="8.85546875" style="1" customWidth="1"/>
    <col min="45" max="45" width="7.85546875" style="1" customWidth="1"/>
    <col min="46" max="46" width="16.5703125" style="1" customWidth="1"/>
    <col min="47" max="16384" width="8.85546875" style="1"/>
  </cols>
  <sheetData>
    <row r="2" spans="1:46" x14ac:dyDescent="0.25">
      <c r="B2" s="3" t="s">
        <v>1</v>
      </c>
      <c r="C2" s="24" t="s">
        <v>149</v>
      </c>
      <c r="D2" s="24"/>
      <c r="E2" s="38"/>
      <c r="F2" s="38"/>
      <c r="G2" s="38"/>
      <c r="H2" s="38"/>
      <c r="I2" s="38"/>
    </row>
    <row r="4" spans="1:46" x14ac:dyDescent="0.25">
      <c r="A4" s="30"/>
      <c r="B4" s="368" t="s">
        <v>150</v>
      </c>
      <c r="C4" s="368"/>
      <c r="D4" s="368"/>
      <c r="E4" s="368"/>
      <c r="F4" s="368"/>
      <c r="G4" s="368"/>
      <c r="H4" s="368"/>
      <c r="I4" s="368"/>
      <c r="J4" s="368"/>
      <c r="K4" s="368"/>
      <c r="L4" s="368"/>
      <c r="M4" s="368"/>
      <c r="N4" s="368"/>
      <c r="O4" s="368"/>
      <c r="P4" s="368"/>
      <c r="Q4" s="368"/>
      <c r="R4" s="368"/>
      <c r="S4" s="368"/>
      <c r="T4" s="368"/>
      <c r="U4" s="368"/>
      <c r="V4" s="368"/>
      <c r="W4" s="368"/>
      <c r="X4" s="368"/>
      <c r="Y4" s="368"/>
      <c r="Z4" s="368"/>
      <c r="AA4" s="369" t="s">
        <v>151</v>
      </c>
      <c r="AB4" s="370" t="s">
        <v>37</v>
      </c>
      <c r="AC4" s="371" t="s">
        <v>38</v>
      </c>
      <c r="AD4" s="371"/>
      <c r="AE4" s="371"/>
      <c r="AF4" s="371"/>
      <c r="AG4" s="371"/>
      <c r="AH4" s="371"/>
      <c r="AI4" s="371"/>
      <c r="AJ4" s="371"/>
      <c r="AK4" s="371"/>
      <c r="AL4" s="371"/>
      <c r="AM4" s="371"/>
      <c r="AN4" s="371"/>
      <c r="AO4" s="371"/>
      <c r="AP4" s="371"/>
      <c r="AQ4" s="371"/>
      <c r="AR4" s="371"/>
      <c r="AS4" s="371"/>
      <c r="AT4" s="371"/>
    </row>
    <row r="5" spans="1:46" x14ac:dyDescent="0.25">
      <c r="A5" s="30"/>
      <c r="B5" s="366" t="s">
        <v>39</v>
      </c>
      <c r="C5" s="366"/>
      <c r="D5" s="366"/>
      <c r="E5" s="366"/>
      <c r="F5" s="366"/>
      <c r="G5" s="366"/>
      <c r="H5" s="366"/>
      <c r="I5" s="366"/>
      <c r="J5" s="366" t="s">
        <v>40</v>
      </c>
      <c r="K5" s="366"/>
      <c r="L5" s="366"/>
      <c r="M5" s="366"/>
      <c r="N5" s="366"/>
      <c r="O5" s="366"/>
      <c r="P5" s="366"/>
      <c r="Q5" s="366"/>
      <c r="R5" s="366" t="s">
        <v>41</v>
      </c>
      <c r="S5" s="366"/>
      <c r="T5" s="366"/>
      <c r="U5" s="366"/>
      <c r="V5" s="366"/>
      <c r="W5" s="366"/>
      <c r="X5" s="366"/>
      <c r="Y5" s="366"/>
      <c r="Z5" s="366"/>
      <c r="AA5" s="369"/>
      <c r="AB5" s="370"/>
      <c r="AC5" s="372" t="s">
        <v>42</v>
      </c>
      <c r="AD5" s="372"/>
      <c r="AE5" s="372"/>
      <c r="AF5" s="372"/>
      <c r="AG5" s="372"/>
      <c r="AH5" s="372"/>
      <c r="AI5" s="372"/>
      <c r="AJ5" s="372"/>
      <c r="AK5" s="372"/>
      <c r="AL5" s="372" t="s">
        <v>43</v>
      </c>
      <c r="AM5" s="372"/>
      <c r="AN5" s="372"/>
      <c r="AO5" s="372"/>
      <c r="AP5" s="372"/>
      <c r="AQ5" s="372"/>
      <c r="AR5" s="372"/>
      <c r="AS5" s="372"/>
      <c r="AT5" s="372"/>
    </row>
    <row r="6" spans="1:46" ht="63.6" customHeight="1" x14ac:dyDescent="0.25">
      <c r="A6" s="30"/>
      <c r="B6" s="367" t="s">
        <v>28</v>
      </c>
      <c r="C6" s="367"/>
      <c r="D6" s="373" t="s">
        <v>111</v>
      </c>
      <c r="E6" s="373"/>
      <c r="F6" s="373"/>
      <c r="G6" s="374" t="s">
        <v>198</v>
      </c>
      <c r="H6" s="374"/>
      <c r="I6" s="374"/>
      <c r="J6" s="367" t="s">
        <v>201</v>
      </c>
      <c r="K6" s="367"/>
      <c r="L6" s="367" t="s">
        <v>203</v>
      </c>
      <c r="M6" s="367"/>
      <c r="N6" s="367" t="s">
        <v>205</v>
      </c>
      <c r="O6" s="367"/>
      <c r="P6" s="367" t="s">
        <v>186</v>
      </c>
      <c r="Q6" s="367"/>
      <c r="R6" s="366" t="s">
        <v>208</v>
      </c>
      <c r="S6" s="366"/>
      <c r="T6" s="367" t="s">
        <v>211</v>
      </c>
      <c r="U6" s="367"/>
      <c r="V6" s="367" t="s">
        <v>214</v>
      </c>
      <c r="W6" s="367"/>
      <c r="X6" s="367" t="s">
        <v>216</v>
      </c>
      <c r="Y6" s="367"/>
      <c r="Z6" s="367"/>
      <c r="AA6" s="369"/>
      <c r="AB6" s="370"/>
      <c r="AC6" s="375" t="s">
        <v>44</v>
      </c>
      <c r="AD6" s="375"/>
      <c r="AE6" s="375" t="s">
        <v>45</v>
      </c>
      <c r="AF6" s="375"/>
      <c r="AG6" s="375" t="s">
        <v>46</v>
      </c>
      <c r="AH6" s="375"/>
      <c r="AI6" s="375"/>
      <c r="AJ6" s="375" t="s">
        <v>47</v>
      </c>
      <c r="AK6" s="375"/>
      <c r="AL6" s="375" t="s">
        <v>48</v>
      </c>
      <c r="AM6" s="375"/>
      <c r="AN6" s="375" t="s">
        <v>49</v>
      </c>
      <c r="AO6" s="375"/>
      <c r="AP6" s="375" t="s">
        <v>50</v>
      </c>
      <c r="AQ6" s="375"/>
      <c r="AR6" s="375" t="s">
        <v>51</v>
      </c>
      <c r="AS6" s="375"/>
      <c r="AT6" s="40" t="s">
        <v>112</v>
      </c>
    </row>
    <row r="7" spans="1:46" ht="149.1" customHeight="1" x14ac:dyDescent="0.25">
      <c r="A7" s="30"/>
      <c r="B7" s="104" t="s">
        <v>152</v>
      </c>
      <c r="C7" s="104" t="s">
        <v>153</v>
      </c>
      <c r="D7" s="104" t="s">
        <v>154</v>
      </c>
      <c r="E7" s="104" t="s">
        <v>155</v>
      </c>
      <c r="F7" s="104" t="s">
        <v>156</v>
      </c>
      <c r="G7" s="104" t="s">
        <v>157</v>
      </c>
      <c r="H7" s="104" t="s">
        <v>158</v>
      </c>
      <c r="I7" s="104" t="s">
        <v>159</v>
      </c>
      <c r="J7" s="104" t="s">
        <v>160</v>
      </c>
      <c r="K7" s="104" t="s">
        <v>161</v>
      </c>
      <c r="L7" s="104" t="s">
        <v>162</v>
      </c>
      <c r="M7" s="104" t="s">
        <v>163</v>
      </c>
      <c r="N7" s="104" t="s">
        <v>164</v>
      </c>
      <c r="O7" s="104" t="s">
        <v>165</v>
      </c>
      <c r="P7" s="104" t="s">
        <v>166</v>
      </c>
      <c r="Q7" s="104" t="s">
        <v>167</v>
      </c>
      <c r="R7" s="105" t="s">
        <v>209</v>
      </c>
      <c r="S7" s="105" t="s">
        <v>210</v>
      </c>
      <c r="T7" s="104" t="s">
        <v>168</v>
      </c>
      <c r="U7" s="104" t="s">
        <v>169</v>
      </c>
      <c r="V7" s="104" t="s">
        <v>170</v>
      </c>
      <c r="W7" s="104" t="s">
        <v>160</v>
      </c>
      <c r="X7" s="104" t="s">
        <v>171</v>
      </c>
      <c r="Y7" s="104" t="s">
        <v>172</v>
      </c>
      <c r="Z7" s="104" t="s">
        <v>173</v>
      </c>
      <c r="AA7" s="369"/>
      <c r="AB7" s="370"/>
      <c r="AC7" s="41" t="s">
        <v>52</v>
      </c>
      <c r="AD7" s="41" t="s">
        <v>53</v>
      </c>
      <c r="AE7" s="41" t="s">
        <v>54</v>
      </c>
      <c r="AF7" s="41" t="s">
        <v>55</v>
      </c>
      <c r="AG7" s="41" t="s">
        <v>56</v>
      </c>
      <c r="AH7" s="41" t="s">
        <v>57</v>
      </c>
      <c r="AI7" s="41" t="s">
        <v>58</v>
      </c>
      <c r="AJ7" s="41" t="s">
        <v>59</v>
      </c>
      <c r="AK7" s="41" t="s">
        <v>60</v>
      </c>
      <c r="AL7" s="41" t="s">
        <v>61</v>
      </c>
      <c r="AM7" s="41" t="s">
        <v>62</v>
      </c>
      <c r="AN7" s="41" t="s">
        <v>63</v>
      </c>
      <c r="AO7" s="41" t="s">
        <v>64</v>
      </c>
      <c r="AP7" s="41" t="s">
        <v>65</v>
      </c>
      <c r="AQ7" s="41" t="s">
        <v>66</v>
      </c>
      <c r="AR7" s="41" t="s">
        <v>67</v>
      </c>
      <c r="AS7" s="41" t="s">
        <v>68</v>
      </c>
      <c r="AT7" s="41" t="s">
        <v>69</v>
      </c>
    </row>
    <row r="8" spans="1:46" ht="30" x14ac:dyDescent="0.25">
      <c r="A8" s="30"/>
      <c r="B8" s="31" t="s">
        <v>72</v>
      </c>
      <c r="C8" s="31" t="s">
        <v>72</v>
      </c>
      <c r="D8" s="31"/>
      <c r="E8" s="31" t="s">
        <v>72</v>
      </c>
      <c r="F8" s="31"/>
      <c r="G8" s="31" t="s">
        <v>72</v>
      </c>
      <c r="H8" s="31" t="s">
        <v>72</v>
      </c>
      <c r="I8" s="31" t="s">
        <v>72</v>
      </c>
      <c r="J8" s="31"/>
      <c r="K8" s="31"/>
      <c r="L8" s="31"/>
      <c r="M8" s="31"/>
      <c r="N8" s="31"/>
      <c r="O8" s="31"/>
      <c r="P8" s="31" t="s">
        <v>72</v>
      </c>
      <c r="Q8" s="31" t="s">
        <v>72</v>
      </c>
      <c r="R8" s="31"/>
      <c r="S8" s="31"/>
      <c r="T8" s="31"/>
      <c r="U8" s="31"/>
      <c r="V8" s="31"/>
      <c r="W8" s="31"/>
      <c r="X8" s="31"/>
      <c r="Y8" s="31"/>
      <c r="Z8" s="31"/>
      <c r="AA8" s="32" t="s">
        <v>174</v>
      </c>
      <c r="AB8" s="280" t="s">
        <v>175</v>
      </c>
      <c r="AC8" s="31" t="s">
        <v>72</v>
      </c>
      <c r="AD8" s="31" t="s">
        <v>72</v>
      </c>
      <c r="AE8" s="31" t="s">
        <v>73</v>
      </c>
      <c r="AF8" s="31" t="s">
        <v>73</v>
      </c>
      <c r="AG8" s="31"/>
      <c r="AH8" s="31" t="s">
        <v>72</v>
      </c>
      <c r="AI8" s="31" t="s">
        <v>72</v>
      </c>
      <c r="AJ8" s="31"/>
      <c r="AK8" s="31"/>
      <c r="AL8" s="31" t="s">
        <v>72</v>
      </c>
      <c r="AM8" s="31" t="s">
        <v>72</v>
      </c>
      <c r="AN8" s="31"/>
      <c r="AO8" s="31"/>
      <c r="AP8" s="31" t="s">
        <v>72</v>
      </c>
      <c r="AQ8" s="31" t="s">
        <v>73</v>
      </c>
      <c r="AR8" s="31" t="s">
        <v>73</v>
      </c>
      <c r="AS8" s="31" t="s">
        <v>73</v>
      </c>
      <c r="AT8" s="31"/>
    </row>
    <row r="9" spans="1:46" x14ac:dyDescent="0.25">
      <c r="A9" s="30"/>
      <c r="B9" s="31" t="s">
        <v>72</v>
      </c>
      <c r="C9" s="31" t="s">
        <v>72</v>
      </c>
      <c r="D9" s="31"/>
      <c r="E9" s="31" t="s">
        <v>72</v>
      </c>
      <c r="F9" s="31" t="s">
        <v>72</v>
      </c>
      <c r="G9" s="31"/>
      <c r="H9" s="31"/>
      <c r="I9" s="31"/>
      <c r="J9" s="31"/>
      <c r="K9" s="31"/>
      <c r="L9" s="31"/>
      <c r="M9" s="31"/>
      <c r="N9" s="31"/>
      <c r="O9" s="31"/>
      <c r="P9" s="31" t="s">
        <v>72</v>
      </c>
      <c r="Q9" s="31" t="s">
        <v>72</v>
      </c>
      <c r="R9" s="31"/>
      <c r="S9" s="31"/>
      <c r="T9" s="31"/>
      <c r="U9" s="31"/>
      <c r="V9" s="31"/>
      <c r="W9" s="31"/>
      <c r="X9" s="31"/>
      <c r="Y9" s="31"/>
      <c r="Z9" s="31"/>
      <c r="AA9" s="32" t="s">
        <v>176</v>
      </c>
      <c r="AB9" s="280" t="s">
        <v>177</v>
      </c>
      <c r="AC9" s="31"/>
      <c r="AD9" s="31"/>
      <c r="AE9" s="31" t="s">
        <v>72</v>
      </c>
      <c r="AF9" s="31" t="s">
        <v>72</v>
      </c>
      <c r="AG9" s="31"/>
      <c r="AH9" s="31"/>
      <c r="AI9" s="31"/>
      <c r="AJ9" s="31"/>
      <c r="AK9" s="31"/>
      <c r="AL9" s="31"/>
      <c r="AM9" s="31"/>
      <c r="AN9" s="31"/>
      <c r="AO9" s="31"/>
      <c r="AP9" s="31" t="s">
        <v>73</v>
      </c>
      <c r="AQ9" s="31" t="s">
        <v>72</v>
      </c>
      <c r="AR9" s="31" t="s">
        <v>72</v>
      </c>
      <c r="AS9" s="31" t="s">
        <v>72</v>
      </c>
      <c r="AT9" s="31"/>
    </row>
    <row r="10" spans="1:46" x14ac:dyDescent="0.25">
      <c r="A10" s="30"/>
      <c r="B10" s="31"/>
      <c r="C10" s="31"/>
      <c r="D10" s="31"/>
      <c r="E10" s="31"/>
      <c r="F10" s="31"/>
      <c r="G10" s="31" t="s">
        <v>72</v>
      </c>
      <c r="H10" s="31" t="s">
        <v>72</v>
      </c>
      <c r="I10" s="31" t="s">
        <v>72</v>
      </c>
      <c r="J10" s="31"/>
      <c r="K10" s="31"/>
      <c r="L10" s="31"/>
      <c r="M10" s="31"/>
      <c r="N10" s="31"/>
      <c r="O10" s="31"/>
      <c r="P10" s="31"/>
      <c r="Q10" s="31"/>
      <c r="R10" s="31"/>
      <c r="S10" s="31"/>
      <c r="T10" s="31"/>
      <c r="U10" s="31"/>
      <c r="V10" s="31"/>
      <c r="W10" s="31"/>
      <c r="X10" s="31" t="s">
        <v>72</v>
      </c>
      <c r="Y10" s="31"/>
      <c r="Z10" s="31" t="s">
        <v>72</v>
      </c>
      <c r="AA10" s="106" t="s">
        <v>178</v>
      </c>
      <c r="AB10" s="280" t="s">
        <v>177</v>
      </c>
      <c r="AC10" s="31"/>
      <c r="AD10" s="31"/>
      <c r="AE10" s="31"/>
      <c r="AF10" s="31"/>
      <c r="AG10" s="31"/>
      <c r="AH10" s="31"/>
      <c r="AI10" s="31"/>
      <c r="AJ10" s="31"/>
      <c r="AK10" s="31"/>
      <c r="AL10" s="31"/>
      <c r="AM10" s="31"/>
      <c r="AN10" s="31"/>
      <c r="AO10" s="31"/>
      <c r="AP10" s="31"/>
      <c r="AQ10" s="31"/>
      <c r="AR10" s="31" t="s">
        <v>72</v>
      </c>
      <c r="AS10" s="31" t="s">
        <v>72</v>
      </c>
      <c r="AT10" s="31"/>
    </row>
    <row r="11" spans="1:46" x14ac:dyDescent="0.25">
      <c r="A11" s="30"/>
      <c r="B11" s="31"/>
      <c r="C11" s="31"/>
      <c r="D11" s="31"/>
      <c r="E11" s="31"/>
      <c r="F11" s="31"/>
      <c r="G11" s="31" t="s">
        <v>72</v>
      </c>
      <c r="H11" s="31" t="s">
        <v>72</v>
      </c>
      <c r="I11" s="31" t="s">
        <v>72</v>
      </c>
      <c r="J11" s="31"/>
      <c r="K11" s="31"/>
      <c r="L11" s="31"/>
      <c r="M11" s="31"/>
      <c r="N11" s="31"/>
      <c r="O11" s="31"/>
      <c r="P11" s="31"/>
      <c r="Q11" s="31"/>
      <c r="R11" s="31"/>
      <c r="S11" s="31"/>
      <c r="T11" s="31"/>
      <c r="U11" s="31"/>
      <c r="V11" s="31"/>
      <c r="W11" s="31"/>
      <c r="X11" s="31"/>
      <c r="Y11" s="31"/>
      <c r="Z11" s="31" t="s">
        <v>72</v>
      </c>
      <c r="AA11" s="106" t="s">
        <v>179</v>
      </c>
      <c r="AB11" s="280" t="s">
        <v>177</v>
      </c>
      <c r="AC11" s="31"/>
      <c r="AD11" s="31"/>
      <c r="AE11" s="31"/>
      <c r="AF11" s="31"/>
      <c r="AG11" s="31"/>
      <c r="AH11" s="31"/>
      <c r="AI11" s="31"/>
      <c r="AJ11" s="31" t="s">
        <v>72</v>
      </c>
      <c r="AK11" s="31" t="s">
        <v>72</v>
      </c>
      <c r="AL11" s="31"/>
      <c r="AM11" s="31"/>
      <c r="AN11" s="31"/>
      <c r="AO11" s="31"/>
      <c r="AP11" s="31"/>
      <c r="AQ11" s="31"/>
      <c r="AR11" s="31" t="s">
        <v>72</v>
      </c>
      <c r="AS11" s="31" t="s">
        <v>72</v>
      </c>
      <c r="AT11" s="31"/>
    </row>
    <row r="12" spans="1:46" x14ac:dyDescent="0.25">
      <c r="A12" s="30"/>
      <c r="B12" s="31"/>
      <c r="C12" s="31"/>
      <c r="D12" s="31"/>
      <c r="E12" s="31"/>
      <c r="F12" s="31"/>
      <c r="G12" s="31"/>
      <c r="H12" s="31" t="s">
        <v>72</v>
      </c>
      <c r="I12" s="31"/>
      <c r="J12" s="31"/>
      <c r="K12" s="31"/>
      <c r="L12" s="31" t="s">
        <v>72</v>
      </c>
      <c r="M12" s="31" t="s">
        <v>72</v>
      </c>
      <c r="N12" s="31" t="s">
        <v>72</v>
      </c>
      <c r="O12" s="31" t="s">
        <v>72</v>
      </c>
      <c r="P12" s="31"/>
      <c r="Q12" s="31"/>
      <c r="R12" s="31" t="s">
        <v>73</v>
      </c>
      <c r="S12" s="31" t="s">
        <v>73</v>
      </c>
      <c r="T12" s="31"/>
      <c r="U12" s="31"/>
      <c r="V12" s="31"/>
      <c r="W12" s="31"/>
      <c r="X12" s="31"/>
      <c r="Y12" s="31" t="s">
        <v>72</v>
      </c>
      <c r="Z12" s="31"/>
      <c r="AA12" s="106" t="s">
        <v>180</v>
      </c>
      <c r="AB12" s="281" t="s">
        <v>181</v>
      </c>
      <c r="AC12" s="31"/>
      <c r="AD12" s="31"/>
      <c r="AE12" s="31"/>
      <c r="AF12" s="31"/>
      <c r="AG12" s="31"/>
      <c r="AH12" s="31"/>
      <c r="AI12" s="31"/>
      <c r="AJ12" s="31"/>
      <c r="AK12" s="31"/>
      <c r="AL12" s="31"/>
      <c r="AM12" s="31"/>
      <c r="AN12" s="31"/>
      <c r="AO12" s="31"/>
      <c r="AP12" s="31"/>
      <c r="AQ12" s="31"/>
      <c r="AR12" s="31" t="s">
        <v>72</v>
      </c>
      <c r="AS12" s="31" t="s">
        <v>72</v>
      </c>
      <c r="AT12" s="31"/>
    </row>
    <row r="13" spans="1:46" x14ac:dyDescent="0.25">
      <c r="A13" s="30"/>
      <c r="B13" s="31"/>
      <c r="C13" s="31"/>
      <c r="D13" s="31"/>
      <c r="E13" s="31"/>
      <c r="F13" s="31"/>
      <c r="G13" s="31"/>
      <c r="H13" s="31"/>
      <c r="I13" s="31"/>
      <c r="J13" s="31"/>
      <c r="K13" s="31"/>
      <c r="L13" s="31"/>
      <c r="M13" s="31" t="s">
        <v>72</v>
      </c>
      <c r="N13" s="31"/>
      <c r="O13" s="31"/>
      <c r="P13" s="31"/>
      <c r="Q13" s="31"/>
      <c r="R13" s="31" t="s">
        <v>73</v>
      </c>
      <c r="S13" s="31" t="s">
        <v>73</v>
      </c>
      <c r="T13" s="31" t="s">
        <v>72</v>
      </c>
      <c r="U13" s="31"/>
      <c r="V13" s="31"/>
      <c r="W13" s="31"/>
      <c r="X13" s="31"/>
      <c r="Y13" s="31"/>
      <c r="Z13" s="31"/>
      <c r="AA13" s="32" t="s">
        <v>182</v>
      </c>
      <c r="AB13" s="281" t="s">
        <v>181</v>
      </c>
      <c r="AC13" s="31"/>
      <c r="AD13" s="31"/>
      <c r="AE13" s="31"/>
      <c r="AF13" s="31"/>
      <c r="AG13" s="31"/>
      <c r="AH13" s="31"/>
      <c r="AI13" s="31"/>
      <c r="AJ13" s="31"/>
      <c r="AK13" s="31"/>
      <c r="AL13" s="31"/>
      <c r="AM13" s="31"/>
      <c r="AN13" s="31"/>
      <c r="AO13" s="31"/>
      <c r="AP13" s="31"/>
      <c r="AQ13" s="31"/>
      <c r="AR13" s="31"/>
      <c r="AS13" s="31"/>
      <c r="AT13" s="31"/>
    </row>
    <row r="14" spans="1:46" x14ac:dyDescent="0.25">
      <c r="A14" s="30"/>
      <c r="B14" s="31"/>
      <c r="C14" s="31"/>
      <c r="D14" s="31"/>
      <c r="E14" s="31"/>
      <c r="F14" s="31"/>
      <c r="G14" s="31"/>
      <c r="H14" s="31"/>
      <c r="I14" s="31" t="s">
        <v>72</v>
      </c>
      <c r="J14" s="31"/>
      <c r="K14" s="31"/>
      <c r="L14" s="31" t="s">
        <v>72</v>
      </c>
      <c r="M14" s="31"/>
      <c r="N14" s="31" t="s">
        <v>72</v>
      </c>
      <c r="O14" s="31" t="s">
        <v>72</v>
      </c>
      <c r="P14" s="31" t="s">
        <v>72</v>
      </c>
      <c r="Q14" s="31" t="s">
        <v>72</v>
      </c>
      <c r="R14" s="31" t="s">
        <v>73</v>
      </c>
      <c r="S14" s="31" t="s">
        <v>73</v>
      </c>
      <c r="T14" s="31"/>
      <c r="U14" s="31"/>
      <c r="V14" s="31"/>
      <c r="W14" s="31" t="s">
        <v>72</v>
      </c>
      <c r="X14" s="31" t="s">
        <v>72</v>
      </c>
      <c r="Y14" s="31" t="s">
        <v>72</v>
      </c>
      <c r="Z14" s="31"/>
      <c r="AA14" s="106" t="s">
        <v>183</v>
      </c>
      <c r="AB14" s="281" t="s">
        <v>181</v>
      </c>
      <c r="AC14" s="31"/>
      <c r="AD14" s="31"/>
      <c r="AE14" s="31"/>
      <c r="AF14" s="31"/>
      <c r="AG14" s="31"/>
      <c r="AH14" s="31"/>
      <c r="AI14" s="31"/>
      <c r="AJ14" s="31"/>
      <c r="AK14" s="31"/>
      <c r="AL14" s="31"/>
      <c r="AM14" s="31"/>
      <c r="AN14" s="31"/>
      <c r="AO14" s="31"/>
      <c r="AP14" s="31"/>
      <c r="AQ14" s="31"/>
      <c r="AR14" s="31"/>
      <c r="AS14" s="31"/>
      <c r="AT14" s="31"/>
    </row>
    <row r="15" spans="1:46" x14ac:dyDescent="0.25">
      <c r="A15" s="30"/>
      <c r="B15" s="31"/>
      <c r="C15" s="31"/>
      <c r="D15" s="31"/>
      <c r="E15" s="31"/>
      <c r="F15" s="31"/>
      <c r="G15" s="31"/>
      <c r="H15" s="31"/>
      <c r="I15" s="31"/>
      <c r="J15" s="31" t="s">
        <v>72</v>
      </c>
      <c r="K15" s="31"/>
      <c r="L15" s="31"/>
      <c r="M15" s="31"/>
      <c r="N15" s="31"/>
      <c r="O15" s="31"/>
      <c r="P15" s="31"/>
      <c r="Q15" s="31"/>
      <c r="R15" s="31"/>
      <c r="S15" s="31"/>
      <c r="T15" s="31"/>
      <c r="U15" s="31"/>
      <c r="V15" s="31" t="s">
        <v>72</v>
      </c>
      <c r="W15" s="31" t="s">
        <v>72</v>
      </c>
      <c r="X15" s="31"/>
      <c r="Y15" s="31"/>
      <c r="Z15" s="31"/>
      <c r="AA15" s="106" t="s">
        <v>184</v>
      </c>
      <c r="AB15" s="281" t="s">
        <v>181</v>
      </c>
      <c r="AC15" s="31"/>
      <c r="AD15" s="31"/>
      <c r="AE15" s="31"/>
      <c r="AF15" s="31"/>
      <c r="AG15" s="31"/>
      <c r="AH15" s="31"/>
      <c r="AI15" s="31"/>
      <c r="AJ15" s="31"/>
      <c r="AK15" s="31"/>
      <c r="AL15" s="31"/>
      <c r="AM15" s="31"/>
      <c r="AN15" s="31"/>
      <c r="AO15" s="31"/>
      <c r="AP15" s="31"/>
      <c r="AQ15" s="31"/>
      <c r="AR15" s="31"/>
      <c r="AS15" s="31"/>
      <c r="AT15" s="31"/>
    </row>
    <row r="16" spans="1:46" x14ac:dyDescent="0.25">
      <c r="A16" s="30"/>
      <c r="B16" s="31"/>
      <c r="C16" s="31"/>
      <c r="D16" s="31"/>
      <c r="E16" s="31"/>
      <c r="F16" s="31"/>
      <c r="G16" s="31"/>
      <c r="H16" s="31"/>
      <c r="I16" s="31"/>
      <c r="J16" s="31" t="s">
        <v>72</v>
      </c>
      <c r="K16" s="31" t="s">
        <v>72</v>
      </c>
      <c r="L16" s="31"/>
      <c r="M16" s="31"/>
      <c r="N16" s="31"/>
      <c r="O16" s="31"/>
      <c r="P16" s="31"/>
      <c r="Q16" s="31"/>
      <c r="R16" s="31" t="s">
        <v>73</v>
      </c>
      <c r="S16" s="31" t="s">
        <v>73</v>
      </c>
      <c r="T16" s="31"/>
      <c r="U16" s="31"/>
      <c r="V16" s="31"/>
      <c r="W16" s="31"/>
      <c r="X16" s="31"/>
      <c r="Y16" s="31"/>
      <c r="Z16" s="31"/>
      <c r="AA16" s="106" t="s">
        <v>185</v>
      </c>
      <c r="AB16" s="281" t="s">
        <v>181</v>
      </c>
      <c r="AC16" s="31"/>
      <c r="AD16" s="31"/>
      <c r="AE16" s="31"/>
      <c r="AF16" s="31"/>
      <c r="AG16" s="31"/>
      <c r="AH16" s="31"/>
      <c r="AI16" s="31"/>
      <c r="AJ16" s="31"/>
      <c r="AK16" s="31"/>
      <c r="AL16" s="31"/>
      <c r="AM16" s="31"/>
      <c r="AN16" s="31"/>
      <c r="AO16" s="31"/>
      <c r="AP16" s="31"/>
      <c r="AQ16" s="31"/>
      <c r="AR16" s="31"/>
      <c r="AS16" s="31"/>
      <c r="AT16" s="31"/>
    </row>
    <row r="17" spans="1:46" x14ac:dyDescent="0.25">
      <c r="A17" s="30"/>
      <c r="B17" s="31"/>
      <c r="C17" s="31"/>
      <c r="D17" s="31"/>
      <c r="E17" s="31"/>
      <c r="F17" s="31"/>
      <c r="G17" s="31"/>
      <c r="H17" s="31"/>
      <c r="I17" s="31"/>
      <c r="J17" s="31" t="s">
        <v>72</v>
      </c>
      <c r="K17" s="31" t="s">
        <v>72</v>
      </c>
      <c r="L17" s="31"/>
      <c r="M17" s="31"/>
      <c r="N17" s="31"/>
      <c r="O17" s="31"/>
      <c r="P17" s="31"/>
      <c r="Q17" s="31"/>
      <c r="R17" s="31"/>
      <c r="S17" s="31"/>
      <c r="T17" s="31" t="s">
        <v>72</v>
      </c>
      <c r="U17" s="31"/>
      <c r="V17" s="31"/>
      <c r="W17" s="31"/>
      <c r="X17" s="31"/>
      <c r="Y17" s="31"/>
      <c r="Z17" s="31"/>
      <c r="AA17" s="106" t="s">
        <v>186</v>
      </c>
      <c r="AB17" s="281" t="s">
        <v>181</v>
      </c>
      <c r="AC17" s="31"/>
      <c r="AD17" s="31"/>
      <c r="AE17" s="31"/>
      <c r="AF17" s="31"/>
      <c r="AG17" s="31"/>
      <c r="AH17" s="31"/>
      <c r="AI17" s="31"/>
      <c r="AJ17" s="31"/>
      <c r="AK17" s="31"/>
      <c r="AL17" s="31"/>
      <c r="AM17" s="31"/>
      <c r="AN17" s="31"/>
      <c r="AO17" s="31"/>
      <c r="AP17" s="31"/>
      <c r="AQ17" s="31"/>
      <c r="AR17" s="31"/>
      <c r="AS17" s="31"/>
      <c r="AT17" s="31"/>
    </row>
    <row r="18" spans="1:46" x14ac:dyDescent="0.25">
      <c r="A18" s="30"/>
      <c r="B18" s="31"/>
      <c r="C18" s="31"/>
      <c r="D18" s="31"/>
      <c r="E18" s="31"/>
      <c r="F18" s="31"/>
      <c r="G18" s="31"/>
      <c r="H18" s="31"/>
      <c r="I18" s="31"/>
      <c r="J18" s="31"/>
      <c r="K18" s="31" t="s">
        <v>72</v>
      </c>
      <c r="L18" s="31"/>
      <c r="M18" s="31"/>
      <c r="N18" s="31"/>
      <c r="O18" s="31"/>
      <c r="P18" s="31"/>
      <c r="Q18" s="31"/>
      <c r="R18" s="31"/>
      <c r="S18" s="31"/>
      <c r="T18" s="31"/>
      <c r="U18" s="31"/>
      <c r="V18" s="31"/>
      <c r="W18" s="31" t="s">
        <v>72</v>
      </c>
      <c r="X18" s="31"/>
      <c r="Y18" s="31"/>
      <c r="Z18" s="31"/>
      <c r="AA18" s="106" t="s">
        <v>187</v>
      </c>
      <c r="AB18" s="281" t="s">
        <v>181</v>
      </c>
      <c r="AC18" s="31"/>
      <c r="AD18" s="31"/>
      <c r="AE18" s="31"/>
      <c r="AF18" s="31"/>
      <c r="AG18" s="31"/>
      <c r="AH18" s="31"/>
      <c r="AI18" s="31"/>
      <c r="AJ18" s="31"/>
      <c r="AK18" s="31"/>
      <c r="AL18" s="31"/>
      <c r="AM18" s="31"/>
      <c r="AN18" s="31"/>
      <c r="AO18" s="31"/>
      <c r="AP18" s="31"/>
      <c r="AQ18" s="31"/>
      <c r="AR18" s="31"/>
      <c r="AS18" s="31"/>
      <c r="AT18" s="31"/>
    </row>
    <row r="19" spans="1:46" x14ac:dyDescent="0.25">
      <c r="A19" s="30"/>
      <c r="B19" s="31"/>
      <c r="C19" s="31"/>
      <c r="D19" s="31"/>
      <c r="E19" s="31"/>
      <c r="F19" s="31"/>
      <c r="G19" s="31"/>
      <c r="H19" s="31"/>
      <c r="I19" s="31"/>
      <c r="J19" s="31"/>
      <c r="K19" s="31" t="s">
        <v>72</v>
      </c>
      <c r="L19" s="31"/>
      <c r="M19" s="31"/>
      <c r="N19" s="31"/>
      <c r="O19" s="31"/>
      <c r="P19" s="31"/>
      <c r="Q19" s="31"/>
      <c r="R19" s="31"/>
      <c r="S19" s="31"/>
      <c r="T19" s="31"/>
      <c r="U19" s="31"/>
      <c r="V19" s="31"/>
      <c r="W19" s="31"/>
      <c r="X19" s="31"/>
      <c r="Y19" s="31"/>
      <c r="Z19" s="31"/>
      <c r="AA19" s="106" t="s">
        <v>188</v>
      </c>
      <c r="AB19" s="281" t="s">
        <v>181</v>
      </c>
      <c r="AC19" s="31"/>
      <c r="AD19" s="31"/>
      <c r="AE19" s="31"/>
      <c r="AF19" s="31"/>
      <c r="AG19" s="31"/>
      <c r="AH19" s="31"/>
      <c r="AI19" s="31"/>
      <c r="AJ19" s="31"/>
      <c r="AK19" s="31"/>
      <c r="AL19" s="31"/>
      <c r="AM19" s="31"/>
      <c r="AN19" s="31"/>
      <c r="AO19" s="31"/>
      <c r="AP19" s="31"/>
      <c r="AQ19" s="31"/>
      <c r="AR19" s="31"/>
      <c r="AS19" s="31"/>
      <c r="AT19" s="31"/>
    </row>
    <row r="20" spans="1:46" x14ac:dyDescent="0.25">
      <c r="A20" s="30"/>
      <c r="B20" s="31"/>
      <c r="C20" s="31"/>
      <c r="D20" s="31"/>
      <c r="E20" s="31"/>
      <c r="F20" s="31"/>
      <c r="G20" s="31"/>
      <c r="H20" s="31"/>
      <c r="I20" s="31"/>
      <c r="J20" s="31"/>
      <c r="K20" s="31"/>
      <c r="L20" s="31" t="s">
        <v>72</v>
      </c>
      <c r="M20" s="31" t="s">
        <v>72</v>
      </c>
      <c r="N20" s="31"/>
      <c r="O20" s="31"/>
      <c r="P20" s="31"/>
      <c r="Q20" s="31"/>
      <c r="R20" s="31"/>
      <c r="S20" s="31"/>
      <c r="T20" s="31"/>
      <c r="U20" s="31"/>
      <c r="V20" s="31"/>
      <c r="W20" s="31" t="s">
        <v>72</v>
      </c>
      <c r="X20" s="31"/>
      <c r="Y20" s="31"/>
      <c r="Z20" s="31"/>
      <c r="AA20" s="106" t="s">
        <v>189</v>
      </c>
      <c r="AB20" s="280" t="s">
        <v>177</v>
      </c>
      <c r="AC20" s="31"/>
      <c r="AD20" s="31"/>
      <c r="AE20" s="31"/>
      <c r="AF20" s="31"/>
      <c r="AG20" s="31"/>
      <c r="AH20" s="31"/>
      <c r="AI20" s="31"/>
      <c r="AJ20" s="31" t="s">
        <v>72</v>
      </c>
      <c r="AK20" s="31" t="s">
        <v>72</v>
      </c>
      <c r="AL20" s="31"/>
      <c r="AM20" s="31"/>
      <c r="AN20" s="31"/>
      <c r="AO20" s="31"/>
      <c r="AP20" s="31"/>
      <c r="AQ20" s="31"/>
      <c r="AR20" s="31" t="s">
        <v>72</v>
      </c>
      <c r="AS20" s="31" t="s">
        <v>72</v>
      </c>
      <c r="AT20" s="31"/>
    </row>
    <row r="21" spans="1:46" x14ac:dyDescent="0.25">
      <c r="A21" s="30"/>
      <c r="B21" s="31"/>
      <c r="C21" s="31"/>
      <c r="D21" s="31"/>
      <c r="E21" s="31"/>
      <c r="F21" s="31"/>
      <c r="G21" s="31"/>
      <c r="H21" s="31"/>
      <c r="I21" s="31"/>
      <c r="J21" s="31"/>
      <c r="K21" s="31"/>
      <c r="L21" s="31"/>
      <c r="M21" s="31"/>
      <c r="N21" s="31"/>
      <c r="O21" s="31"/>
      <c r="P21" s="31"/>
      <c r="Q21" s="31"/>
      <c r="R21" s="31"/>
      <c r="S21" s="31"/>
      <c r="T21" s="31"/>
      <c r="U21" s="31"/>
      <c r="V21" s="31"/>
      <c r="W21" s="31" t="s">
        <v>72</v>
      </c>
      <c r="X21" s="31"/>
      <c r="Y21" s="31"/>
      <c r="Z21" s="31"/>
      <c r="AA21" s="106" t="s">
        <v>190</v>
      </c>
      <c r="AB21" s="281" t="s">
        <v>181</v>
      </c>
      <c r="AC21" s="31"/>
      <c r="AD21" s="31"/>
      <c r="AE21" s="31"/>
      <c r="AF21" s="31"/>
      <c r="AG21" s="31"/>
      <c r="AH21" s="31"/>
      <c r="AI21" s="31"/>
      <c r="AJ21" s="31"/>
      <c r="AK21" s="31"/>
      <c r="AL21" s="31"/>
      <c r="AM21" s="31"/>
      <c r="AN21" s="31"/>
      <c r="AO21" s="31"/>
      <c r="AP21" s="31"/>
      <c r="AQ21" s="31"/>
      <c r="AR21" s="31"/>
      <c r="AS21" s="31"/>
      <c r="AT21" s="31"/>
    </row>
    <row r="22" spans="1:46" x14ac:dyDescent="0.25">
      <c r="A22" s="30"/>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106" t="s">
        <v>191</v>
      </c>
      <c r="AB22" s="281" t="s">
        <v>181</v>
      </c>
      <c r="AC22" s="31"/>
      <c r="AD22" s="31"/>
      <c r="AE22" s="31"/>
      <c r="AF22" s="31"/>
      <c r="AG22" s="31"/>
      <c r="AH22" s="31"/>
      <c r="AI22" s="31"/>
      <c r="AJ22" s="31"/>
      <c r="AK22" s="31"/>
      <c r="AL22" s="31"/>
      <c r="AM22" s="31"/>
      <c r="AN22" s="31"/>
      <c r="AO22" s="31"/>
      <c r="AP22" s="31"/>
      <c r="AQ22" s="31"/>
      <c r="AR22" s="31"/>
      <c r="AS22" s="31"/>
      <c r="AT22" s="31"/>
    </row>
    <row r="23" spans="1:46" x14ac:dyDescent="0.25">
      <c r="A23" s="30"/>
      <c r="B23" s="31"/>
      <c r="C23" s="31"/>
      <c r="D23" s="31"/>
      <c r="E23" s="31"/>
      <c r="F23" s="31"/>
      <c r="G23" s="31"/>
      <c r="H23" s="31"/>
      <c r="I23" s="31"/>
      <c r="J23" s="31"/>
      <c r="K23" s="31"/>
      <c r="L23" s="31"/>
      <c r="M23" s="31"/>
      <c r="N23" s="31"/>
      <c r="O23" s="31"/>
      <c r="P23" s="31"/>
      <c r="Q23" s="31"/>
      <c r="R23" s="31"/>
      <c r="S23" s="31"/>
      <c r="T23" s="31"/>
      <c r="U23" s="31"/>
      <c r="V23" s="31"/>
      <c r="W23" s="31"/>
      <c r="X23" s="31" t="s">
        <v>72</v>
      </c>
      <c r="Y23" s="31" t="s">
        <v>72</v>
      </c>
      <c r="Z23" s="31"/>
      <c r="AA23" s="106" t="s">
        <v>192</v>
      </c>
      <c r="AB23" s="281" t="s">
        <v>175</v>
      </c>
      <c r="AC23" s="31"/>
      <c r="AD23" s="31"/>
      <c r="AE23" s="31"/>
      <c r="AF23" s="31"/>
      <c r="AG23" s="31"/>
      <c r="AH23" s="31"/>
      <c r="AI23" s="31"/>
      <c r="AJ23" s="31"/>
      <c r="AK23" s="31"/>
      <c r="AL23" s="31"/>
      <c r="AM23" s="31"/>
      <c r="AN23" s="31"/>
      <c r="AO23" s="31"/>
      <c r="AP23" s="31"/>
      <c r="AQ23" s="31"/>
      <c r="AR23" s="31" t="s">
        <v>73</v>
      </c>
      <c r="AS23" s="31" t="s">
        <v>73</v>
      </c>
      <c r="AT23" s="31"/>
    </row>
    <row r="24" spans="1:46" x14ac:dyDescent="0.25">
      <c r="A24" s="30"/>
      <c r="B24" s="31"/>
      <c r="C24" s="31"/>
      <c r="D24" s="31"/>
      <c r="E24" s="31"/>
      <c r="F24" s="31"/>
      <c r="G24" s="31"/>
      <c r="H24" s="31"/>
      <c r="I24" s="31"/>
      <c r="J24" s="31"/>
      <c r="K24" s="31"/>
      <c r="L24" s="31"/>
      <c r="M24" s="31"/>
      <c r="N24" s="31"/>
      <c r="O24" s="31"/>
      <c r="P24" s="31"/>
      <c r="Q24" s="31"/>
      <c r="R24" s="31"/>
      <c r="S24" s="31"/>
      <c r="T24" s="31"/>
      <c r="U24" s="31"/>
      <c r="V24" s="31"/>
      <c r="W24" s="31"/>
      <c r="X24" s="31" t="s">
        <v>72</v>
      </c>
      <c r="Y24" s="31" t="s">
        <v>72</v>
      </c>
      <c r="Z24" s="31"/>
      <c r="AA24" s="32" t="s">
        <v>193</v>
      </c>
      <c r="AB24" s="280" t="s">
        <v>177</v>
      </c>
      <c r="AC24" s="31"/>
      <c r="AD24" s="31"/>
      <c r="AE24" s="31"/>
      <c r="AF24" s="31"/>
      <c r="AG24" s="31" t="s">
        <v>72</v>
      </c>
      <c r="AH24" s="31"/>
      <c r="AI24" s="31"/>
      <c r="AJ24" s="31"/>
      <c r="AK24" s="31"/>
      <c r="AL24" s="31"/>
      <c r="AM24" s="31"/>
      <c r="AN24" s="31" t="s">
        <v>72</v>
      </c>
      <c r="AO24" s="31" t="s">
        <v>72</v>
      </c>
      <c r="AP24" s="31"/>
      <c r="AQ24" s="31"/>
      <c r="AR24" s="31"/>
      <c r="AS24" s="31"/>
      <c r="AT24" s="31"/>
    </row>
    <row r="25" spans="1:46" x14ac:dyDescent="0.25">
      <c r="A25" s="30"/>
      <c r="B25" s="31"/>
      <c r="C25" s="31"/>
      <c r="D25" s="31"/>
      <c r="E25" s="31"/>
      <c r="F25" s="31"/>
      <c r="G25" s="31"/>
      <c r="H25" s="31"/>
      <c r="I25" s="31"/>
      <c r="J25" s="31"/>
      <c r="K25" s="31"/>
      <c r="L25" s="31"/>
      <c r="M25" s="31"/>
      <c r="N25" s="31"/>
      <c r="O25" s="31"/>
      <c r="P25" s="31"/>
      <c r="Q25" s="31"/>
      <c r="R25" s="31"/>
      <c r="S25" s="31"/>
      <c r="T25" s="31"/>
      <c r="U25" s="31"/>
      <c r="V25" s="31"/>
      <c r="W25" s="31"/>
      <c r="X25" s="31"/>
      <c r="Y25" s="31"/>
      <c r="Z25" s="31" t="s">
        <v>72</v>
      </c>
      <c r="AA25" s="106" t="s">
        <v>194</v>
      </c>
      <c r="AB25" s="280" t="s">
        <v>177</v>
      </c>
      <c r="AC25" s="31"/>
      <c r="AD25" s="31"/>
      <c r="AE25" s="31"/>
      <c r="AF25" s="31"/>
      <c r="AG25" s="31"/>
      <c r="AH25" s="31"/>
      <c r="AI25" s="31"/>
      <c r="AJ25" s="31" t="s">
        <v>73</v>
      </c>
      <c r="AK25" s="31" t="s">
        <v>73</v>
      </c>
      <c r="AL25" s="31"/>
      <c r="AM25" s="31"/>
      <c r="AN25" s="31"/>
      <c r="AO25" s="31"/>
      <c r="AP25" s="31"/>
      <c r="AQ25" s="31"/>
      <c r="AR25" s="31" t="s">
        <v>72</v>
      </c>
      <c r="AS25" s="31" t="s">
        <v>72</v>
      </c>
      <c r="AT25" s="31"/>
    </row>
    <row r="26" spans="1:46" x14ac:dyDescent="0.25">
      <c r="AB26" s="278"/>
    </row>
  </sheetData>
  <mergeCells count="28">
    <mergeCell ref="AR6:AS6"/>
    <mergeCell ref="AG6:AI6"/>
    <mergeCell ref="AJ6:AK6"/>
    <mergeCell ref="AL6:AM6"/>
    <mergeCell ref="AN6:AO6"/>
    <mergeCell ref="AP6:AQ6"/>
    <mergeCell ref="B4:Z4"/>
    <mergeCell ref="AA4:AA7"/>
    <mergeCell ref="AB4:AB7"/>
    <mergeCell ref="AC4:AT4"/>
    <mergeCell ref="B5:I5"/>
    <mergeCell ref="J5:Q5"/>
    <mergeCell ref="R5:Z5"/>
    <mergeCell ref="AC5:AK5"/>
    <mergeCell ref="AL5:AT5"/>
    <mergeCell ref="B6:C6"/>
    <mergeCell ref="D6:F6"/>
    <mergeCell ref="G6:I6"/>
    <mergeCell ref="J6:K6"/>
    <mergeCell ref="L6:M6"/>
    <mergeCell ref="AC6:AD6"/>
    <mergeCell ref="AE6:AF6"/>
    <mergeCell ref="R6:S6"/>
    <mergeCell ref="T6:U6"/>
    <mergeCell ref="X6:Z6"/>
    <mergeCell ref="N6:O6"/>
    <mergeCell ref="P6:Q6"/>
    <mergeCell ref="V6:W6"/>
  </mergeCells>
  <dataValidations count="1">
    <dataValidation type="list" allowBlank="1" showInputMessage="1" showErrorMessage="1" sqref="AE8:AE20">
      <formula1>"Non, Semestre 3, Semestre 4, Semestre 5"</formula1>
    </dataValidation>
  </dataValidation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1"/>
  </sheetPr>
  <dimension ref="C2:F46"/>
  <sheetViews>
    <sheetView topLeftCell="B23" workbookViewId="0">
      <selection activeCell="H22" sqref="H22"/>
    </sheetView>
  </sheetViews>
  <sheetFormatPr baseColWidth="10" defaultColWidth="8.85546875" defaultRowHeight="15" x14ac:dyDescent="0.25"/>
  <cols>
    <col min="1" max="2" width="8.85546875" style="1"/>
    <col min="3" max="3" width="15.85546875" style="1" customWidth="1"/>
    <col min="4" max="4" width="47" style="1" customWidth="1"/>
    <col min="5" max="5" width="18.140625" style="1" customWidth="1"/>
    <col min="6" max="6" width="31.5703125" style="1" customWidth="1"/>
    <col min="7" max="16384" width="8.85546875" style="1"/>
  </cols>
  <sheetData>
    <row r="2" spans="3:6" ht="43.35" customHeight="1" x14ac:dyDescent="0.25">
      <c r="C2" s="376" t="s">
        <v>456</v>
      </c>
      <c r="D2" s="376"/>
      <c r="E2" s="376"/>
      <c r="F2" s="376"/>
    </row>
    <row r="3" spans="3:6" x14ac:dyDescent="0.25">
      <c r="C3" s="3" t="s">
        <v>1</v>
      </c>
      <c r="D3" s="353" t="s">
        <v>149</v>
      </c>
      <c r="E3" s="354"/>
      <c r="F3" s="162"/>
    </row>
    <row r="5" spans="3:6" x14ac:dyDescent="0.25">
      <c r="C5" s="377" t="s">
        <v>82</v>
      </c>
      <c r="D5" s="13" t="s">
        <v>457</v>
      </c>
      <c r="E5" s="13"/>
      <c r="F5" s="13"/>
    </row>
    <row r="6" spans="3:6" x14ac:dyDescent="0.25">
      <c r="C6" s="377"/>
      <c r="D6" s="152" t="s">
        <v>25</v>
      </c>
      <c r="E6" s="153" t="s">
        <v>26</v>
      </c>
      <c r="F6" s="153" t="s">
        <v>458</v>
      </c>
    </row>
    <row r="7" spans="3:6" x14ac:dyDescent="0.25">
      <c r="C7" s="361" t="s">
        <v>83</v>
      </c>
      <c r="D7" s="17"/>
      <c r="E7" s="154"/>
      <c r="F7" s="8"/>
    </row>
    <row r="8" spans="3:6" x14ac:dyDescent="0.25">
      <c r="C8" s="361"/>
      <c r="D8" s="17"/>
      <c r="E8" s="155"/>
      <c r="F8" s="8"/>
    </row>
    <row r="9" spans="3:6" x14ac:dyDescent="0.25">
      <c r="C9" s="361"/>
      <c r="D9" s="17"/>
      <c r="E9" s="155"/>
      <c r="F9" s="8"/>
    </row>
    <row r="10" spans="3:6" x14ac:dyDescent="0.25">
      <c r="C10" s="361"/>
      <c r="D10" s="17"/>
      <c r="E10" s="155"/>
      <c r="F10" s="8"/>
    </row>
    <row r="11" spans="3:6" x14ac:dyDescent="0.25">
      <c r="C11" s="361"/>
      <c r="D11" s="17"/>
      <c r="E11" s="155"/>
      <c r="F11" s="8"/>
    </row>
    <row r="12" spans="3:6" x14ac:dyDescent="0.25">
      <c r="C12" s="361"/>
      <c r="D12" s="17"/>
      <c r="E12" s="155"/>
      <c r="F12" s="8"/>
    </row>
    <row r="13" spans="3:6" x14ac:dyDescent="0.25">
      <c r="C13" s="361"/>
      <c r="D13" s="17"/>
      <c r="E13" s="155"/>
      <c r="F13" s="8"/>
    </row>
    <row r="14" spans="3:6" x14ac:dyDescent="0.25">
      <c r="C14" s="361"/>
      <c r="D14" s="17"/>
      <c r="E14" s="155"/>
      <c r="F14" s="8"/>
    </row>
    <row r="15" spans="3:6" x14ac:dyDescent="0.25">
      <c r="C15" s="361"/>
      <c r="D15" s="17"/>
      <c r="E15" s="155"/>
      <c r="F15" s="8"/>
    </row>
    <row r="16" spans="3:6" x14ac:dyDescent="0.25">
      <c r="C16" s="361"/>
      <c r="D16" s="18"/>
      <c r="E16" s="155"/>
      <c r="F16" s="8"/>
    </row>
    <row r="17" spans="3:6" x14ac:dyDescent="0.25">
      <c r="C17" s="361"/>
      <c r="D17" s="18"/>
      <c r="E17" s="155"/>
      <c r="F17" s="8"/>
    </row>
    <row r="18" spans="3:6" x14ac:dyDescent="0.25">
      <c r="C18" s="28"/>
      <c r="D18" s="15"/>
      <c r="E18" s="156"/>
      <c r="F18" s="157"/>
    </row>
    <row r="19" spans="3:6" x14ac:dyDescent="0.25">
      <c r="C19" s="361" t="s">
        <v>84</v>
      </c>
      <c r="D19" s="158" t="s">
        <v>537</v>
      </c>
      <c r="E19" s="159">
        <v>21</v>
      </c>
      <c r="F19" s="8" t="s">
        <v>181</v>
      </c>
    </row>
    <row r="20" spans="3:6" x14ac:dyDescent="0.25">
      <c r="C20" s="361"/>
      <c r="D20" s="158" t="s">
        <v>593</v>
      </c>
      <c r="E20" s="159">
        <v>21</v>
      </c>
      <c r="F20" s="8" t="s">
        <v>181</v>
      </c>
    </row>
    <row r="21" spans="3:6" x14ac:dyDescent="0.25">
      <c r="C21" s="361"/>
      <c r="D21" s="158" t="s">
        <v>690</v>
      </c>
      <c r="E21" s="159">
        <v>21</v>
      </c>
      <c r="F21" s="8" t="s">
        <v>181</v>
      </c>
    </row>
    <row r="22" spans="3:6" x14ac:dyDescent="0.25">
      <c r="C22" s="361"/>
      <c r="D22" s="158" t="s">
        <v>691</v>
      </c>
      <c r="E22" s="159">
        <v>21</v>
      </c>
      <c r="F22" s="8" t="s">
        <v>181</v>
      </c>
    </row>
    <row r="23" spans="3:6" x14ac:dyDescent="0.25">
      <c r="C23" s="361"/>
      <c r="D23" s="158"/>
      <c r="E23" s="159"/>
      <c r="F23" s="8"/>
    </row>
    <row r="24" spans="3:6" x14ac:dyDescent="0.25">
      <c r="C24" s="361"/>
      <c r="D24" s="158"/>
      <c r="E24" s="159"/>
      <c r="F24" s="8"/>
    </row>
    <row r="25" spans="3:6" x14ac:dyDescent="0.25">
      <c r="C25" s="361"/>
      <c r="D25" s="158"/>
      <c r="E25" s="159"/>
      <c r="F25" s="8"/>
    </row>
    <row r="26" spans="3:6" x14ac:dyDescent="0.25">
      <c r="C26" s="361"/>
      <c r="D26" s="158"/>
      <c r="E26" s="159"/>
      <c r="F26" s="8"/>
    </row>
    <row r="27" spans="3:6" x14ac:dyDescent="0.25">
      <c r="C27" s="361"/>
      <c r="D27" s="158"/>
      <c r="E27" s="159"/>
      <c r="F27" s="8"/>
    </row>
    <row r="28" spans="3:6" x14ac:dyDescent="0.25">
      <c r="C28" s="361"/>
      <c r="D28" s="158"/>
      <c r="E28" s="159"/>
      <c r="F28" s="8"/>
    </row>
    <row r="29" spans="3:6" x14ac:dyDescent="0.25">
      <c r="C29" s="361"/>
      <c r="D29" s="17"/>
      <c r="E29" s="160"/>
      <c r="F29" s="8"/>
    </row>
    <row r="30" spans="3:6" x14ac:dyDescent="0.25">
      <c r="C30" s="361"/>
      <c r="D30" s="19"/>
      <c r="E30" s="160"/>
      <c r="F30" s="8"/>
    </row>
    <row r="31" spans="3:6" x14ac:dyDescent="0.25">
      <c r="C31" s="361"/>
      <c r="D31" s="18"/>
      <c r="E31" s="155"/>
      <c r="F31" s="8"/>
    </row>
    <row r="32" spans="3:6" x14ac:dyDescent="0.25">
      <c r="C32" s="361"/>
      <c r="D32" s="18"/>
      <c r="E32" s="155"/>
      <c r="F32" s="8"/>
    </row>
    <row r="33" spans="3:6" x14ac:dyDescent="0.25">
      <c r="C33" s="21"/>
      <c r="D33" s="15"/>
      <c r="E33" s="161"/>
      <c r="F33" s="157"/>
    </row>
    <row r="34" spans="3:6" x14ac:dyDescent="0.25">
      <c r="C34" s="361" t="s">
        <v>85</v>
      </c>
      <c r="D34" s="158" t="s">
        <v>615</v>
      </c>
      <c r="E34" s="159">
        <v>42</v>
      </c>
      <c r="F34" s="8" t="s">
        <v>181</v>
      </c>
    </row>
    <row r="35" spans="3:6" x14ac:dyDescent="0.25">
      <c r="C35" s="361"/>
      <c r="D35" s="158" t="s">
        <v>630</v>
      </c>
      <c r="E35" s="159">
        <v>21</v>
      </c>
      <c r="F35" s="8" t="s">
        <v>181</v>
      </c>
    </row>
    <row r="36" spans="3:6" x14ac:dyDescent="0.25">
      <c r="C36" s="361"/>
      <c r="D36" s="158" t="s">
        <v>735</v>
      </c>
      <c r="E36" s="159">
        <v>21</v>
      </c>
      <c r="F36" s="8" t="s">
        <v>181</v>
      </c>
    </row>
    <row r="37" spans="3:6" x14ac:dyDescent="0.25">
      <c r="C37" s="361"/>
      <c r="D37" s="158"/>
      <c r="E37" s="159"/>
      <c r="F37" s="8"/>
    </row>
    <row r="38" spans="3:6" x14ac:dyDescent="0.25">
      <c r="C38" s="361"/>
      <c r="D38" s="158"/>
      <c r="E38" s="159"/>
      <c r="F38" s="8"/>
    </row>
    <row r="39" spans="3:6" x14ac:dyDescent="0.25">
      <c r="C39" s="361"/>
      <c r="D39" s="158"/>
      <c r="E39" s="159"/>
      <c r="F39" s="8"/>
    </row>
    <row r="40" spans="3:6" x14ac:dyDescent="0.25">
      <c r="C40" s="361"/>
      <c r="D40" s="158"/>
      <c r="E40" s="159"/>
      <c r="F40" s="8"/>
    </row>
    <row r="41" spans="3:6" x14ac:dyDescent="0.25">
      <c r="C41" s="361"/>
      <c r="D41" s="158"/>
      <c r="E41" s="159"/>
      <c r="F41" s="8"/>
    </row>
    <row r="42" spans="3:6" x14ac:dyDescent="0.25">
      <c r="C42" s="361"/>
      <c r="D42" s="158"/>
      <c r="E42" s="159"/>
      <c r="F42" s="8"/>
    </row>
    <row r="43" spans="3:6" x14ac:dyDescent="0.25">
      <c r="C43" s="361"/>
      <c r="D43" s="17"/>
      <c r="E43" s="160"/>
      <c r="F43" s="8"/>
    </row>
    <row r="44" spans="3:6" x14ac:dyDescent="0.25">
      <c r="C44" s="361"/>
      <c r="D44" s="19"/>
      <c r="E44" s="160"/>
      <c r="F44" s="8"/>
    </row>
    <row r="45" spans="3:6" x14ac:dyDescent="0.25">
      <c r="C45" s="361"/>
      <c r="D45" s="18"/>
      <c r="E45" s="155"/>
      <c r="F45" s="8"/>
    </row>
    <row r="46" spans="3:6" x14ac:dyDescent="0.25">
      <c r="C46" s="361"/>
      <c r="D46" s="18"/>
      <c r="E46" s="155"/>
      <c r="F46" s="8"/>
    </row>
  </sheetData>
  <mergeCells count="6">
    <mergeCell ref="C34:C46"/>
    <mergeCell ref="C2:F2"/>
    <mergeCell ref="D3:E3"/>
    <mergeCell ref="C5:C6"/>
    <mergeCell ref="C7:C17"/>
    <mergeCell ref="C19:C32"/>
  </mergeCells>
  <conditionalFormatting sqref="D30:D32 D16:D17 D44:D46">
    <cfRule type="colorScale" priority="1">
      <colorScale>
        <cfvo type="num" val="0"/>
        <cfvo type="num" val="0"/>
        <color rgb="FFFF0000"/>
        <color rgb="FF00B050"/>
      </colorScale>
    </cfRule>
  </conditionalFormatting>
  <dataValidations count="1">
    <dataValidation type="list" allowBlank="1" showInputMessage="1" showErrorMessage="1" sqref="F7:F17 F34:F46 F19:F32">
      <formula1>"Oui, Non"</formula1>
    </dataValidation>
  </dataValidations>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C000"/>
  </sheetPr>
  <dimension ref="D5:F17"/>
  <sheetViews>
    <sheetView topLeftCell="E1" workbookViewId="0">
      <selection activeCell="E15" sqref="E15"/>
    </sheetView>
  </sheetViews>
  <sheetFormatPr baseColWidth="10" defaultColWidth="8.85546875" defaultRowHeight="15" x14ac:dyDescent="0.25"/>
  <cols>
    <col min="1" max="3" width="8.85546875" style="1"/>
    <col min="4" max="4" width="32.140625" style="1" customWidth="1"/>
    <col min="5" max="5" width="50.140625" style="1" customWidth="1"/>
    <col min="6" max="16384" width="8.85546875" style="1"/>
  </cols>
  <sheetData>
    <row r="5" spans="4:6" x14ac:dyDescent="0.25">
      <c r="D5" s="3" t="s">
        <v>1</v>
      </c>
      <c r="E5" s="193" t="s">
        <v>149</v>
      </c>
      <c r="F5" s="194"/>
    </row>
    <row r="7" spans="4:6" x14ac:dyDescent="0.25">
      <c r="D7" s="378" t="s">
        <v>83</v>
      </c>
      <c r="E7" s="378"/>
    </row>
    <row r="8" spans="4:6" x14ac:dyDescent="0.25">
      <c r="D8" s="29" t="s">
        <v>109</v>
      </c>
      <c r="E8" s="29" t="s">
        <v>23</v>
      </c>
    </row>
    <row r="9" spans="4:6" ht="14.45" customHeight="1" x14ac:dyDescent="0.25">
      <c r="D9" s="82" t="s">
        <v>28</v>
      </c>
      <c r="E9" s="84" t="s">
        <v>27</v>
      </c>
    </row>
    <row r="10" spans="4:6" x14ac:dyDescent="0.25">
      <c r="D10" s="86"/>
      <c r="E10" s="84" t="s">
        <v>195</v>
      </c>
    </row>
    <row r="11" spans="4:6" ht="30" x14ac:dyDescent="0.25">
      <c r="D11" s="88" t="s">
        <v>111</v>
      </c>
      <c r="E11" s="90" t="s">
        <v>196</v>
      </c>
    </row>
    <row r="12" spans="4:6" x14ac:dyDescent="0.25">
      <c r="D12" s="91"/>
      <c r="E12" s="90" t="s">
        <v>29</v>
      </c>
    </row>
    <row r="13" spans="4:6" x14ac:dyDescent="0.25">
      <c r="D13" s="93"/>
      <c r="E13" s="90" t="s">
        <v>197</v>
      </c>
    </row>
    <row r="14" spans="4:6" ht="14.45" customHeight="1" x14ac:dyDescent="0.25">
      <c r="D14" s="95" t="s">
        <v>198</v>
      </c>
      <c r="E14" s="90" t="s">
        <v>199</v>
      </c>
    </row>
    <row r="15" spans="4:6" x14ac:dyDescent="0.25">
      <c r="D15" s="96"/>
      <c r="E15" s="90" t="s">
        <v>200</v>
      </c>
    </row>
    <row r="16" spans="4:6" x14ac:dyDescent="0.25">
      <c r="D16" s="271" t="s">
        <v>460</v>
      </c>
      <c r="E16" s="17" t="s">
        <v>818</v>
      </c>
    </row>
    <row r="17" spans="4:5" x14ac:dyDescent="0.25">
      <c r="D17" s="272"/>
      <c r="E17" s="17" t="s">
        <v>71</v>
      </c>
    </row>
  </sheetData>
  <mergeCells count="1">
    <mergeCell ref="D7:E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5"/>
  </sheetPr>
  <dimension ref="B1:J1048537"/>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221</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110</v>
      </c>
      <c r="D10" s="395"/>
      <c r="E10" s="395"/>
      <c r="F10" s="395"/>
      <c r="G10" s="114"/>
    </row>
    <row r="11" spans="2:10" s="112" customFormat="1" x14ac:dyDescent="0.25">
      <c r="B11" s="113" t="s">
        <v>91</v>
      </c>
      <c r="C11" s="395" t="s">
        <v>226</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43192</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23.25" customHeight="1" x14ac:dyDescent="0.25">
      <c r="B18" s="119" t="s">
        <v>110</v>
      </c>
      <c r="C18" s="23">
        <v>21</v>
      </c>
      <c r="D18" s="23">
        <v>3</v>
      </c>
      <c r="E18" s="23">
        <v>3</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36" customHeight="1" x14ac:dyDescent="0.25">
      <c r="B21" s="382" t="s">
        <v>229</v>
      </c>
      <c r="C21" s="383"/>
      <c r="D21" s="383"/>
      <c r="E21" s="383"/>
      <c r="F21" s="384"/>
      <c r="G21" s="122"/>
    </row>
    <row r="22" spans="2:7" s="112" customFormat="1" x14ac:dyDescent="0.25">
      <c r="B22" s="379" t="s">
        <v>101</v>
      </c>
      <c r="C22" s="380"/>
      <c r="D22" s="380"/>
      <c r="E22" s="380"/>
      <c r="F22" s="381"/>
      <c r="G22" s="121"/>
    </row>
    <row r="23" spans="2:7" s="112" customFormat="1" ht="100.5" customHeight="1" x14ac:dyDescent="0.25">
      <c r="B23" s="382" t="s">
        <v>230</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6" customHeight="1" x14ac:dyDescent="0.25">
      <c r="B26" s="382" t="s">
        <v>231</v>
      </c>
      <c r="C26" s="393"/>
      <c r="D26" s="393"/>
      <c r="E26" s="393"/>
      <c r="F26" s="39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9</v>
      </c>
      <c r="C29" s="390"/>
      <c r="D29" s="390"/>
      <c r="E29" s="390"/>
      <c r="F29" s="391"/>
      <c r="G29" s="124"/>
    </row>
    <row r="30" spans="2:7" s="112" customFormat="1" x14ac:dyDescent="0.25">
      <c r="B30" s="389" t="s">
        <v>145</v>
      </c>
      <c r="C30" s="390"/>
      <c r="D30" s="390"/>
      <c r="E30" s="390"/>
      <c r="F30" s="391"/>
      <c r="G30" s="124"/>
    </row>
    <row r="31" spans="2:7" s="112" customFormat="1" x14ac:dyDescent="0.25">
      <c r="B31" s="389" t="s">
        <v>13</v>
      </c>
      <c r="C31" s="390"/>
      <c r="D31" s="390"/>
      <c r="E31" s="390"/>
      <c r="F31" s="391"/>
      <c r="G31" s="124"/>
    </row>
    <row r="32" spans="2:7" s="112" customFormat="1" x14ac:dyDescent="0.25">
      <c r="B32" s="389" t="s">
        <v>14</v>
      </c>
      <c r="C32" s="390"/>
      <c r="D32" s="390"/>
      <c r="E32" s="390"/>
      <c r="F32" s="391"/>
      <c r="G32" s="124"/>
    </row>
    <row r="33" spans="2:7" s="112" customFormat="1" x14ac:dyDescent="0.25">
      <c r="B33" s="389" t="s">
        <v>16</v>
      </c>
      <c r="C33" s="390"/>
      <c r="D33" s="390"/>
      <c r="E33" s="390"/>
      <c r="F33" s="391"/>
      <c r="G33" s="124"/>
    </row>
    <row r="34" spans="2:7" s="112" customFormat="1" x14ac:dyDescent="0.25"/>
    <row r="35" spans="2:7" s="112" customFormat="1" x14ac:dyDescent="0.25">
      <c r="B35" s="379" t="s">
        <v>105</v>
      </c>
      <c r="C35" s="380"/>
      <c r="D35" s="380"/>
      <c r="E35" s="380"/>
      <c r="F35" s="381"/>
      <c r="G35" s="121"/>
    </row>
    <row r="36" spans="2:7" s="112" customFormat="1" ht="371.25" customHeight="1" x14ac:dyDescent="0.25">
      <c r="B36" s="382" t="s">
        <v>232</v>
      </c>
      <c r="C36" s="383"/>
      <c r="D36" s="383"/>
      <c r="E36" s="383"/>
      <c r="F36" s="384"/>
      <c r="G36" s="123"/>
    </row>
    <row r="37" spans="2:7" s="112" customFormat="1" ht="16.5" customHeight="1" x14ac:dyDescent="0.25">
      <c r="B37" s="125"/>
      <c r="C37" s="126"/>
      <c r="D37" s="126"/>
      <c r="E37" s="126"/>
      <c r="F37" s="126"/>
      <c r="G37" s="126"/>
    </row>
    <row r="38" spans="2:7" s="112" customFormat="1" x14ac:dyDescent="0.25">
      <c r="B38" s="379" t="s">
        <v>233</v>
      </c>
      <c r="C38" s="380"/>
      <c r="D38" s="380"/>
      <c r="E38" s="380"/>
      <c r="F38" s="381"/>
      <c r="G38" s="121"/>
    </row>
    <row r="39" spans="2:7" s="112" customFormat="1" x14ac:dyDescent="0.25">
      <c r="B39" s="127" t="s">
        <v>234</v>
      </c>
      <c r="C39" s="388"/>
      <c r="D39" s="388"/>
      <c r="E39" s="388"/>
      <c r="F39" s="388"/>
      <c r="G39" s="123"/>
    </row>
    <row r="40" spans="2:7" s="112" customFormat="1" x14ac:dyDescent="0.25">
      <c r="B40" s="127" t="s">
        <v>235</v>
      </c>
      <c r="C40" s="388"/>
      <c r="D40" s="388"/>
      <c r="E40" s="388"/>
      <c r="F40" s="388"/>
      <c r="G40" s="123"/>
    </row>
    <row r="41" spans="2:7" s="112" customFormat="1" x14ac:dyDescent="0.25">
      <c r="B41" s="127" t="s">
        <v>236</v>
      </c>
      <c r="C41" s="392"/>
      <c r="D41" s="383"/>
      <c r="E41" s="383"/>
      <c r="F41" s="384"/>
      <c r="G41" s="123"/>
    </row>
    <row r="42" spans="2:7" s="112" customFormat="1" x14ac:dyDescent="0.25">
      <c r="B42" s="127" t="s">
        <v>237</v>
      </c>
      <c r="C42" s="388"/>
      <c r="D42" s="388"/>
      <c r="E42" s="388"/>
      <c r="F42" s="388"/>
      <c r="G42" s="123"/>
    </row>
    <row r="43" spans="2:7" s="112" customFormat="1" x14ac:dyDescent="0.25">
      <c r="B43" s="127" t="s">
        <v>238</v>
      </c>
      <c r="C43" s="388"/>
      <c r="D43" s="388"/>
      <c r="E43" s="388"/>
      <c r="F43" s="388"/>
      <c r="G43" s="123"/>
    </row>
    <row r="44" spans="2:7" s="112" customFormat="1" x14ac:dyDescent="0.25"/>
    <row r="45" spans="2:7" s="112" customFormat="1" x14ac:dyDescent="0.25">
      <c r="B45" s="379" t="s">
        <v>106</v>
      </c>
      <c r="C45" s="380"/>
      <c r="D45" s="380"/>
      <c r="E45" s="380"/>
      <c r="F45" s="381"/>
      <c r="G45" s="121"/>
    </row>
    <row r="46" spans="2:7" s="112" customFormat="1" ht="51" customHeight="1" x14ac:dyDescent="0.25">
      <c r="B46" s="382" t="s">
        <v>239</v>
      </c>
      <c r="C46" s="383"/>
      <c r="D46" s="383"/>
      <c r="E46" s="383"/>
      <c r="F46" s="384"/>
      <c r="G46" s="126"/>
    </row>
    <row r="47" spans="2:7" s="112" customFormat="1" x14ac:dyDescent="0.25"/>
    <row r="48" spans="2:7" s="112" customFormat="1" x14ac:dyDescent="0.25">
      <c r="B48" s="379" t="s">
        <v>107</v>
      </c>
      <c r="C48" s="380"/>
      <c r="D48" s="380"/>
      <c r="E48" s="380"/>
      <c r="F48" s="381"/>
      <c r="G48" s="121"/>
    </row>
    <row r="49" spans="2:7" s="112" customFormat="1" ht="92.25" customHeight="1" x14ac:dyDescent="0.25">
      <c r="B49" s="382" t="s">
        <v>244</v>
      </c>
      <c r="C49" s="383"/>
      <c r="D49" s="383"/>
      <c r="E49" s="383"/>
      <c r="F49" s="384"/>
      <c r="G49" s="126"/>
    </row>
    <row r="50" spans="2:7" s="112" customFormat="1" x14ac:dyDescent="0.25"/>
    <row r="51" spans="2:7" s="112" customFormat="1" x14ac:dyDescent="0.25">
      <c r="B51" s="379" t="s">
        <v>108</v>
      </c>
      <c r="C51" s="380"/>
      <c r="D51" s="380"/>
      <c r="E51" s="380"/>
      <c r="F51" s="381"/>
      <c r="G51" s="121"/>
    </row>
    <row r="52" spans="2:7" ht="80.45" customHeight="1" x14ac:dyDescent="0.25">
      <c r="B52" s="385"/>
      <c r="C52" s="386"/>
      <c r="D52" s="386"/>
      <c r="E52" s="386"/>
      <c r="F52" s="387"/>
      <c r="G52" s="126"/>
    </row>
    <row r="1048537" spans="8:9" x14ac:dyDescent="0.25">
      <c r="H1048537" s="121"/>
      <c r="I1048537" s="121"/>
    </row>
  </sheetData>
  <mergeCells count="38">
    <mergeCell ref="C10:F10"/>
    <mergeCell ref="B2:I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C43:F43"/>
    <mergeCell ref="B35:F35"/>
    <mergeCell ref="B36:F36"/>
    <mergeCell ref="B28:F28"/>
    <mergeCell ref="B29:F29"/>
    <mergeCell ref="B30:F30"/>
    <mergeCell ref="B31:F31"/>
    <mergeCell ref="B32:F32"/>
    <mergeCell ref="B33:F33"/>
    <mergeCell ref="B38:F38"/>
    <mergeCell ref="C39:F39"/>
    <mergeCell ref="C40:F40"/>
    <mergeCell ref="C41:F41"/>
    <mergeCell ref="C42:F42"/>
    <mergeCell ref="B48:F48"/>
    <mergeCell ref="B49:F49"/>
    <mergeCell ref="B51:F51"/>
    <mergeCell ref="B52:F52"/>
    <mergeCell ref="B45:F45"/>
    <mergeCell ref="B46:F46"/>
  </mergeCells>
  <dataValidations disablePrompts="1" count="1">
    <dataValidation type="list" allowBlank="1" showInputMessage="1" showErrorMessage="1" sqref="C6">
      <formula1>"Mise à jour à partir du plan d'études, Nouvelle création"</formula1>
    </dataValidation>
  </dataValidations>
  <hyperlinks>
    <hyperlink ref="B1" r:id="rId1" location="'Schéma d''enseignement'!A1"/>
  </hyperlinks>
  <pageMargins left="0.7" right="0.7" top="0.74545454545454548" bottom="0.75" header="0.3" footer="0.3"/>
  <pageSetup paperSize="9" scale="88" orientation="portrait" horizontalDpi="300" verticalDpi="300" r:id="rId2"/>
  <rowBreaks count="1" manualBreakCount="1">
    <brk id="24"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5"/>
  </sheetPr>
  <dimension ref="B1:J1048535"/>
  <sheetViews>
    <sheetView zoomScale="85" zoomScaleNormal="85"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245</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110</v>
      </c>
      <c r="D10" s="395"/>
      <c r="E10" s="395"/>
      <c r="F10" s="395"/>
      <c r="G10" s="114"/>
    </row>
    <row r="11" spans="2:10" s="112" customFormat="1" x14ac:dyDescent="0.25">
      <c r="B11" s="113" t="s">
        <v>91</v>
      </c>
      <c r="C11" s="395" t="s">
        <v>226</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43192</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23.25" customHeight="1" x14ac:dyDescent="0.25">
      <c r="B18" s="119" t="s">
        <v>246</v>
      </c>
      <c r="C18" s="23">
        <v>42</v>
      </c>
      <c r="D18" s="23">
        <v>3</v>
      </c>
      <c r="E18" s="23">
        <v>3</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36.75" customHeight="1" x14ac:dyDescent="0.25">
      <c r="B21" s="382" t="s">
        <v>247</v>
      </c>
      <c r="C21" s="383"/>
      <c r="D21" s="383"/>
      <c r="E21" s="383"/>
      <c r="F21" s="384"/>
      <c r="G21" s="122"/>
    </row>
    <row r="22" spans="2:7" s="112" customFormat="1" x14ac:dyDescent="0.25">
      <c r="B22" s="379" t="s">
        <v>101</v>
      </c>
      <c r="C22" s="380"/>
      <c r="D22" s="380"/>
      <c r="E22" s="380"/>
      <c r="F22" s="381"/>
      <c r="G22" s="121"/>
    </row>
    <row r="23" spans="2:7" s="112" customFormat="1" ht="99" customHeight="1" x14ac:dyDescent="0.25">
      <c r="B23" s="382" t="s">
        <v>230</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82" t="s">
        <v>231</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9</v>
      </c>
      <c r="C29" s="390"/>
      <c r="D29" s="390"/>
      <c r="E29" s="390"/>
      <c r="F29" s="391"/>
      <c r="G29" s="124"/>
    </row>
    <row r="30" spans="2:7" s="112" customFormat="1" x14ac:dyDescent="0.25">
      <c r="B30" s="389" t="s">
        <v>12</v>
      </c>
      <c r="C30" s="390"/>
      <c r="D30" s="390"/>
      <c r="E30" s="390"/>
      <c r="F30" s="391"/>
      <c r="G30" s="124"/>
    </row>
    <row r="31" spans="2:7" s="112" customFormat="1" x14ac:dyDescent="0.25">
      <c r="B31" s="389" t="s">
        <v>13</v>
      </c>
      <c r="C31" s="390"/>
      <c r="D31" s="390"/>
      <c r="E31" s="390"/>
      <c r="F31" s="391"/>
      <c r="G31" s="124"/>
    </row>
    <row r="32" spans="2:7" s="112" customFormat="1" x14ac:dyDescent="0.25">
      <c r="B32" s="389" t="s">
        <v>14</v>
      </c>
      <c r="C32" s="390"/>
      <c r="D32" s="390"/>
      <c r="E32" s="390"/>
      <c r="F32" s="391"/>
      <c r="G32" s="124"/>
    </row>
    <row r="33" spans="2:7" s="112" customFormat="1" x14ac:dyDescent="0.25">
      <c r="B33" s="389" t="s">
        <v>16</v>
      </c>
      <c r="C33" s="390"/>
      <c r="D33" s="390"/>
      <c r="E33" s="390"/>
      <c r="F33" s="391"/>
      <c r="G33" s="124"/>
    </row>
    <row r="34" spans="2:7" s="112" customFormat="1" x14ac:dyDescent="0.25"/>
    <row r="35" spans="2:7" s="112" customFormat="1" x14ac:dyDescent="0.25">
      <c r="B35" s="379" t="s">
        <v>105</v>
      </c>
      <c r="C35" s="380"/>
      <c r="D35" s="380"/>
      <c r="E35" s="380"/>
      <c r="F35" s="381"/>
      <c r="G35" s="121"/>
    </row>
    <row r="36" spans="2:7" s="112" customFormat="1" ht="213" customHeight="1" x14ac:dyDescent="0.25">
      <c r="B36" s="382" t="s">
        <v>248</v>
      </c>
      <c r="C36" s="383"/>
      <c r="D36" s="383"/>
      <c r="E36" s="383"/>
      <c r="F36" s="384"/>
      <c r="G36" s="123"/>
    </row>
    <row r="37" spans="2:7" s="112" customFormat="1" ht="16.5" customHeight="1" x14ac:dyDescent="0.25">
      <c r="B37" s="125"/>
      <c r="C37" s="126"/>
      <c r="D37" s="126"/>
      <c r="E37" s="126"/>
      <c r="F37" s="126"/>
      <c r="G37" s="126"/>
    </row>
    <row r="38" spans="2:7" s="112" customFormat="1" x14ac:dyDescent="0.25">
      <c r="B38" s="379" t="s">
        <v>233</v>
      </c>
      <c r="C38" s="380"/>
      <c r="D38" s="380"/>
      <c r="E38" s="380"/>
      <c r="F38" s="381"/>
      <c r="G38" s="121"/>
    </row>
    <row r="39" spans="2:7" s="112" customFormat="1" x14ac:dyDescent="0.25">
      <c r="B39" s="127" t="s">
        <v>249</v>
      </c>
      <c r="C39" s="388"/>
      <c r="D39" s="388"/>
      <c r="E39" s="388"/>
      <c r="F39" s="388"/>
      <c r="G39" s="123"/>
    </row>
    <row r="40" spans="2:7" s="112" customFormat="1" x14ac:dyDescent="0.25">
      <c r="B40" s="127" t="s">
        <v>250</v>
      </c>
      <c r="C40" s="388"/>
      <c r="D40" s="388"/>
      <c r="E40" s="388"/>
      <c r="F40" s="388"/>
      <c r="G40" s="123"/>
    </row>
    <row r="41" spans="2:7" s="112" customFormat="1" x14ac:dyDescent="0.25">
      <c r="B41" s="127" t="s">
        <v>251</v>
      </c>
      <c r="C41" s="392"/>
      <c r="D41" s="383"/>
      <c r="E41" s="383"/>
      <c r="F41" s="384"/>
      <c r="G41" s="123"/>
    </row>
    <row r="42" spans="2:7" s="112" customFormat="1" x14ac:dyDescent="0.25">
      <c r="B42" s="127"/>
      <c r="C42" s="388"/>
      <c r="D42" s="388"/>
      <c r="E42" s="388"/>
      <c r="F42" s="388"/>
      <c r="G42" s="123"/>
    </row>
    <row r="43" spans="2:7" s="112" customFormat="1" x14ac:dyDescent="0.25">
      <c r="B43" s="127"/>
      <c r="C43" s="388"/>
      <c r="D43" s="388"/>
      <c r="E43" s="388"/>
      <c r="F43" s="388"/>
      <c r="G43" s="123"/>
    </row>
    <row r="44" spans="2:7" s="112" customFormat="1" x14ac:dyDescent="0.25"/>
    <row r="45" spans="2:7" s="112" customFormat="1" x14ac:dyDescent="0.25">
      <c r="B45" s="379" t="s">
        <v>106</v>
      </c>
      <c r="C45" s="380"/>
      <c r="D45" s="380"/>
      <c r="E45" s="380"/>
      <c r="F45" s="381"/>
      <c r="G45" s="121"/>
    </row>
    <row r="46" spans="2:7" s="112" customFormat="1" ht="51" customHeight="1" x14ac:dyDescent="0.25">
      <c r="B46" s="382" t="s">
        <v>239</v>
      </c>
      <c r="C46" s="383"/>
      <c r="D46" s="383"/>
      <c r="E46" s="383"/>
      <c r="F46" s="384"/>
      <c r="G46" s="126"/>
    </row>
    <row r="47" spans="2:7" s="112" customFormat="1" x14ac:dyDescent="0.25"/>
    <row r="48" spans="2:7" s="112" customFormat="1" x14ac:dyDescent="0.25">
      <c r="B48" s="379" t="s">
        <v>107</v>
      </c>
      <c r="C48" s="380"/>
      <c r="D48" s="380"/>
      <c r="E48" s="380"/>
      <c r="F48" s="381"/>
      <c r="G48" s="121"/>
    </row>
    <row r="49" spans="2:7" s="112" customFormat="1" ht="102.75" customHeight="1" x14ac:dyDescent="0.25">
      <c r="B49" s="382" t="s">
        <v>252</v>
      </c>
      <c r="C49" s="383"/>
      <c r="D49" s="383"/>
      <c r="E49" s="383"/>
      <c r="F49" s="384"/>
      <c r="G49" s="126"/>
    </row>
    <row r="50" spans="2:7" s="112" customFormat="1" x14ac:dyDescent="0.25"/>
    <row r="1048535" spans="8:9" x14ac:dyDescent="0.25">
      <c r="H1048535" s="121"/>
      <c r="I1048535" s="121"/>
    </row>
  </sheetData>
  <mergeCells count="36">
    <mergeCell ref="C10:F10"/>
    <mergeCell ref="B2:I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38:F38"/>
    <mergeCell ref="C39:F39"/>
    <mergeCell ref="C40:F40"/>
    <mergeCell ref="C41:F41"/>
    <mergeCell ref="C42:F42"/>
    <mergeCell ref="B35:F35"/>
    <mergeCell ref="B36:F36"/>
    <mergeCell ref="B28:F28"/>
    <mergeCell ref="B29:F29"/>
    <mergeCell ref="B30:F30"/>
    <mergeCell ref="B31:F31"/>
    <mergeCell ref="B32:F32"/>
    <mergeCell ref="B33:F33"/>
    <mergeCell ref="B48:F48"/>
    <mergeCell ref="B49:F49"/>
    <mergeCell ref="B45:F45"/>
    <mergeCell ref="B46:F46"/>
    <mergeCell ref="C43:F43"/>
  </mergeCells>
  <dataValidations count="1">
    <dataValidation type="list" allowBlank="1" showInputMessage="1" showErrorMessage="1" sqref="C6">
      <formula1>"Mise à jour à partir du plan d'études, Nouvelle création"</formula1>
    </dataValidation>
  </dataValidations>
  <hyperlinks>
    <hyperlink ref="B1" r:id="rId1" location="'Schéma d''enseignement'!A1"/>
  </hyperlinks>
  <pageMargins left="0.7" right="0.7" top="0.74545454545454548" bottom="0.75" header="0.3" footer="0.3"/>
  <pageSetup paperSize="9" scale="88" orientation="portrait" horizontalDpi="300" verticalDpi="300" r:id="rId2"/>
  <rowBreaks count="1" manualBreakCount="1">
    <brk id="24"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5"/>
  </sheetPr>
  <dimension ref="B1:J1048545"/>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253</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869</v>
      </c>
      <c r="D10" s="395"/>
      <c r="E10" s="395"/>
      <c r="F10" s="395"/>
      <c r="G10" s="114"/>
    </row>
    <row r="11" spans="2:10" s="112" customFormat="1" x14ac:dyDescent="0.25">
      <c r="B11" s="113" t="s">
        <v>91</v>
      </c>
      <c r="C11" s="395" t="s">
        <v>226</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412">
        <v>43438</v>
      </c>
      <c r="C15" s="413"/>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23.25" customHeight="1" x14ac:dyDescent="0.25">
      <c r="B18" s="119" t="s">
        <v>196</v>
      </c>
      <c r="C18" s="23">
        <v>42</v>
      </c>
      <c r="D18" s="23">
        <v>4</v>
      </c>
      <c r="E18" s="23">
        <v>4</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66.75" customHeight="1" x14ac:dyDescent="0.25">
      <c r="B21" s="382" t="s">
        <v>254</v>
      </c>
      <c r="C21" s="383"/>
      <c r="D21" s="383"/>
      <c r="E21" s="383"/>
      <c r="F21" s="384"/>
      <c r="G21" s="122"/>
    </row>
    <row r="22" spans="2:7" s="112" customFormat="1" x14ac:dyDescent="0.25">
      <c r="B22" s="379" t="s">
        <v>101</v>
      </c>
      <c r="C22" s="380"/>
      <c r="D22" s="380"/>
      <c r="E22" s="380"/>
      <c r="F22" s="381"/>
      <c r="G22" s="121"/>
    </row>
    <row r="23" spans="2:7" s="112" customFormat="1" ht="107.25" customHeight="1" x14ac:dyDescent="0.25">
      <c r="B23" s="382" t="s">
        <v>255</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92" t="s">
        <v>256</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10</v>
      </c>
      <c r="C29" s="390"/>
      <c r="D29" s="390"/>
      <c r="E29" s="390"/>
      <c r="F29" s="391"/>
      <c r="G29" s="122"/>
    </row>
    <row r="30" spans="2:7" s="112" customFormat="1" x14ac:dyDescent="0.25">
      <c r="B30" s="389" t="s">
        <v>145</v>
      </c>
      <c r="C30" s="390"/>
      <c r="D30" s="390"/>
      <c r="E30" s="390"/>
      <c r="F30" s="391"/>
      <c r="G30" s="124"/>
    </row>
    <row r="31" spans="2:7" s="112" customFormat="1" x14ac:dyDescent="0.25">
      <c r="B31" s="389" t="s">
        <v>11</v>
      </c>
      <c r="C31" s="390"/>
      <c r="D31" s="390"/>
      <c r="E31" s="390"/>
      <c r="F31" s="391"/>
      <c r="G31" s="124"/>
    </row>
    <row r="32" spans="2:7" s="112" customFormat="1" x14ac:dyDescent="0.25">
      <c r="B32" s="389" t="s">
        <v>12</v>
      </c>
      <c r="C32" s="390"/>
      <c r="D32" s="390"/>
      <c r="E32" s="390"/>
      <c r="F32" s="391"/>
      <c r="G32" s="124"/>
    </row>
    <row r="33" spans="2:7" s="112" customFormat="1" x14ac:dyDescent="0.25">
      <c r="B33" s="389" t="s">
        <v>14</v>
      </c>
      <c r="C33" s="390"/>
      <c r="D33" s="390"/>
      <c r="E33" s="390"/>
      <c r="F33" s="391"/>
      <c r="G33" s="124"/>
    </row>
    <row r="34" spans="2:7" s="112" customFormat="1" x14ac:dyDescent="0.25">
      <c r="B34" s="389" t="s">
        <v>15</v>
      </c>
      <c r="C34" s="390"/>
      <c r="D34" s="390"/>
      <c r="E34" s="390"/>
      <c r="F34" s="391"/>
      <c r="G34" s="124"/>
    </row>
    <row r="35" spans="2:7" s="112" customFormat="1" x14ac:dyDescent="0.25">
      <c r="B35" s="389" t="s">
        <v>18</v>
      </c>
      <c r="C35" s="390"/>
      <c r="D35" s="390"/>
      <c r="E35" s="390"/>
      <c r="F35" s="391"/>
      <c r="G35" s="124"/>
    </row>
    <row r="36" spans="2:7" s="112" customFormat="1" x14ac:dyDescent="0.25">
      <c r="B36" s="389" t="s">
        <v>19</v>
      </c>
      <c r="C36" s="390"/>
      <c r="D36" s="390"/>
      <c r="E36" s="390"/>
      <c r="F36" s="391"/>
      <c r="G36" s="124"/>
    </row>
    <row r="37" spans="2:7" s="112" customFormat="1" x14ac:dyDescent="0.25">
      <c r="B37" s="409" t="s">
        <v>147</v>
      </c>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138" customHeight="1" x14ac:dyDescent="0.25">
      <c r="B40" s="382" t="s">
        <v>413</v>
      </c>
      <c r="C40" s="383"/>
      <c r="D40" s="383"/>
      <c r="E40" s="383"/>
      <c r="F40" s="384"/>
      <c r="G40" s="122"/>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32"/>
    </row>
    <row r="43" spans="2:7" s="112" customFormat="1" x14ac:dyDescent="0.25">
      <c r="B43" s="127" t="s">
        <v>234</v>
      </c>
      <c r="C43" s="388" t="s">
        <v>257</v>
      </c>
      <c r="D43" s="388"/>
      <c r="E43" s="388"/>
      <c r="F43" s="388"/>
      <c r="G43" s="123"/>
    </row>
    <row r="44" spans="2:7" s="112" customFormat="1" x14ac:dyDescent="0.25">
      <c r="B44" s="127" t="s">
        <v>237</v>
      </c>
      <c r="C44" s="388" t="s">
        <v>258</v>
      </c>
      <c r="D44" s="388"/>
      <c r="E44" s="388"/>
      <c r="F44" s="388"/>
      <c r="G44" s="123"/>
    </row>
    <row r="45" spans="2:7" s="112" customFormat="1" x14ac:dyDescent="0.25">
      <c r="B45" s="127" t="s">
        <v>235</v>
      </c>
      <c r="C45" s="388"/>
      <c r="D45" s="388"/>
      <c r="E45" s="388"/>
      <c r="F45" s="388"/>
      <c r="G45" s="123"/>
    </row>
    <row r="46" spans="2:7" s="112" customFormat="1" x14ac:dyDescent="0.25">
      <c r="B46" s="127" t="s">
        <v>236</v>
      </c>
      <c r="C46" s="392" t="s">
        <v>259</v>
      </c>
      <c r="D46" s="383"/>
      <c r="E46" s="383"/>
      <c r="F46" s="384"/>
      <c r="G46" s="123"/>
    </row>
    <row r="47" spans="2:7" s="112" customFormat="1" x14ac:dyDescent="0.25">
      <c r="B47" s="127" t="s">
        <v>238</v>
      </c>
      <c r="C47" s="388" t="s">
        <v>260</v>
      </c>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82" t="s">
        <v>415</v>
      </c>
      <c r="C50" s="383"/>
      <c r="D50" s="383"/>
      <c r="E50" s="383"/>
      <c r="F50" s="384"/>
      <c r="G50" s="126"/>
    </row>
    <row r="51" spans="2:7" s="112" customFormat="1" x14ac:dyDescent="0.25"/>
    <row r="52" spans="2:7" s="112" customFormat="1" x14ac:dyDescent="0.25">
      <c r="B52" s="379" t="s">
        <v>240</v>
      </c>
      <c r="C52" s="380"/>
      <c r="D52" s="380"/>
      <c r="E52" s="380"/>
      <c r="F52" s="381"/>
      <c r="G52" s="121"/>
    </row>
    <row r="53" spans="2:7" s="112" customFormat="1" x14ac:dyDescent="0.25">
      <c r="B53" s="128" t="s">
        <v>241</v>
      </c>
      <c r="C53" s="128" t="s">
        <v>242</v>
      </c>
      <c r="D53" s="379" t="s">
        <v>243</v>
      </c>
      <c r="E53" s="380"/>
      <c r="F53" s="381"/>
      <c r="G53" s="121"/>
    </row>
    <row r="54" spans="2:7" s="112" customFormat="1" x14ac:dyDescent="0.25">
      <c r="B54" s="127" t="s">
        <v>261</v>
      </c>
      <c r="C54" s="129"/>
      <c r="D54" s="405"/>
      <c r="E54" s="406"/>
      <c r="F54" s="407"/>
      <c r="G54" s="130"/>
    </row>
    <row r="55" spans="2:7" s="112" customFormat="1" x14ac:dyDescent="0.25">
      <c r="B55" s="129"/>
      <c r="C55" s="129"/>
      <c r="D55" s="405"/>
      <c r="E55" s="406"/>
      <c r="F55" s="407"/>
      <c r="G55" s="130"/>
    </row>
    <row r="56" spans="2:7" s="112" customFormat="1" x14ac:dyDescent="0.25">
      <c r="B56" s="131"/>
      <c r="C56" s="131"/>
      <c r="D56" s="405"/>
      <c r="E56" s="406"/>
      <c r="F56" s="407"/>
      <c r="G56" s="130"/>
    </row>
    <row r="57" spans="2:7" s="112" customFormat="1" x14ac:dyDescent="0.25"/>
    <row r="58" spans="2:7" s="112" customFormat="1" x14ac:dyDescent="0.25">
      <c r="B58" s="379" t="s">
        <v>107</v>
      </c>
      <c r="C58" s="380"/>
      <c r="D58" s="380"/>
      <c r="E58" s="380"/>
      <c r="F58" s="381"/>
      <c r="G58" s="121"/>
    </row>
    <row r="59" spans="2:7" s="112" customFormat="1" ht="112.7" customHeight="1" x14ac:dyDescent="0.25">
      <c r="B59" s="408" t="s">
        <v>414</v>
      </c>
      <c r="C59" s="383"/>
      <c r="D59" s="383"/>
      <c r="E59" s="383"/>
      <c r="F59" s="384"/>
      <c r="G59" s="133"/>
    </row>
    <row r="60" spans="2:7" s="112" customFormat="1" x14ac:dyDescent="0.25"/>
    <row r="1048545" spans="8:9" x14ac:dyDescent="0.25">
      <c r="H1048545" s="121"/>
      <c r="I1048545" s="121"/>
    </row>
  </sheetData>
  <mergeCells count="45">
    <mergeCell ref="C10:F10"/>
    <mergeCell ref="B2:I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40:F40"/>
    <mergeCell ref="B28:F28"/>
    <mergeCell ref="B29:F29"/>
    <mergeCell ref="B30:F30"/>
    <mergeCell ref="B31:F31"/>
    <mergeCell ref="B32:F32"/>
    <mergeCell ref="B33:F33"/>
    <mergeCell ref="B34:F34"/>
    <mergeCell ref="B35:F35"/>
    <mergeCell ref="B36:F36"/>
    <mergeCell ref="B37:F37"/>
    <mergeCell ref="B39:F39"/>
    <mergeCell ref="D56:F56"/>
    <mergeCell ref="B58:F58"/>
    <mergeCell ref="B59:F59"/>
    <mergeCell ref="D55:F55"/>
    <mergeCell ref="B42:F42"/>
    <mergeCell ref="C43:F43"/>
    <mergeCell ref="C44:F44"/>
    <mergeCell ref="C45:F45"/>
    <mergeCell ref="C46:F46"/>
    <mergeCell ref="C47:F47"/>
    <mergeCell ref="B49:F49"/>
    <mergeCell ref="B50:F50"/>
    <mergeCell ref="B52:F52"/>
    <mergeCell ref="D53:F53"/>
    <mergeCell ref="D54:F54"/>
  </mergeCells>
  <dataValidations count="2">
    <dataValidation type="list" allowBlank="1" showInputMessage="1" showErrorMessage="1" sqref="C6">
      <formula1>"Mise à jour à partir du plan d'études, Nouvelle création"</formula1>
    </dataValidation>
    <dataValidation type="list" allowBlank="1" showInputMessage="1" showErrorMessage="1" sqref="C54:C56">
      <formula1>"Académique, Professionnel, Associatif, Autre"</formula1>
    </dataValidation>
  </dataValidations>
  <hyperlinks>
    <hyperlink ref="B1" r:id="rId1" location="'Schéma d''enseignement'!A1"/>
  </hyperlinks>
  <pageMargins left="0.7" right="0.7" top="0.74545454545454548" bottom="0.75" header="0.3" footer="0.3"/>
  <pageSetup paperSize="9" scale="88" orientation="portrait" horizontalDpi="300" verticalDpi="300" r:id="rId2"/>
  <rowBreaks count="1" manualBreakCount="1">
    <brk id="2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5"/>
  </sheetPr>
  <dimension ref="B1:J1048535"/>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262</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29</v>
      </c>
      <c r="D10" s="395"/>
      <c r="E10" s="395"/>
      <c r="F10" s="395"/>
      <c r="G10" s="114"/>
    </row>
    <row r="11" spans="2:10" s="112" customFormat="1" x14ac:dyDescent="0.25">
      <c r="B11" s="113" t="s">
        <v>91</v>
      </c>
      <c r="C11" s="395" t="s">
        <v>226</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43192</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23.25" customHeight="1" x14ac:dyDescent="0.25">
      <c r="B18" s="119" t="s">
        <v>29</v>
      </c>
      <c r="C18" s="23">
        <v>21</v>
      </c>
      <c r="D18" s="23">
        <v>3</v>
      </c>
      <c r="E18" s="23">
        <v>3</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38.25" customHeight="1" x14ac:dyDescent="0.25">
      <c r="B21" s="382" t="s">
        <v>263</v>
      </c>
      <c r="C21" s="383"/>
      <c r="D21" s="383"/>
      <c r="E21" s="383"/>
      <c r="F21" s="384"/>
      <c r="G21" s="122"/>
    </row>
    <row r="22" spans="2:7" s="112" customFormat="1" x14ac:dyDescent="0.25">
      <c r="B22" s="379" t="s">
        <v>101</v>
      </c>
      <c r="C22" s="380"/>
      <c r="D22" s="380"/>
      <c r="E22" s="380"/>
      <c r="F22" s="381"/>
      <c r="G22" s="121"/>
    </row>
    <row r="23" spans="2:7" s="112" customFormat="1" ht="102" customHeight="1" x14ac:dyDescent="0.25">
      <c r="B23" s="382" t="s">
        <v>264</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92" t="s">
        <v>265</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10</v>
      </c>
      <c r="C29" s="390"/>
      <c r="D29" s="390"/>
      <c r="E29" s="390"/>
      <c r="F29" s="391"/>
      <c r="G29" s="124"/>
    </row>
    <row r="30" spans="2:7" s="112" customFormat="1" x14ac:dyDescent="0.25">
      <c r="B30" s="389" t="s">
        <v>12</v>
      </c>
      <c r="C30" s="390"/>
      <c r="D30" s="390"/>
      <c r="E30" s="390"/>
      <c r="F30" s="391"/>
      <c r="G30" s="124"/>
    </row>
    <row r="31" spans="2:7" s="112" customFormat="1" x14ac:dyDescent="0.25">
      <c r="B31" s="389" t="s">
        <v>11</v>
      </c>
      <c r="C31" s="390"/>
      <c r="D31" s="390"/>
      <c r="E31" s="390"/>
      <c r="F31" s="391"/>
      <c r="G31" s="124"/>
    </row>
    <row r="32" spans="2:7" s="112" customFormat="1" x14ac:dyDescent="0.25"/>
    <row r="33" spans="2:7" s="112" customFormat="1" x14ac:dyDescent="0.25">
      <c r="B33" s="379" t="s">
        <v>105</v>
      </c>
      <c r="C33" s="380"/>
      <c r="D33" s="380"/>
      <c r="E33" s="380"/>
      <c r="F33" s="381"/>
      <c r="G33" s="121"/>
    </row>
    <row r="34" spans="2:7" s="112" customFormat="1" ht="114.6" customHeight="1" x14ac:dyDescent="0.25">
      <c r="B34" s="382" t="s">
        <v>266</v>
      </c>
      <c r="C34" s="383"/>
      <c r="D34" s="383"/>
      <c r="E34" s="383"/>
      <c r="F34" s="384"/>
      <c r="G34" s="123"/>
    </row>
    <row r="35" spans="2:7" s="112" customFormat="1" ht="16.5" customHeight="1" x14ac:dyDescent="0.25">
      <c r="B35" s="125"/>
      <c r="C35" s="126"/>
      <c r="D35" s="126"/>
      <c r="E35" s="126"/>
      <c r="F35" s="126"/>
      <c r="G35" s="126"/>
    </row>
    <row r="36" spans="2:7" s="112" customFormat="1" x14ac:dyDescent="0.25">
      <c r="B36" s="379" t="s">
        <v>233</v>
      </c>
      <c r="C36" s="380"/>
      <c r="D36" s="380"/>
      <c r="E36" s="380"/>
      <c r="F36" s="381"/>
      <c r="G36" s="121"/>
    </row>
    <row r="37" spans="2:7" s="112" customFormat="1" x14ac:dyDescent="0.25">
      <c r="B37" s="127" t="s">
        <v>234</v>
      </c>
      <c r="C37" s="388"/>
      <c r="D37" s="388"/>
      <c r="E37" s="388"/>
      <c r="F37" s="388"/>
      <c r="G37" s="123"/>
    </row>
    <row r="38" spans="2:7" s="112" customFormat="1" x14ac:dyDescent="0.25">
      <c r="B38" s="127" t="s">
        <v>235</v>
      </c>
      <c r="C38" s="388"/>
      <c r="D38" s="388"/>
      <c r="E38" s="388"/>
      <c r="F38" s="388"/>
      <c r="G38" s="123"/>
    </row>
    <row r="39" spans="2:7" s="112" customFormat="1" x14ac:dyDescent="0.25">
      <c r="B39" s="127" t="s">
        <v>236</v>
      </c>
      <c r="C39" s="392"/>
      <c r="D39" s="383"/>
      <c r="E39" s="383"/>
      <c r="F39" s="384"/>
      <c r="G39" s="123"/>
    </row>
    <row r="40" spans="2:7" s="112" customFormat="1" x14ac:dyDescent="0.25">
      <c r="B40" s="127" t="s">
        <v>237</v>
      </c>
      <c r="C40" s="388"/>
      <c r="D40" s="388"/>
      <c r="E40" s="388"/>
      <c r="F40" s="388"/>
      <c r="G40" s="123"/>
    </row>
    <row r="41" spans="2:7" s="112" customFormat="1" x14ac:dyDescent="0.25">
      <c r="B41" s="127" t="s">
        <v>238</v>
      </c>
      <c r="C41" s="388"/>
      <c r="D41" s="388"/>
      <c r="E41" s="388"/>
      <c r="F41" s="388"/>
      <c r="G41" s="123"/>
    </row>
    <row r="42" spans="2:7" s="112" customFormat="1" x14ac:dyDescent="0.25"/>
    <row r="43" spans="2:7" s="112" customFormat="1" x14ac:dyDescent="0.25">
      <c r="B43" s="379" t="s">
        <v>106</v>
      </c>
      <c r="C43" s="380"/>
      <c r="D43" s="380"/>
      <c r="E43" s="380"/>
      <c r="F43" s="381"/>
      <c r="G43" s="121"/>
    </row>
    <row r="44" spans="2:7" s="112" customFormat="1" ht="51" customHeight="1" x14ac:dyDescent="0.25">
      <c r="B44" s="382" t="s">
        <v>239</v>
      </c>
      <c r="C44" s="383"/>
      <c r="D44" s="383"/>
      <c r="E44" s="383"/>
      <c r="F44" s="384"/>
      <c r="G44" s="126"/>
    </row>
    <row r="45" spans="2:7" s="112" customFormat="1" x14ac:dyDescent="0.25"/>
    <row r="46" spans="2:7" s="112" customFormat="1" x14ac:dyDescent="0.25">
      <c r="B46" s="379" t="s">
        <v>107</v>
      </c>
      <c r="C46" s="380"/>
      <c r="D46" s="380"/>
      <c r="E46" s="380"/>
      <c r="F46" s="381"/>
      <c r="G46" s="121"/>
    </row>
    <row r="47" spans="2:7" s="112" customFormat="1" ht="150" customHeight="1" x14ac:dyDescent="0.25">
      <c r="B47" s="382" t="s">
        <v>267</v>
      </c>
      <c r="C47" s="383"/>
      <c r="D47" s="383"/>
      <c r="E47" s="383"/>
      <c r="F47" s="384"/>
      <c r="G47" s="126"/>
    </row>
    <row r="48" spans="2:7" s="112" customFormat="1" x14ac:dyDescent="0.25"/>
    <row r="49" spans="2:7" s="112" customFormat="1" x14ac:dyDescent="0.25">
      <c r="B49" s="379" t="s">
        <v>108</v>
      </c>
      <c r="C49" s="380"/>
      <c r="D49" s="380"/>
      <c r="E49" s="380"/>
      <c r="F49" s="381"/>
      <c r="G49" s="121"/>
    </row>
    <row r="50" spans="2:7" ht="80.45" customHeight="1" x14ac:dyDescent="0.25">
      <c r="B50" s="385"/>
      <c r="C50" s="386"/>
      <c r="D50" s="386"/>
      <c r="E50" s="386"/>
      <c r="F50" s="387"/>
      <c r="G50" s="126"/>
    </row>
    <row r="1048535" spans="8:9" x14ac:dyDescent="0.25">
      <c r="H1048535" s="121"/>
      <c r="I1048535" s="121"/>
    </row>
  </sheetData>
  <mergeCells count="36">
    <mergeCell ref="C10:F10"/>
    <mergeCell ref="B2:I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C41:F41"/>
    <mergeCell ref="B33:F33"/>
    <mergeCell ref="B34:F34"/>
    <mergeCell ref="B28:F28"/>
    <mergeCell ref="B29:F29"/>
    <mergeCell ref="B30:F30"/>
    <mergeCell ref="B31:F31"/>
    <mergeCell ref="B36:F36"/>
    <mergeCell ref="C37:F37"/>
    <mergeCell ref="C38:F38"/>
    <mergeCell ref="C39:F39"/>
    <mergeCell ref="C40:F40"/>
    <mergeCell ref="B46:F46"/>
    <mergeCell ref="B47:F47"/>
    <mergeCell ref="B49:F49"/>
    <mergeCell ref="B50:F50"/>
    <mergeCell ref="B43:F43"/>
    <mergeCell ref="B44:F44"/>
  </mergeCells>
  <dataValidations count="1">
    <dataValidation type="list" allowBlank="1" showInputMessage="1" showErrorMessage="1" sqref="C6">
      <formula1>"Mise à jour à partir du plan d'études, Nouvelle création"</formula1>
    </dataValidation>
  </dataValidations>
  <hyperlinks>
    <hyperlink ref="B1" r:id="rId1" location="'Schéma d''enseignement'!A1"/>
  </hyperlinks>
  <pageMargins left="0.7" right="0.7" top="0.74545454545454548" bottom="0.75" header="0.3" footer="0.3"/>
  <pageSetup paperSize="9" scale="88" orientation="portrait" horizontalDpi="300" verticalDpi="300" r:id="rId2"/>
  <rowBreaks count="1" manualBreakCount="1">
    <brk id="24"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5"/>
  </sheetPr>
  <dimension ref="B1:J1048547"/>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268</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29</v>
      </c>
      <c r="D10" s="395"/>
      <c r="E10" s="395"/>
      <c r="F10" s="395"/>
      <c r="G10" s="114"/>
    </row>
    <row r="11" spans="2:10" s="112" customFormat="1" x14ac:dyDescent="0.25">
      <c r="B11" s="113" t="s">
        <v>91</v>
      </c>
      <c r="C11" s="395" t="s">
        <v>226</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43192</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34.5" customHeight="1" x14ac:dyDescent="0.25">
      <c r="B18" s="119" t="s">
        <v>197</v>
      </c>
      <c r="C18" s="23">
        <v>42</v>
      </c>
      <c r="D18" s="23">
        <v>3</v>
      </c>
      <c r="E18" s="23">
        <v>3</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36.75" customHeight="1" x14ac:dyDescent="0.25">
      <c r="B21" s="382" t="s">
        <v>269</v>
      </c>
      <c r="C21" s="383"/>
      <c r="D21" s="383"/>
      <c r="E21" s="383"/>
      <c r="F21" s="384"/>
      <c r="G21" s="122"/>
    </row>
    <row r="22" spans="2:7" s="112" customFormat="1" x14ac:dyDescent="0.25">
      <c r="B22" s="379" t="s">
        <v>101</v>
      </c>
      <c r="C22" s="380"/>
      <c r="D22" s="380"/>
      <c r="E22" s="380"/>
      <c r="F22" s="381"/>
      <c r="G22" s="121"/>
    </row>
    <row r="23" spans="2:7" s="112" customFormat="1" ht="81.75" customHeight="1" x14ac:dyDescent="0.25">
      <c r="B23" s="382" t="s">
        <v>270</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414"/>
      <c r="C26" s="415"/>
      <c r="D26" s="415"/>
      <c r="E26" s="415"/>
      <c r="F26" s="416"/>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10</v>
      </c>
      <c r="C29" s="390"/>
      <c r="D29" s="390"/>
      <c r="E29" s="390"/>
      <c r="F29" s="391"/>
      <c r="G29" s="124"/>
    </row>
    <row r="30" spans="2:7" s="112" customFormat="1" x14ac:dyDescent="0.25">
      <c r="B30" s="389" t="s">
        <v>12</v>
      </c>
      <c r="C30" s="390"/>
      <c r="D30" s="390"/>
      <c r="E30" s="390"/>
      <c r="F30" s="391"/>
      <c r="G30" s="124"/>
    </row>
    <row r="31" spans="2:7" s="112" customFormat="1" x14ac:dyDescent="0.25">
      <c r="B31" s="389" t="s">
        <v>11</v>
      </c>
      <c r="C31" s="390"/>
      <c r="D31" s="390"/>
      <c r="E31" s="390"/>
      <c r="F31" s="391"/>
      <c r="G31" s="124"/>
    </row>
    <row r="32" spans="2:7" s="112" customFormat="1" x14ac:dyDescent="0.25">
      <c r="B32" s="389" t="s">
        <v>20</v>
      </c>
      <c r="C32" s="390"/>
      <c r="D32" s="390"/>
      <c r="E32" s="390"/>
      <c r="F32" s="391"/>
      <c r="G32" s="124"/>
    </row>
    <row r="33" spans="2:7" s="112" customFormat="1" x14ac:dyDescent="0.25">
      <c r="B33" s="389"/>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133.5" customHeight="1" x14ac:dyDescent="0.25">
      <c r="B40" s="382" t="s">
        <v>271</v>
      </c>
      <c r="C40" s="383"/>
      <c r="D40" s="383"/>
      <c r="E40" s="383"/>
      <c r="F40" s="384"/>
      <c r="G40" s="12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249</v>
      </c>
      <c r="C43" s="388"/>
      <c r="D43" s="388"/>
      <c r="E43" s="388"/>
      <c r="F43" s="388"/>
      <c r="G43" s="123"/>
    </row>
    <row r="44" spans="2:7" s="112" customFormat="1" x14ac:dyDescent="0.25">
      <c r="B44" s="127" t="s">
        <v>250</v>
      </c>
      <c r="C44" s="388"/>
      <c r="D44" s="388"/>
      <c r="E44" s="388"/>
      <c r="F44" s="388"/>
      <c r="G44" s="123"/>
    </row>
    <row r="45" spans="2:7" s="112" customFormat="1" x14ac:dyDescent="0.25">
      <c r="B45" s="127" t="s">
        <v>272</v>
      </c>
      <c r="C45" s="392"/>
      <c r="D45" s="383"/>
      <c r="E45" s="383"/>
      <c r="F45" s="384"/>
      <c r="G45" s="123"/>
    </row>
    <row r="46" spans="2:7" s="112" customFormat="1" x14ac:dyDescent="0.25">
      <c r="B46" s="127"/>
      <c r="C46" s="388"/>
      <c r="D46" s="388"/>
      <c r="E46" s="388"/>
      <c r="F46" s="388"/>
      <c r="G46" s="123"/>
    </row>
    <row r="47" spans="2:7" s="112" customFormat="1" x14ac:dyDescent="0.25">
      <c r="B47" s="127"/>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82" t="s">
        <v>273</v>
      </c>
      <c r="C50" s="383"/>
      <c r="D50" s="383"/>
      <c r="E50" s="383"/>
      <c r="F50" s="384"/>
      <c r="G50" s="126"/>
    </row>
    <row r="51" spans="2:7" s="112" customFormat="1" x14ac:dyDescent="0.25"/>
    <row r="52" spans="2:7" s="112" customFormat="1" x14ac:dyDescent="0.25">
      <c r="B52" s="379" t="s">
        <v>240</v>
      </c>
      <c r="C52" s="380"/>
      <c r="D52" s="380"/>
      <c r="E52" s="380"/>
      <c r="F52" s="381"/>
      <c r="G52" s="121"/>
    </row>
    <row r="53" spans="2:7" s="112" customFormat="1" x14ac:dyDescent="0.25">
      <c r="B53" s="128" t="s">
        <v>241</v>
      </c>
      <c r="C53" s="128" t="s">
        <v>242</v>
      </c>
      <c r="D53" s="379" t="s">
        <v>243</v>
      </c>
      <c r="E53" s="380"/>
      <c r="F53" s="381"/>
      <c r="G53" s="121"/>
    </row>
    <row r="54" spans="2:7" s="112" customFormat="1" x14ac:dyDescent="0.25">
      <c r="B54" s="129"/>
      <c r="C54" s="129"/>
      <c r="D54" s="405"/>
      <c r="E54" s="406"/>
      <c r="F54" s="407"/>
      <c r="G54" s="130"/>
    </row>
    <row r="55" spans="2:7" s="112" customFormat="1" x14ac:dyDescent="0.25">
      <c r="B55" s="129"/>
      <c r="C55" s="129"/>
      <c r="D55" s="405"/>
      <c r="E55" s="406"/>
      <c r="F55" s="407"/>
      <c r="G55" s="130"/>
    </row>
    <row r="56" spans="2:7" s="112" customFormat="1" x14ac:dyDescent="0.25">
      <c r="B56" s="131"/>
      <c r="C56" s="131"/>
      <c r="D56" s="405"/>
      <c r="E56" s="406"/>
      <c r="F56" s="407"/>
      <c r="G56" s="130"/>
    </row>
    <row r="57" spans="2:7" s="112" customFormat="1" x14ac:dyDescent="0.25"/>
    <row r="58" spans="2:7" s="112" customFormat="1" x14ac:dyDescent="0.25">
      <c r="B58" s="379" t="s">
        <v>107</v>
      </c>
      <c r="C58" s="380"/>
      <c r="D58" s="380"/>
      <c r="E58" s="380"/>
      <c r="F58" s="381"/>
      <c r="G58" s="121"/>
    </row>
    <row r="59" spans="2:7" s="112" customFormat="1" ht="147.75" customHeight="1" x14ac:dyDescent="0.25">
      <c r="B59" s="382" t="s">
        <v>267</v>
      </c>
      <c r="C59" s="383"/>
      <c r="D59" s="383"/>
      <c r="E59" s="383"/>
      <c r="F59" s="384"/>
      <c r="G59" s="126"/>
    </row>
    <row r="60" spans="2:7" s="112" customFormat="1" x14ac:dyDescent="0.25"/>
    <row r="61" spans="2:7" s="112" customFormat="1" x14ac:dyDescent="0.25">
      <c r="B61" s="379" t="s">
        <v>108</v>
      </c>
      <c r="C61" s="380"/>
      <c r="D61" s="380"/>
      <c r="E61" s="380"/>
      <c r="F61" s="381"/>
      <c r="G61" s="121"/>
    </row>
    <row r="62" spans="2:7" ht="80.45" customHeight="1" x14ac:dyDescent="0.25">
      <c r="B62" s="385"/>
      <c r="C62" s="386"/>
      <c r="D62" s="386"/>
      <c r="E62" s="386"/>
      <c r="F62" s="387"/>
      <c r="G62" s="126"/>
    </row>
    <row r="1048547" spans="8:9" x14ac:dyDescent="0.25">
      <c r="H1048547" s="121"/>
      <c r="I1048547" s="121"/>
    </row>
  </sheetData>
  <mergeCells count="47">
    <mergeCell ref="C10:F10"/>
    <mergeCell ref="B2:I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40:F40"/>
    <mergeCell ref="B28:F28"/>
    <mergeCell ref="B29:F29"/>
    <mergeCell ref="B30:F30"/>
    <mergeCell ref="B31:F31"/>
    <mergeCell ref="B32:F32"/>
    <mergeCell ref="B33:F33"/>
    <mergeCell ref="B34:F34"/>
    <mergeCell ref="B35:F35"/>
    <mergeCell ref="B36:F36"/>
    <mergeCell ref="B37:F37"/>
    <mergeCell ref="B39:F39"/>
    <mergeCell ref="D55:F55"/>
    <mergeCell ref="B42:F42"/>
    <mergeCell ref="C43:F43"/>
    <mergeCell ref="C44:F44"/>
    <mergeCell ref="C45:F45"/>
    <mergeCell ref="C46:F46"/>
    <mergeCell ref="C47:F47"/>
    <mergeCell ref="B49:F49"/>
    <mergeCell ref="B50:F50"/>
    <mergeCell ref="B52:F52"/>
    <mergeCell ref="D53:F53"/>
    <mergeCell ref="D54:F54"/>
    <mergeCell ref="D56:F56"/>
    <mergeCell ref="B58:F58"/>
    <mergeCell ref="B59:F59"/>
    <mergeCell ref="B61:F61"/>
    <mergeCell ref="B62:F62"/>
  </mergeCells>
  <dataValidations count="2">
    <dataValidation type="list" allowBlank="1" showInputMessage="1" showErrorMessage="1" sqref="C6">
      <formula1>"Mise à jour à partir du plan d'études, Nouvelle création"</formula1>
    </dataValidation>
    <dataValidation type="list" allowBlank="1" showInputMessage="1" showErrorMessage="1" sqref="C54:C56">
      <formula1>"Académique, Professionnel, Associatif, Autre"</formula1>
    </dataValidation>
  </dataValidations>
  <hyperlinks>
    <hyperlink ref="B1" r:id="rId1" location="'Schéma d''enseignement'!A1"/>
  </hyperlinks>
  <pageMargins left="0.7" right="0.7" top="0.74545454545454548" bottom="0.75" header="0.3" footer="0.3"/>
  <pageSetup paperSize="9" scale="88" orientation="portrait" horizontalDpi="300" verticalDpi="300" r:id="rId2"/>
  <rowBreaks count="1" manualBreakCount="1">
    <brk id="24"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5"/>
  </sheetPr>
  <dimension ref="B1:J1048542"/>
  <sheetViews>
    <sheetView zoomScaleNormal="100"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274</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198</v>
      </c>
      <c r="D10" s="395"/>
      <c r="E10" s="395"/>
      <c r="F10" s="395"/>
      <c r="G10" s="114"/>
    </row>
    <row r="11" spans="2:10" s="112" customFormat="1" x14ac:dyDescent="0.25">
      <c r="B11" s="113" t="s">
        <v>91</v>
      </c>
      <c r="C11" s="395" t="s">
        <v>226</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43438</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23.25" customHeight="1" x14ac:dyDescent="0.25">
      <c r="B18" s="119" t="s">
        <v>199</v>
      </c>
      <c r="C18" s="23">
        <v>42</v>
      </c>
      <c r="D18" s="23">
        <v>3</v>
      </c>
      <c r="E18" s="23">
        <v>3</v>
      </c>
      <c r="F18" s="23" t="s">
        <v>228</v>
      </c>
      <c r="G18" s="134"/>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33.75" customHeight="1" x14ac:dyDescent="0.25">
      <c r="B21" s="382" t="s">
        <v>275</v>
      </c>
      <c r="C21" s="383"/>
      <c r="D21" s="383"/>
      <c r="E21" s="383"/>
      <c r="F21" s="384"/>
      <c r="G21" s="122"/>
    </row>
    <row r="22" spans="2:7" s="112" customFormat="1" x14ac:dyDescent="0.25">
      <c r="B22" s="379" t="s">
        <v>101</v>
      </c>
      <c r="C22" s="380"/>
      <c r="D22" s="380"/>
      <c r="E22" s="380"/>
      <c r="F22" s="381"/>
      <c r="G22" s="121"/>
    </row>
    <row r="23" spans="2:7" s="112" customFormat="1" ht="85.5" customHeight="1" x14ac:dyDescent="0.25">
      <c r="B23" s="382" t="s">
        <v>276</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82" t="s">
        <v>416</v>
      </c>
      <c r="C26" s="393"/>
      <c r="D26" s="393"/>
      <c r="E26" s="393"/>
      <c r="F26" s="39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12</v>
      </c>
      <c r="C29" s="390"/>
      <c r="D29" s="390"/>
      <c r="E29" s="390"/>
      <c r="F29" s="391"/>
      <c r="G29" s="124"/>
    </row>
    <row r="30" spans="2:7" s="112" customFormat="1" x14ac:dyDescent="0.25">
      <c r="B30" s="389" t="s">
        <v>20</v>
      </c>
      <c r="C30" s="390"/>
      <c r="D30" s="390"/>
      <c r="E30" s="390"/>
      <c r="F30" s="391"/>
      <c r="G30" s="124"/>
    </row>
    <row r="31" spans="2:7" s="112" customFormat="1" x14ac:dyDescent="0.25">
      <c r="B31" s="389" t="s">
        <v>277</v>
      </c>
      <c r="C31" s="390"/>
      <c r="D31" s="390"/>
      <c r="E31" s="390"/>
      <c r="F31" s="391"/>
      <c r="G31" s="124"/>
    </row>
    <row r="32" spans="2:7" s="112" customFormat="1" x14ac:dyDescent="0.25">
      <c r="B32" s="389"/>
      <c r="C32" s="390"/>
      <c r="D32" s="390"/>
      <c r="E32" s="390"/>
      <c r="F32" s="391"/>
      <c r="G32" s="124"/>
    </row>
    <row r="33" spans="2:7" s="112" customFormat="1" x14ac:dyDescent="0.25"/>
    <row r="34" spans="2:7" s="112" customFormat="1" x14ac:dyDescent="0.25">
      <c r="B34" s="379" t="s">
        <v>105</v>
      </c>
      <c r="C34" s="380"/>
      <c r="D34" s="380"/>
      <c r="E34" s="380"/>
      <c r="F34" s="381"/>
      <c r="G34" s="121"/>
    </row>
    <row r="35" spans="2:7" s="112" customFormat="1" ht="238.5" customHeight="1" x14ac:dyDescent="0.25">
      <c r="B35" s="382" t="s">
        <v>417</v>
      </c>
      <c r="C35" s="383"/>
      <c r="D35" s="383"/>
      <c r="E35" s="383"/>
      <c r="F35" s="384"/>
      <c r="G35" s="122"/>
    </row>
    <row r="36" spans="2:7" s="112" customFormat="1" ht="16.5" customHeight="1" x14ac:dyDescent="0.25">
      <c r="B36" s="125"/>
      <c r="C36" s="126"/>
      <c r="D36" s="126"/>
      <c r="E36" s="126"/>
      <c r="F36" s="126"/>
      <c r="G36" s="126"/>
    </row>
    <row r="37" spans="2:7" s="112" customFormat="1" x14ac:dyDescent="0.25">
      <c r="B37" s="379" t="s">
        <v>233</v>
      </c>
      <c r="C37" s="380"/>
      <c r="D37" s="380"/>
      <c r="E37" s="380"/>
      <c r="F37" s="381"/>
      <c r="G37" s="121"/>
    </row>
    <row r="38" spans="2:7" s="112" customFormat="1" x14ac:dyDescent="0.25">
      <c r="B38" s="127" t="s">
        <v>249</v>
      </c>
      <c r="C38" s="388"/>
      <c r="D38" s="388"/>
      <c r="E38" s="388"/>
      <c r="F38" s="388"/>
      <c r="G38" s="123"/>
    </row>
    <row r="39" spans="2:7" s="112" customFormat="1" x14ac:dyDescent="0.25">
      <c r="B39" s="127" t="s">
        <v>250</v>
      </c>
      <c r="C39" s="388"/>
      <c r="D39" s="388"/>
      <c r="E39" s="388"/>
      <c r="F39" s="388"/>
      <c r="G39" s="123"/>
    </row>
    <row r="40" spans="2:7" s="112" customFormat="1" ht="32.25" customHeight="1" x14ac:dyDescent="0.25">
      <c r="B40" s="135" t="s">
        <v>278</v>
      </c>
      <c r="C40" s="392"/>
      <c r="D40" s="383"/>
      <c r="E40" s="383"/>
      <c r="F40" s="384"/>
      <c r="G40" s="122"/>
    </row>
    <row r="41" spans="2:7" s="112" customFormat="1" x14ac:dyDescent="0.25">
      <c r="B41" s="127"/>
      <c r="C41" s="388"/>
      <c r="D41" s="388"/>
      <c r="E41" s="388"/>
      <c r="F41" s="388"/>
      <c r="G41" s="123"/>
    </row>
    <row r="42" spans="2:7" s="112" customFormat="1" x14ac:dyDescent="0.25">
      <c r="B42" s="127"/>
      <c r="C42" s="388"/>
      <c r="D42" s="388"/>
      <c r="E42" s="388"/>
      <c r="F42" s="388"/>
      <c r="G42" s="123"/>
    </row>
    <row r="43" spans="2:7" s="112" customFormat="1" x14ac:dyDescent="0.25"/>
    <row r="44" spans="2:7" s="112" customFormat="1" x14ac:dyDescent="0.25">
      <c r="B44" s="379" t="s">
        <v>106</v>
      </c>
      <c r="C44" s="380"/>
      <c r="D44" s="380"/>
      <c r="E44" s="380"/>
      <c r="F44" s="381"/>
      <c r="G44" s="121"/>
    </row>
    <row r="45" spans="2:7" s="112" customFormat="1" ht="51" customHeight="1" x14ac:dyDescent="0.25">
      <c r="B45" s="382" t="s">
        <v>279</v>
      </c>
      <c r="C45" s="383"/>
      <c r="D45" s="383"/>
      <c r="E45" s="383"/>
      <c r="F45" s="384"/>
      <c r="G45" s="126"/>
    </row>
    <row r="46" spans="2:7" s="112" customFormat="1" x14ac:dyDescent="0.25"/>
    <row r="47" spans="2:7" s="112" customFormat="1" x14ac:dyDescent="0.25">
      <c r="B47" s="379" t="s">
        <v>240</v>
      </c>
      <c r="C47" s="380"/>
      <c r="D47" s="380"/>
      <c r="E47" s="380"/>
      <c r="F47" s="381"/>
      <c r="G47" s="121"/>
    </row>
    <row r="48" spans="2:7" s="112" customFormat="1" x14ac:dyDescent="0.25">
      <c r="B48" s="128" t="s">
        <v>241</v>
      </c>
      <c r="C48" s="128" t="s">
        <v>242</v>
      </c>
      <c r="D48" s="379" t="s">
        <v>243</v>
      </c>
      <c r="E48" s="380"/>
      <c r="F48" s="381"/>
      <c r="G48" s="121"/>
    </row>
    <row r="49" spans="2:7" s="112" customFormat="1" x14ac:dyDescent="0.25">
      <c r="B49" s="127" t="s">
        <v>280</v>
      </c>
      <c r="C49" s="127" t="s">
        <v>281</v>
      </c>
      <c r="D49" s="392" t="s">
        <v>36</v>
      </c>
      <c r="E49" s="383"/>
      <c r="F49" s="384"/>
      <c r="G49" s="130"/>
    </row>
    <row r="50" spans="2:7" s="112" customFormat="1" x14ac:dyDescent="0.25">
      <c r="B50" s="129"/>
      <c r="C50" s="129"/>
      <c r="D50" s="405"/>
      <c r="E50" s="406"/>
      <c r="F50" s="407"/>
      <c r="G50" s="130"/>
    </row>
    <row r="51" spans="2:7" s="112" customFormat="1" x14ac:dyDescent="0.25">
      <c r="B51" s="131"/>
      <c r="C51" s="131"/>
      <c r="D51" s="405"/>
      <c r="E51" s="406"/>
      <c r="F51" s="407"/>
      <c r="G51" s="130"/>
    </row>
    <row r="52" spans="2:7" s="112" customFormat="1" x14ac:dyDescent="0.25"/>
    <row r="53" spans="2:7" s="112" customFormat="1" x14ac:dyDescent="0.25">
      <c r="B53" s="379" t="s">
        <v>107</v>
      </c>
      <c r="C53" s="380"/>
      <c r="D53" s="380"/>
      <c r="E53" s="380"/>
      <c r="F53" s="381"/>
      <c r="G53" s="121"/>
    </row>
    <row r="54" spans="2:7" s="112" customFormat="1" ht="56.25" customHeight="1" x14ac:dyDescent="0.25">
      <c r="B54" s="382" t="s">
        <v>282</v>
      </c>
      <c r="C54" s="383"/>
      <c r="D54" s="383"/>
      <c r="E54" s="383"/>
      <c r="F54" s="384"/>
      <c r="G54" s="126"/>
    </row>
    <row r="55" spans="2:7" s="112" customFormat="1" x14ac:dyDescent="0.25"/>
    <row r="56" spans="2:7" s="112" customFormat="1" x14ac:dyDescent="0.25">
      <c r="B56" s="379" t="s">
        <v>108</v>
      </c>
      <c r="C56" s="380"/>
      <c r="D56" s="380"/>
      <c r="E56" s="380"/>
      <c r="F56" s="381"/>
      <c r="G56" s="121"/>
    </row>
    <row r="57" spans="2:7" ht="80.45" customHeight="1" x14ac:dyDescent="0.25">
      <c r="B57" s="385"/>
      <c r="C57" s="386"/>
      <c r="D57" s="386"/>
      <c r="E57" s="386"/>
      <c r="F57" s="387"/>
      <c r="G57" s="126"/>
    </row>
    <row r="1048542" spans="8:9" x14ac:dyDescent="0.25">
      <c r="H1048542" s="121"/>
      <c r="I1048542" s="121"/>
    </row>
  </sheetData>
  <mergeCells count="42">
    <mergeCell ref="C10:F10"/>
    <mergeCell ref="B2:I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34:F34"/>
    <mergeCell ref="B35:F35"/>
    <mergeCell ref="B28:F28"/>
    <mergeCell ref="B29:F29"/>
    <mergeCell ref="B30:F30"/>
    <mergeCell ref="B31:F31"/>
    <mergeCell ref="B32:F32"/>
    <mergeCell ref="D50:F50"/>
    <mergeCell ref="B37:F37"/>
    <mergeCell ref="C38:F38"/>
    <mergeCell ref="C39:F39"/>
    <mergeCell ref="C40:F40"/>
    <mergeCell ref="C41:F41"/>
    <mergeCell ref="C42:F42"/>
    <mergeCell ref="B44:F44"/>
    <mergeCell ref="B45:F45"/>
    <mergeCell ref="B47:F47"/>
    <mergeCell ref="D48:F48"/>
    <mergeCell ref="D49:F49"/>
    <mergeCell ref="D51:F51"/>
    <mergeCell ref="B53:F53"/>
    <mergeCell ref="B54:F54"/>
    <mergeCell ref="B56:F56"/>
    <mergeCell ref="B57:F57"/>
  </mergeCells>
  <dataValidations count="2">
    <dataValidation type="list" allowBlank="1" showInputMessage="1" showErrorMessage="1" sqref="C49:C51">
      <formula1>"Académique, Professionnel, Associatif, Autre"</formula1>
    </dataValidation>
    <dataValidation type="list" allowBlank="1" showInputMessage="1" showErrorMessage="1" sqref="C6">
      <formula1>"Mise à jour à partir du plan d'études, Nouvelle création"</formula1>
    </dataValidation>
  </dataValidations>
  <hyperlinks>
    <hyperlink ref="B1" r:id="rId1" location="'Schéma d''enseignement'!A1"/>
  </hyperlinks>
  <pageMargins left="0.7" right="0.7" top="0.74545454545454548" bottom="0.75" header="0.3" footer="0.3"/>
  <pageSetup paperSize="9" scale="88" orientation="portrait" horizontalDpi="300" verticalDpi="300" r:id="rId2"/>
  <rowBreaks count="1" manualBreakCount="1">
    <brk id="24"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5"/>
  </sheetPr>
  <dimension ref="B1:J1048542"/>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17" t="s">
        <v>283</v>
      </c>
      <c r="C2" s="418"/>
      <c r="D2" s="418"/>
      <c r="E2" s="418"/>
      <c r="F2" s="418"/>
      <c r="G2" s="418"/>
      <c r="H2" s="418"/>
      <c r="I2" s="419"/>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198</v>
      </c>
      <c r="D10" s="395"/>
      <c r="E10" s="395"/>
      <c r="F10" s="395"/>
      <c r="G10" s="114"/>
    </row>
    <row r="11" spans="2:10" s="112" customFormat="1" x14ac:dyDescent="0.25">
      <c r="B11" s="113" t="s">
        <v>91</v>
      </c>
      <c r="C11" s="395" t="s">
        <v>226</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43192</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23.25" customHeight="1" x14ac:dyDescent="0.25">
      <c r="B18" s="119" t="s">
        <v>284</v>
      </c>
      <c r="C18" s="136">
        <v>0</v>
      </c>
      <c r="D18" s="23">
        <v>3</v>
      </c>
      <c r="E18" s="23">
        <v>3</v>
      </c>
      <c r="F18" s="23" t="s">
        <v>228</v>
      </c>
      <c r="G18" s="134" t="s">
        <v>285</v>
      </c>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41.25" customHeight="1" x14ac:dyDescent="0.25">
      <c r="B21" s="382" t="s">
        <v>286</v>
      </c>
      <c r="C21" s="383"/>
      <c r="D21" s="383"/>
      <c r="E21" s="383"/>
      <c r="F21" s="384"/>
      <c r="G21" s="122"/>
    </row>
    <row r="22" spans="2:7" s="112" customFormat="1" x14ac:dyDescent="0.25">
      <c r="B22" s="379" t="s">
        <v>101</v>
      </c>
      <c r="C22" s="380"/>
      <c r="D22" s="380"/>
      <c r="E22" s="380"/>
      <c r="F22" s="381"/>
      <c r="G22" s="121"/>
    </row>
    <row r="23" spans="2:7" s="112" customFormat="1" ht="132" customHeight="1" x14ac:dyDescent="0.25">
      <c r="B23" s="382" t="s">
        <v>287</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92" t="s">
        <v>288</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12</v>
      </c>
      <c r="C29" s="390"/>
      <c r="D29" s="390"/>
      <c r="E29" s="390"/>
      <c r="F29" s="391"/>
      <c r="G29" s="124"/>
    </row>
    <row r="30" spans="2:7" s="112" customFormat="1" x14ac:dyDescent="0.25">
      <c r="B30" s="389" t="s">
        <v>147</v>
      </c>
      <c r="C30" s="390"/>
      <c r="D30" s="390"/>
      <c r="E30" s="390"/>
      <c r="F30" s="391"/>
      <c r="G30" s="124"/>
    </row>
    <row r="31" spans="2:7" s="112" customFormat="1" x14ac:dyDescent="0.25">
      <c r="B31" s="389"/>
      <c r="C31" s="390"/>
      <c r="D31" s="390"/>
      <c r="E31" s="390"/>
      <c r="F31" s="391"/>
      <c r="G31" s="124"/>
    </row>
    <row r="32" spans="2:7" s="112" customFormat="1" x14ac:dyDescent="0.25">
      <c r="B32" s="389"/>
      <c r="C32" s="390"/>
      <c r="D32" s="390"/>
      <c r="E32" s="390"/>
      <c r="F32" s="391"/>
      <c r="G32" s="124"/>
    </row>
    <row r="33" spans="2:7" s="112" customFormat="1" x14ac:dyDescent="0.25">
      <c r="B33" s="389"/>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87.75" customHeight="1" x14ac:dyDescent="0.25">
      <c r="B40" s="382" t="s">
        <v>289</v>
      </c>
      <c r="C40" s="383"/>
      <c r="D40" s="383"/>
      <c r="E40" s="383"/>
      <c r="F40" s="384"/>
      <c r="G40" s="12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234</v>
      </c>
      <c r="C43" s="388"/>
      <c r="D43" s="388"/>
      <c r="E43" s="388"/>
      <c r="F43" s="388"/>
      <c r="G43" s="123"/>
    </row>
    <row r="44" spans="2:7" s="112" customFormat="1" x14ac:dyDescent="0.25">
      <c r="B44" s="127" t="s">
        <v>235</v>
      </c>
      <c r="C44" s="388"/>
      <c r="D44" s="388"/>
      <c r="E44" s="388"/>
      <c r="F44" s="388"/>
      <c r="G44" s="123"/>
    </row>
    <row r="45" spans="2:7" s="112" customFormat="1" x14ac:dyDescent="0.25">
      <c r="B45" s="127" t="s">
        <v>236</v>
      </c>
      <c r="C45" s="392"/>
      <c r="D45" s="383"/>
      <c r="E45" s="383"/>
      <c r="F45" s="384"/>
      <c r="G45" s="123"/>
    </row>
    <row r="46" spans="2:7" s="112" customFormat="1" x14ac:dyDescent="0.25">
      <c r="B46" s="127" t="s">
        <v>237</v>
      </c>
      <c r="C46" s="388"/>
      <c r="D46" s="388"/>
      <c r="E46" s="388"/>
      <c r="F46" s="388"/>
      <c r="G46" s="123"/>
    </row>
    <row r="47" spans="2:7" s="112" customFormat="1" x14ac:dyDescent="0.25">
      <c r="B47" s="127" t="s">
        <v>238</v>
      </c>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66" customHeight="1" x14ac:dyDescent="0.25">
      <c r="B50" s="382" t="s">
        <v>290</v>
      </c>
      <c r="C50" s="383"/>
      <c r="D50" s="383"/>
      <c r="E50" s="383"/>
      <c r="F50" s="384"/>
      <c r="G50" s="126"/>
    </row>
    <row r="51" spans="2:7" s="112" customFormat="1" x14ac:dyDescent="0.25"/>
    <row r="52" spans="2:7" s="112" customFormat="1" x14ac:dyDescent="0.25"/>
    <row r="53" spans="2:7" s="112" customFormat="1" x14ac:dyDescent="0.25">
      <c r="B53" s="379" t="s">
        <v>107</v>
      </c>
      <c r="C53" s="380"/>
      <c r="D53" s="380"/>
      <c r="E53" s="380"/>
      <c r="F53" s="381"/>
      <c r="G53" s="121"/>
    </row>
    <row r="54" spans="2:7" s="112" customFormat="1" ht="70.5" customHeight="1" x14ac:dyDescent="0.25">
      <c r="B54" s="382" t="s">
        <v>291</v>
      </c>
      <c r="C54" s="383"/>
      <c r="D54" s="383"/>
      <c r="E54" s="383"/>
      <c r="F54" s="384"/>
      <c r="G54" s="126"/>
    </row>
    <row r="55" spans="2:7" s="112" customFormat="1" x14ac:dyDescent="0.25"/>
    <row r="56" spans="2:7" s="112" customFormat="1" x14ac:dyDescent="0.25">
      <c r="B56" s="379" t="s">
        <v>108</v>
      </c>
      <c r="C56" s="380"/>
      <c r="D56" s="380"/>
      <c r="E56" s="380"/>
      <c r="F56" s="381"/>
      <c r="G56" s="121"/>
    </row>
    <row r="57" spans="2:7" ht="80.45" customHeight="1" x14ac:dyDescent="0.25">
      <c r="B57" s="385"/>
      <c r="C57" s="386"/>
      <c r="D57" s="386"/>
      <c r="E57" s="386"/>
      <c r="F57" s="387"/>
      <c r="G57" s="126"/>
    </row>
    <row r="1048542" spans="8:9" x14ac:dyDescent="0.25">
      <c r="H1048542" s="121"/>
      <c r="I1048542" s="121"/>
    </row>
  </sheetData>
  <mergeCells count="42">
    <mergeCell ref="C10:F10"/>
    <mergeCell ref="B2:I2"/>
    <mergeCell ref="C6:F6"/>
    <mergeCell ref="C7:F7"/>
    <mergeCell ref="C8:F8"/>
    <mergeCell ref="C9:F9"/>
    <mergeCell ref="C11:F11"/>
    <mergeCell ref="B13:F13"/>
    <mergeCell ref="B14:C14"/>
    <mergeCell ref="D14:F14"/>
    <mergeCell ref="B15:C15"/>
    <mergeCell ref="D15:F15"/>
    <mergeCell ref="B33:F33"/>
    <mergeCell ref="B20:F20"/>
    <mergeCell ref="B21:F21"/>
    <mergeCell ref="B22:F22"/>
    <mergeCell ref="B23:F23"/>
    <mergeCell ref="B25:F25"/>
    <mergeCell ref="B26:F26"/>
    <mergeCell ref="B28:F28"/>
    <mergeCell ref="B29:F29"/>
    <mergeCell ref="B30:F30"/>
    <mergeCell ref="B31:F31"/>
    <mergeCell ref="B32:F32"/>
    <mergeCell ref="C47:F47"/>
    <mergeCell ref="B34:F34"/>
    <mergeCell ref="B35:F35"/>
    <mergeCell ref="B36:F36"/>
    <mergeCell ref="B37:F37"/>
    <mergeCell ref="B39:F39"/>
    <mergeCell ref="B40:F40"/>
    <mergeCell ref="B42:F42"/>
    <mergeCell ref="C43:F43"/>
    <mergeCell ref="C44:F44"/>
    <mergeCell ref="C45:F45"/>
    <mergeCell ref="C46:F46"/>
    <mergeCell ref="B53:F53"/>
    <mergeCell ref="B54:F54"/>
    <mergeCell ref="B56:F56"/>
    <mergeCell ref="B57:F57"/>
    <mergeCell ref="B49:F49"/>
    <mergeCell ref="B50:F50"/>
  </mergeCells>
  <dataValidations count="1">
    <dataValidation type="list" allowBlank="1" showInputMessage="1" showErrorMessage="1" sqref="C6">
      <formula1>"Mise à jour à partir du plan d'études, Nouvelle création"</formula1>
    </dataValidation>
  </dataValidations>
  <hyperlinks>
    <hyperlink ref="B1" r:id="rId1" location="'Schéma d''enseignement'!A1"/>
  </hyperlinks>
  <pageMargins left="0.7" right="0.7" top="0.74545454545454548" bottom="0.75" header="0.3" footer="0.3"/>
  <pageSetup paperSize="9" scale="88" orientation="portrait" horizontalDpi="300" verticalDpi="300" r:id="rId2"/>
  <rowBreaks count="1" manualBreakCount="1">
    <brk id="24"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5"/>
  </sheetPr>
  <dimension ref="B1:J1048541"/>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292</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198</v>
      </c>
      <c r="D10" s="395"/>
      <c r="E10" s="395"/>
      <c r="F10" s="395"/>
      <c r="G10" s="114"/>
    </row>
    <row r="11" spans="2:10" s="112" customFormat="1" x14ac:dyDescent="0.25">
      <c r="B11" s="113" t="s">
        <v>91</v>
      </c>
      <c r="C11" s="395" t="s">
        <v>226</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43438</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39.75" customHeight="1" x14ac:dyDescent="0.25">
      <c r="B18" s="119" t="s">
        <v>293</v>
      </c>
      <c r="C18" s="23">
        <v>42</v>
      </c>
      <c r="D18" s="23">
        <v>3</v>
      </c>
      <c r="E18" s="23">
        <v>3</v>
      </c>
      <c r="F18" s="23" t="s">
        <v>228</v>
      </c>
      <c r="G18" s="137"/>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39" customHeight="1" x14ac:dyDescent="0.25">
      <c r="B21" s="382" t="s">
        <v>294</v>
      </c>
      <c r="C21" s="383"/>
      <c r="D21" s="383"/>
      <c r="E21" s="383"/>
      <c r="F21" s="384"/>
      <c r="G21" s="122"/>
    </row>
    <row r="22" spans="2:7" s="112" customFormat="1" x14ac:dyDescent="0.25">
      <c r="B22" s="379" t="s">
        <v>101</v>
      </c>
      <c r="C22" s="380"/>
      <c r="D22" s="380"/>
      <c r="E22" s="380"/>
      <c r="F22" s="381"/>
      <c r="G22" s="121"/>
    </row>
    <row r="23" spans="2:7" s="112" customFormat="1" ht="148.5" customHeight="1" x14ac:dyDescent="0.25">
      <c r="B23" s="382" t="s">
        <v>295</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92" t="s">
        <v>296</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12</v>
      </c>
      <c r="C29" s="390"/>
      <c r="D29" s="390"/>
      <c r="E29" s="390"/>
      <c r="F29" s="391"/>
      <c r="G29" s="124"/>
    </row>
    <row r="30" spans="2:7" s="112" customFormat="1" x14ac:dyDescent="0.25">
      <c r="B30" s="389" t="s">
        <v>20</v>
      </c>
      <c r="C30" s="390"/>
      <c r="D30" s="390"/>
      <c r="E30" s="390"/>
      <c r="F30" s="391"/>
      <c r="G30" s="124"/>
    </row>
    <row r="31" spans="2:7" s="112" customFormat="1" x14ac:dyDescent="0.25">
      <c r="B31" s="389"/>
      <c r="C31" s="390"/>
      <c r="D31" s="390"/>
      <c r="E31" s="390"/>
      <c r="F31" s="391"/>
      <c r="G31" s="124"/>
    </row>
    <row r="32" spans="2:7" s="112" customFormat="1" x14ac:dyDescent="0.25">
      <c r="B32" s="389"/>
      <c r="C32" s="390"/>
      <c r="D32" s="390"/>
      <c r="E32" s="390"/>
      <c r="F32" s="391"/>
      <c r="G32" s="124"/>
    </row>
    <row r="33" spans="2:7" s="112" customFormat="1" x14ac:dyDescent="0.25">
      <c r="B33" s="389"/>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186.75" customHeight="1" x14ac:dyDescent="0.25">
      <c r="B40" s="382" t="s">
        <v>418</v>
      </c>
      <c r="C40" s="383"/>
      <c r="D40" s="383"/>
      <c r="E40" s="383"/>
      <c r="F40" s="384"/>
      <c r="G40" s="13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249</v>
      </c>
      <c r="C43" s="388"/>
      <c r="D43" s="388"/>
      <c r="E43" s="388"/>
      <c r="F43" s="388"/>
      <c r="G43" s="123"/>
    </row>
    <row r="44" spans="2:7" s="112" customFormat="1" x14ac:dyDescent="0.25">
      <c r="B44" s="127" t="s">
        <v>250</v>
      </c>
      <c r="C44" s="388"/>
      <c r="D44" s="388"/>
      <c r="E44" s="388"/>
      <c r="F44" s="388"/>
      <c r="G44" s="123"/>
    </row>
    <row r="45" spans="2:7" s="112" customFormat="1" ht="31.5" x14ac:dyDescent="0.25">
      <c r="B45" s="135" t="s">
        <v>297</v>
      </c>
      <c r="C45" s="392"/>
      <c r="D45" s="383"/>
      <c r="E45" s="383"/>
      <c r="F45" s="384"/>
      <c r="G45" s="122"/>
    </row>
    <row r="46" spans="2:7" s="112" customFormat="1" x14ac:dyDescent="0.25">
      <c r="B46" s="127"/>
      <c r="C46" s="388"/>
      <c r="D46" s="388"/>
      <c r="E46" s="388"/>
      <c r="F46" s="388"/>
      <c r="G46" s="123"/>
    </row>
    <row r="47" spans="2:7" s="112" customFormat="1" x14ac:dyDescent="0.25">
      <c r="B47" s="127"/>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82" t="s">
        <v>844</v>
      </c>
      <c r="C50" s="393"/>
      <c r="D50" s="393"/>
      <c r="E50" s="393"/>
      <c r="F50" s="394"/>
      <c r="G50" s="126"/>
    </row>
    <row r="51" spans="2:7" s="112" customFormat="1" x14ac:dyDescent="0.25"/>
    <row r="52" spans="2:7" s="112" customFormat="1" x14ac:dyDescent="0.25">
      <c r="B52" s="379" t="s">
        <v>107</v>
      </c>
      <c r="C52" s="380"/>
      <c r="D52" s="380"/>
      <c r="E52" s="380"/>
      <c r="F52" s="381"/>
      <c r="G52" s="121"/>
    </row>
    <row r="53" spans="2:7" s="112" customFormat="1" ht="82.5" customHeight="1" x14ac:dyDescent="0.25">
      <c r="B53" s="382" t="s">
        <v>298</v>
      </c>
      <c r="C53" s="383"/>
      <c r="D53" s="383"/>
      <c r="E53" s="383"/>
      <c r="F53" s="384"/>
      <c r="G53" s="126"/>
    </row>
    <row r="54" spans="2:7" s="112" customFormat="1" x14ac:dyDescent="0.25"/>
    <row r="55" spans="2:7" s="112" customFormat="1" x14ac:dyDescent="0.25">
      <c r="B55" s="379" t="s">
        <v>108</v>
      </c>
      <c r="C55" s="380"/>
      <c r="D55" s="380"/>
      <c r="E55" s="380"/>
      <c r="F55" s="381"/>
      <c r="G55" s="121"/>
    </row>
    <row r="56" spans="2:7" ht="80.45" customHeight="1" x14ac:dyDescent="0.25">
      <c r="B56" s="385"/>
      <c r="C56" s="386"/>
      <c r="D56" s="386"/>
      <c r="E56" s="386"/>
      <c r="F56" s="387"/>
      <c r="G56" s="126"/>
    </row>
    <row r="1048541" spans="8:9" x14ac:dyDescent="0.25">
      <c r="H1048541" s="121"/>
      <c r="I1048541" s="121"/>
    </row>
  </sheetData>
  <mergeCells count="42">
    <mergeCell ref="C10:F10"/>
    <mergeCell ref="B2:I2"/>
    <mergeCell ref="C6:F6"/>
    <mergeCell ref="C7:F7"/>
    <mergeCell ref="C8:F8"/>
    <mergeCell ref="C9:F9"/>
    <mergeCell ref="C11:F11"/>
    <mergeCell ref="B13:F13"/>
    <mergeCell ref="B14:C14"/>
    <mergeCell ref="D14:F14"/>
    <mergeCell ref="B15:C15"/>
    <mergeCell ref="D15:F15"/>
    <mergeCell ref="B33:F33"/>
    <mergeCell ref="B20:F20"/>
    <mergeCell ref="B21:F21"/>
    <mergeCell ref="B22:F22"/>
    <mergeCell ref="B23:F23"/>
    <mergeCell ref="B25:F25"/>
    <mergeCell ref="B26:F26"/>
    <mergeCell ref="B28:F28"/>
    <mergeCell ref="B29:F29"/>
    <mergeCell ref="B30:F30"/>
    <mergeCell ref="B31:F31"/>
    <mergeCell ref="B32:F32"/>
    <mergeCell ref="C47:F47"/>
    <mergeCell ref="B34:F34"/>
    <mergeCell ref="B35:F35"/>
    <mergeCell ref="B36:F36"/>
    <mergeCell ref="B37:F37"/>
    <mergeCell ref="B39:F39"/>
    <mergeCell ref="B40:F40"/>
    <mergeCell ref="B42:F42"/>
    <mergeCell ref="C43:F43"/>
    <mergeCell ref="C44:F44"/>
    <mergeCell ref="C45:F45"/>
    <mergeCell ref="C46:F46"/>
    <mergeCell ref="B52:F52"/>
    <mergeCell ref="B53:F53"/>
    <mergeCell ref="B55:F55"/>
    <mergeCell ref="B56:F56"/>
    <mergeCell ref="B49:F49"/>
    <mergeCell ref="B50:F50"/>
  </mergeCells>
  <dataValidations count="1">
    <dataValidation type="list" allowBlank="1" showInputMessage="1" showErrorMessage="1" sqref="C6">
      <formula1>"Mise à jour à partir du plan d'études, Nouvelle création"</formula1>
    </dataValidation>
  </dataValidations>
  <hyperlinks>
    <hyperlink ref="B1" r:id="rId1" location="'Schéma d''enseignement'!A1"/>
  </hyperlinks>
  <pageMargins left="0.7" right="0.7" top="0.74545454545454548" bottom="0.75" header="0.3" footer="0.3"/>
  <pageSetup paperSize="9" scale="88" orientation="portrait" horizontalDpi="300" verticalDpi="300" r:id="rId2"/>
  <rowBreaks count="1" manualBreakCount="1">
    <brk id="24"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FF8080"/>
  </sheetPr>
  <dimension ref="A1:E59"/>
  <sheetViews>
    <sheetView zoomScaleNormal="100" workbookViewId="0"/>
  </sheetViews>
  <sheetFormatPr baseColWidth="10" defaultColWidth="9.140625" defaultRowHeight="15" x14ac:dyDescent="0.25"/>
  <cols>
    <col min="1" max="1" width="24.5703125" style="1" customWidth="1"/>
    <col min="2" max="2" width="19.42578125" style="1" customWidth="1"/>
    <col min="3" max="3" width="12.85546875" style="1" customWidth="1"/>
    <col min="4" max="4" width="13.140625" style="1" customWidth="1"/>
    <col min="5" max="5" width="39.42578125" style="1" customWidth="1"/>
    <col min="6" max="256" width="8.85546875" style="1"/>
    <col min="257" max="257" width="24.5703125" style="1" customWidth="1"/>
    <col min="258" max="258" width="19.42578125" style="1" customWidth="1"/>
    <col min="259" max="259" width="12.85546875" style="1" customWidth="1"/>
    <col min="260" max="260" width="13.140625" style="1" customWidth="1"/>
    <col min="261" max="261" width="39.42578125" style="1" customWidth="1"/>
    <col min="262" max="512" width="8.85546875" style="1"/>
    <col min="513" max="513" width="24.5703125" style="1" customWidth="1"/>
    <col min="514" max="514" width="19.42578125" style="1" customWidth="1"/>
    <col min="515" max="515" width="12.85546875" style="1" customWidth="1"/>
    <col min="516" max="516" width="13.140625" style="1" customWidth="1"/>
    <col min="517" max="517" width="39.42578125" style="1" customWidth="1"/>
    <col min="518" max="768" width="8.85546875" style="1"/>
    <col min="769" max="769" width="24.5703125" style="1" customWidth="1"/>
    <col min="770" max="770" width="19.42578125" style="1" customWidth="1"/>
    <col min="771" max="771" width="12.85546875" style="1" customWidth="1"/>
    <col min="772" max="772" width="13.140625" style="1" customWidth="1"/>
    <col min="773" max="773" width="39.42578125" style="1" customWidth="1"/>
    <col min="774" max="1024" width="8.85546875" style="1"/>
    <col min="1025" max="1025" width="24.5703125" style="1" customWidth="1"/>
    <col min="1026" max="1026" width="19.42578125" style="1" customWidth="1"/>
    <col min="1027" max="1027" width="12.85546875" style="1" customWidth="1"/>
    <col min="1028" max="1028" width="13.140625" style="1" customWidth="1"/>
    <col min="1029" max="1029" width="39.42578125" style="1" customWidth="1"/>
    <col min="1030" max="1280" width="8.85546875" style="1"/>
    <col min="1281" max="1281" width="24.5703125" style="1" customWidth="1"/>
    <col min="1282" max="1282" width="19.42578125" style="1" customWidth="1"/>
    <col min="1283" max="1283" width="12.85546875" style="1" customWidth="1"/>
    <col min="1284" max="1284" width="13.140625" style="1" customWidth="1"/>
    <col min="1285" max="1285" width="39.42578125" style="1" customWidth="1"/>
    <col min="1286" max="1536" width="8.85546875" style="1"/>
    <col min="1537" max="1537" width="24.5703125" style="1" customWidth="1"/>
    <col min="1538" max="1538" width="19.42578125" style="1" customWidth="1"/>
    <col min="1539" max="1539" width="12.85546875" style="1" customWidth="1"/>
    <col min="1540" max="1540" width="13.140625" style="1" customWidth="1"/>
    <col min="1541" max="1541" width="39.42578125" style="1" customWidth="1"/>
    <col min="1542" max="1792" width="8.85546875" style="1"/>
    <col min="1793" max="1793" width="24.5703125" style="1" customWidth="1"/>
    <col min="1794" max="1794" width="19.42578125" style="1" customWidth="1"/>
    <col min="1795" max="1795" width="12.85546875" style="1" customWidth="1"/>
    <col min="1796" max="1796" width="13.140625" style="1" customWidth="1"/>
    <col min="1797" max="1797" width="39.42578125" style="1" customWidth="1"/>
    <col min="1798" max="2048" width="8.85546875" style="1"/>
    <col min="2049" max="2049" width="24.5703125" style="1" customWidth="1"/>
    <col min="2050" max="2050" width="19.42578125" style="1" customWidth="1"/>
    <col min="2051" max="2051" width="12.85546875" style="1" customWidth="1"/>
    <col min="2052" max="2052" width="13.140625" style="1" customWidth="1"/>
    <col min="2053" max="2053" width="39.42578125" style="1" customWidth="1"/>
    <col min="2054" max="2304" width="8.85546875" style="1"/>
    <col min="2305" max="2305" width="24.5703125" style="1" customWidth="1"/>
    <col min="2306" max="2306" width="19.42578125" style="1" customWidth="1"/>
    <col min="2307" max="2307" width="12.85546875" style="1" customWidth="1"/>
    <col min="2308" max="2308" width="13.140625" style="1" customWidth="1"/>
    <col min="2309" max="2309" width="39.42578125" style="1" customWidth="1"/>
    <col min="2310" max="2560" width="8.85546875" style="1"/>
    <col min="2561" max="2561" width="24.5703125" style="1" customWidth="1"/>
    <col min="2562" max="2562" width="19.42578125" style="1" customWidth="1"/>
    <col min="2563" max="2563" width="12.85546875" style="1" customWidth="1"/>
    <col min="2564" max="2564" width="13.140625" style="1" customWidth="1"/>
    <col min="2565" max="2565" width="39.42578125" style="1" customWidth="1"/>
    <col min="2566" max="2816" width="8.85546875" style="1"/>
    <col min="2817" max="2817" width="24.5703125" style="1" customWidth="1"/>
    <col min="2818" max="2818" width="19.42578125" style="1" customWidth="1"/>
    <col min="2819" max="2819" width="12.85546875" style="1" customWidth="1"/>
    <col min="2820" max="2820" width="13.140625" style="1" customWidth="1"/>
    <col min="2821" max="2821" width="39.42578125" style="1" customWidth="1"/>
    <col min="2822" max="3072" width="8.85546875" style="1"/>
    <col min="3073" max="3073" width="24.5703125" style="1" customWidth="1"/>
    <col min="3074" max="3074" width="19.42578125" style="1" customWidth="1"/>
    <col min="3075" max="3075" width="12.85546875" style="1" customWidth="1"/>
    <col min="3076" max="3076" width="13.140625" style="1" customWidth="1"/>
    <col min="3077" max="3077" width="39.42578125" style="1" customWidth="1"/>
    <col min="3078" max="3328" width="8.85546875" style="1"/>
    <col min="3329" max="3329" width="24.5703125" style="1" customWidth="1"/>
    <col min="3330" max="3330" width="19.42578125" style="1" customWidth="1"/>
    <col min="3331" max="3331" width="12.85546875" style="1" customWidth="1"/>
    <col min="3332" max="3332" width="13.140625" style="1" customWidth="1"/>
    <col min="3333" max="3333" width="39.42578125" style="1" customWidth="1"/>
    <col min="3334" max="3584" width="8.85546875" style="1"/>
    <col min="3585" max="3585" width="24.5703125" style="1" customWidth="1"/>
    <col min="3586" max="3586" width="19.42578125" style="1" customWidth="1"/>
    <col min="3587" max="3587" width="12.85546875" style="1" customWidth="1"/>
    <col min="3588" max="3588" width="13.140625" style="1" customWidth="1"/>
    <col min="3589" max="3589" width="39.42578125" style="1" customWidth="1"/>
    <col min="3590" max="3840" width="8.85546875" style="1"/>
    <col min="3841" max="3841" width="24.5703125" style="1" customWidth="1"/>
    <col min="3842" max="3842" width="19.42578125" style="1" customWidth="1"/>
    <col min="3843" max="3843" width="12.85546875" style="1" customWidth="1"/>
    <col min="3844" max="3844" width="13.140625" style="1" customWidth="1"/>
    <col min="3845" max="3845" width="39.42578125" style="1" customWidth="1"/>
    <col min="3846" max="4096" width="8.85546875" style="1"/>
    <col min="4097" max="4097" width="24.5703125" style="1" customWidth="1"/>
    <col min="4098" max="4098" width="19.42578125" style="1" customWidth="1"/>
    <col min="4099" max="4099" width="12.85546875" style="1" customWidth="1"/>
    <col min="4100" max="4100" width="13.140625" style="1" customWidth="1"/>
    <col min="4101" max="4101" width="39.42578125" style="1" customWidth="1"/>
    <col min="4102" max="4352" width="8.85546875" style="1"/>
    <col min="4353" max="4353" width="24.5703125" style="1" customWidth="1"/>
    <col min="4354" max="4354" width="19.42578125" style="1" customWidth="1"/>
    <col min="4355" max="4355" width="12.85546875" style="1" customWidth="1"/>
    <col min="4356" max="4356" width="13.140625" style="1" customWidth="1"/>
    <col min="4357" max="4357" width="39.42578125" style="1" customWidth="1"/>
    <col min="4358" max="4608" width="8.85546875" style="1"/>
    <col min="4609" max="4609" width="24.5703125" style="1" customWidth="1"/>
    <col min="4610" max="4610" width="19.42578125" style="1" customWidth="1"/>
    <col min="4611" max="4611" width="12.85546875" style="1" customWidth="1"/>
    <col min="4612" max="4612" width="13.140625" style="1" customWidth="1"/>
    <col min="4613" max="4613" width="39.42578125" style="1" customWidth="1"/>
    <col min="4614" max="4864" width="8.85546875" style="1"/>
    <col min="4865" max="4865" width="24.5703125" style="1" customWidth="1"/>
    <col min="4866" max="4866" width="19.42578125" style="1" customWidth="1"/>
    <col min="4867" max="4867" width="12.85546875" style="1" customWidth="1"/>
    <col min="4868" max="4868" width="13.140625" style="1" customWidth="1"/>
    <col min="4869" max="4869" width="39.42578125" style="1" customWidth="1"/>
    <col min="4870" max="5120" width="8.85546875" style="1"/>
    <col min="5121" max="5121" width="24.5703125" style="1" customWidth="1"/>
    <col min="5122" max="5122" width="19.42578125" style="1" customWidth="1"/>
    <col min="5123" max="5123" width="12.85546875" style="1" customWidth="1"/>
    <col min="5124" max="5124" width="13.140625" style="1" customWidth="1"/>
    <col min="5125" max="5125" width="39.42578125" style="1" customWidth="1"/>
    <col min="5126" max="5376" width="8.85546875" style="1"/>
    <col min="5377" max="5377" width="24.5703125" style="1" customWidth="1"/>
    <col min="5378" max="5378" width="19.42578125" style="1" customWidth="1"/>
    <col min="5379" max="5379" width="12.85546875" style="1" customWidth="1"/>
    <col min="5380" max="5380" width="13.140625" style="1" customWidth="1"/>
    <col min="5381" max="5381" width="39.42578125" style="1" customWidth="1"/>
    <col min="5382" max="5632" width="8.85546875" style="1"/>
    <col min="5633" max="5633" width="24.5703125" style="1" customWidth="1"/>
    <col min="5634" max="5634" width="19.42578125" style="1" customWidth="1"/>
    <col min="5635" max="5635" width="12.85546875" style="1" customWidth="1"/>
    <col min="5636" max="5636" width="13.140625" style="1" customWidth="1"/>
    <col min="5637" max="5637" width="39.42578125" style="1" customWidth="1"/>
    <col min="5638" max="5888" width="8.85546875" style="1"/>
    <col min="5889" max="5889" width="24.5703125" style="1" customWidth="1"/>
    <col min="5890" max="5890" width="19.42578125" style="1" customWidth="1"/>
    <col min="5891" max="5891" width="12.85546875" style="1" customWidth="1"/>
    <col min="5892" max="5892" width="13.140625" style="1" customWidth="1"/>
    <col min="5893" max="5893" width="39.42578125" style="1" customWidth="1"/>
    <col min="5894" max="6144" width="8.85546875" style="1"/>
    <col min="6145" max="6145" width="24.5703125" style="1" customWidth="1"/>
    <col min="6146" max="6146" width="19.42578125" style="1" customWidth="1"/>
    <col min="6147" max="6147" width="12.85546875" style="1" customWidth="1"/>
    <col min="6148" max="6148" width="13.140625" style="1" customWidth="1"/>
    <col min="6149" max="6149" width="39.42578125" style="1" customWidth="1"/>
    <col min="6150" max="6400" width="8.85546875" style="1"/>
    <col min="6401" max="6401" width="24.5703125" style="1" customWidth="1"/>
    <col min="6402" max="6402" width="19.42578125" style="1" customWidth="1"/>
    <col min="6403" max="6403" width="12.85546875" style="1" customWidth="1"/>
    <col min="6404" max="6404" width="13.140625" style="1" customWidth="1"/>
    <col min="6405" max="6405" width="39.42578125" style="1" customWidth="1"/>
    <col min="6406" max="6656" width="8.85546875" style="1"/>
    <col min="6657" max="6657" width="24.5703125" style="1" customWidth="1"/>
    <col min="6658" max="6658" width="19.42578125" style="1" customWidth="1"/>
    <col min="6659" max="6659" width="12.85546875" style="1" customWidth="1"/>
    <col min="6660" max="6660" width="13.140625" style="1" customWidth="1"/>
    <col min="6661" max="6661" width="39.42578125" style="1" customWidth="1"/>
    <col min="6662" max="6912" width="8.85546875" style="1"/>
    <col min="6913" max="6913" width="24.5703125" style="1" customWidth="1"/>
    <col min="6914" max="6914" width="19.42578125" style="1" customWidth="1"/>
    <col min="6915" max="6915" width="12.85546875" style="1" customWidth="1"/>
    <col min="6916" max="6916" width="13.140625" style="1" customWidth="1"/>
    <col min="6917" max="6917" width="39.42578125" style="1" customWidth="1"/>
    <col min="6918" max="7168" width="8.85546875" style="1"/>
    <col min="7169" max="7169" width="24.5703125" style="1" customWidth="1"/>
    <col min="7170" max="7170" width="19.42578125" style="1" customWidth="1"/>
    <col min="7171" max="7171" width="12.85546875" style="1" customWidth="1"/>
    <col min="7172" max="7172" width="13.140625" style="1" customWidth="1"/>
    <col min="7173" max="7173" width="39.42578125" style="1" customWidth="1"/>
    <col min="7174" max="7424" width="8.85546875" style="1"/>
    <col min="7425" max="7425" width="24.5703125" style="1" customWidth="1"/>
    <col min="7426" max="7426" width="19.42578125" style="1" customWidth="1"/>
    <col min="7427" max="7427" width="12.85546875" style="1" customWidth="1"/>
    <col min="7428" max="7428" width="13.140625" style="1" customWidth="1"/>
    <col min="7429" max="7429" width="39.42578125" style="1" customWidth="1"/>
    <col min="7430" max="7680" width="8.85546875" style="1"/>
    <col min="7681" max="7681" width="24.5703125" style="1" customWidth="1"/>
    <col min="7682" max="7682" width="19.42578125" style="1" customWidth="1"/>
    <col min="7683" max="7683" width="12.85546875" style="1" customWidth="1"/>
    <col min="7684" max="7684" width="13.140625" style="1" customWidth="1"/>
    <col min="7685" max="7685" width="39.42578125" style="1" customWidth="1"/>
    <col min="7686" max="7936" width="8.85546875" style="1"/>
    <col min="7937" max="7937" width="24.5703125" style="1" customWidth="1"/>
    <col min="7938" max="7938" width="19.42578125" style="1" customWidth="1"/>
    <col min="7939" max="7939" width="12.85546875" style="1" customWidth="1"/>
    <col min="7940" max="7940" width="13.140625" style="1" customWidth="1"/>
    <col min="7941" max="7941" width="39.42578125" style="1" customWidth="1"/>
    <col min="7942" max="8192" width="8.85546875" style="1"/>
    <col min="8193" max="8193" width="24.5703125" style="1" customWidth="1"/>
    <col min="8194" max="8194" width="19.42578125" style="1" customWidth="1"/>
    <col min="8195" max="8195" width="12.85546875" style="1" customWidth="1"/>
    <col min="8196" max="8196" width="13.140625" style="1" customWidth="1"/>
    <col min="8197" max="8197" width="39.42578125" style="1" customWidth="1"/>
    <col min="8198" max="8448" width="8.85546875" style="1"/>
    <col min="8449" max="8449" width="24.5703125" style="1" customWidth="1"/>
    <col min="8450" max="8450" width="19.42578125" style="1" customWidth="1"/>
    <col min="8451" max="8451" width="12.85546875" style="1" customWidth="1"/>
    <col min="8452" max="8452" width="13.140625" style="1" customWidth="1"/>
    <col min="8453" max="8453" width="39.42578125" style="1" customWidth="1"/>
    <col min="8454" max="8704" width="8.85546875" style="1"/>
    <col min="8705" max="8705" width="24.5703125" style="1" customWidth="1"/>
    <col min="8706" max="8706" width="19.42578125" style="1" customWidth="1"/>
    <col min="8707" max="8707" width="12.85546875" style="1" customWidth="1"/>
    <col min="8708" max="8708" width="13.140625" style="1" customWidth="1"/>
    <col min="8709" max="8709" width="39.42578125" style="1" customWidth="1"/>
    <col min="8710" max="8960" width="8.85546875" style="1"/>
    <col min="8961" max="8961" width="24.5703125" style="1" customWidth="1"/>
    <col min="8962" max="8962" width="19.42578125" style="1" customWidth="1"/>
    <col min="8963" max="8963" width="12.85546875" style="1" customWidth="1"/>
    <col min="8964" max="8964" width="13.140625" style="1" customWidth="1"/>
    <col min="8965" max="8965" width="39.42578125" style="1" customWidth="1"/>
    <col min="8966" max="9216" width="8.85546875" style="1"/>
    <col min="9217" max="9217" width="24.5703125" style="1" customWidth="1"/>
    <col min="9218" max="9218" width="19.42578125" style="1" customWidth="1"/>
    <col min="9219" max="9219" width="12.85546875" style="1" customWidth="1"/>
    <col min="9220" max="9220" width="13.140625" style="1" customWidth="1"/>
    <col min="9221" max="9221" width="39.42578125" style="1" customWidth="1"/>
    <col min="9222" max="9472" width="8.85546875" style="1"/>
    <col min="9473" max="9473" width="24.5703125" style="1" customWidth="1"/>
    <col min="9474" max="9474" width="19.42578125" style="1" customWidth="1"/>
    <col min="9475" max="9475" width="12.85546875" style="1" customWidth="1"/>
    <col min="9476" max="9476" width="13.140625" style="1" customWidth="1"/>
    <col min="9477" max="9477" width="39.42578125" style="1" customWidth="1"/>
    <col min="9478" max="9728" width="8.85546875" style="1"/>
    <col min="9729" max="9729" width="24.5703125" style="1" customWidth="1"/>
    <col min="9730" max="9730" width="19.42578125" style="1" customWidth="1"/>
    <col min="9731" max="9731" width="12.85546875" style="1" customWidth="1"/>
    <col min="9732" max="9732" width="13.140625" style="1" customWidth="1"/>
    <col min="9733" max="9733" width="39.42578125" style="1" customWidth="1"/>
    <col min="9734" max="9984" width="8.85546875" style="1"/>
    <col min="9985" max="9985" width="24.5703125" style="1" customWidth="1"/>
    <col min="9986" max="9986" width="19.42578125" style="1" customWidth="1"/>
    <col min="9987" max="9987" width="12.85546875" style="1" customWidth="1"/>
    <col min="9988" max="9988" width="13.140625" style="1" customWidth="1"/>
    <col min="9989" max="9989" width="39.42578125" style="1" customWidth="1"/>
    <col min="9990" max="10240" width="8.85546875" style="1"/>
    <col min="10241" max="10241" width="24.5703125" style="1" customWidth="1"/>
    <col min="10242" max="10242" width="19.42578125" style="1" customWidth="1"/>
    <col min="10243" max="10243" width="12.85546875" style="1" customWidth="1"/>
    <col min="10244" max="10244" width="13.140625" style="1" customWidth="1"/>
    <col min="10245" max="10245" width="39.42578125" style="1" customWidth="1"/>
    <col min="10246" max="10496" width="8.85546875" style="1"/>
    <col min="10497" max="10497" width="24.5703125" style="1" customWidth="1"/>
    <col min="10498" max="10498" width="19.42578125" style="1" customWidth="1"/>
    <col min="10499" max="10499" width="12.85546875" style="1" customWidth="1"/>
    <col min="10500" max="10500" width="13.140625" style="1" customWidth="1"/>
    <col min="10501" max="10501" width="39.42578125" style="1" customWidth="1"/>
    <col min="10502" max="10752" width="8.85546875" style="1"/>
    <col min="10753" max="10753" width="24.5703125" style="1" customWidth="1"/>
    <col min="10754" max="10754" width="19.42578125" style="1" customWidth="1"/>
    <col min="10755" max="10755" width="12.85546875" style="1" customWidth="1"/>
    <col min="10756" max="10756" width="13.140625" style="1" customWidth="1"/>
    <col min="10757" max="10757" width="39.42578125" style="1" customWidth="1"/>
    <col min="10758" max="11008" width="8.85546875" style="1"/>
    <col min="11009" max="11009" width="24.5703125" style="1" customWidth="1"/>
    <col min="11010" max="11010" width="19.42578125" style="1" customWidth="1"/>
    <col min="11011" max="11011" width="12.85546875" style="1" customWidth="1"/>
    <col min="11012" max="11012" width="13.140625" style="1" customWidth="1"/>
    <col min="11013" max="11013" width="39.42578125" style="1" customWidth="1"/>
    <col min="11014" max="11264" width="8.85546875" style="1"/>
    <col min="11265" max="11265" width="24.5703125" style="1" customWidth="1"/>
    <col min="11266" max="11266" width="19.42578125" style="1" customWidth="1"/>
    <col min="11267" max="11267" width="12.85546875" style="1" customWidth="1"/>
    <col min="11268" max="11268" width="13.140625" style="1" customWidth="1"/>
    <col min="11269" max="11269" width="39.42578125" style="1" customWidth="1"/>
    <col min="11270" max="11520" width="8.85546875" style="1"/>
    <col min="11521" max="11521" width="24.5703125" style="1" customWidth="1"/>
    <col min="11522" max="11522" width="19.42578125" style="1" customWidth="1"/>
    <col min="11523" max="11523" width="12.85546875" style="1" customWidth="1"/>
    <col min="11524" max="11524" width="13.140625" style="1" customWidth="1"/>
    <col min="11525" max="11525" width="39.42578125" style="1" customWidth="1"/>
    <col min="11526" max="11776" width="8.85546875" style="1"/>
    <col min="11777" max="11777" width="24.5703125" style="1" customWidth="1"/>
    <col min="11778" max="11778" width="19.42578125" style="1" customWidth="1"/>
    <col min="11779" max="11779" width="12.85546875" style="1" customWidth="1"/>
    <col min="11780" max="11780" width="13.140625" style="1" customWidth="1"/>
    <col min="11781" max="11781" width="39.42578125" style="1" customWidth="1"/>
    <col min="11782" max="12032" width="8.85546875" style="1"/>
    <col min="12033" max="12033" width="24.5703125" style="1" customWidth="1"/>
    <col min="12034" max="12034" width="19.42578125" style="1" customWidth="1"/>
    <col min="12035" max="12035" width="12.85546875" style="1" customWidth="1"/>
    <col min="12036" max="12036" width="13.140625" style="1" customWidth="1"/>
    <col min="12037" max="12037" width="39.42578125" style="1" customWidth="1"/>
    <col min="12038" max="12288" width="8.85546875" style="1"/>
    <col min="12289" max="12289" width="24.5703125" style="1" customWidth="1"/>
    <col min="12290" max="12290" width="19.42578125" style="1" customWidth="1"/>
    <col min="12291" max="12291" width="12.85546875" style="1" customWidth="1"/>
    <col min="12292" max="12292" width="13.140625" style="1" customWidth="1"/>
    <col min="12293" max="12293" width="39.42578125" style="1" customWidth="1"/>
    <col min="12294" max="12544" width="8.85546875" style="1"/>
    <col min="12545" max="12545" width="24.5703125" style="1" customWidth="1"/>
    <col min="12546" max="12546" width="19.42578125" style="1" customWidth="1"/>
    <col min="12547" max="12547" width="12.85546875" style="1" customWidth="1"/>
    <col min="12548" max="12548" width="13.140625" style="1" customWidth="1"/>
    <col min="12549" max="12549" width="39.42578125" style="1" customWidth="1"/>
    <col min="12550" max="12800" width="8.85546875" style="1"/>
    <col min="12801" max="12801" width="24.5703125" style="1" customWidth="1"/>
    <col min="12802" max="12802" width="19.42578125" style="1" customWidth="1"/>
    <col min="12803" max="12803" width="12.85546875" style="1" customWidth="1"/>
    <col min="12804" max="12804" width="13.140625" style="1" customWidth="1"/>
    <col min="12805" max="12805" width="39.42578125" style="1" customWidth="1"/>
    <col min="12806" max="13056" width="8.85546875" style="1"/>
    <col min="13057" max="13057" width="24.5703125" style="1" customWidth="1"/>
    <col min="13058" max="13058" width="19.42578125" style="1" customWidth="1"/>
    <col min="13059" max="13059" width="12.85546875" style="1" customWidth="1"/>
    <col min="13060" max="13060" width="13.140625" style="1" customWidth="1"/>
    <col min="13061" max="13061" width="39.42578125" style="1" customWidth="1"/>
    <col min="13062" max="13312" width="8.85546875" style="1"/>
    <col min="13313" max="13313" width="24.5703125" style="1" customWidth="1"/>
    <col min="13314" max="13314" width="19.42578125" style="1" customWidth="1"/>
    <col min="13315" max="13315" width="12.85546875" style="1" customWidth="1"/>
    <col min="13316" max="13316" width="13.140625" style="1" customWidth="1"/>
    <col min="13317" max="13317" width="39.42578125" style="1" customWidth="1"/>
    <col min="13318" max="13568" width="8.85546875" style="1"/>
    <col min="13569" max="13569" width="24.5703125" style="1" customWidth="1"/>
    <col min="13570" max="13570" width="19.42578125" style="1" customWidth="1"/>
    <col min="13571" max="13571" width="12.85546875" style="1" customWidth="1"/>
    <col min="13572" max="13572" width="13.140625" style="1" customWidth="1"/>
    <col min="13573" max="13573" width="39.42578125" style="1" customWidth="1"/>
    <col min="13574" max="13824" width="8.85546875" style="1"/>
    <col min="13825" max="13825" width="24.5703125" style="1" customWidth="1"/>
    <col min="13826" max="13826" width="19.42578125" style="1" customWidth="1"/>
    <col min="13827" max="13827" width="12.85546875" style="1" customWidth="1"/>
    <col min="13828" max="13828" width="13.140625" style="1" customWidth="1"/>
    <col min="13829" max="13829" width="39.42578125" style="1" customWidth="1"/>
    <col min="13830" max="14080" width="8.85546875" style="1"/>
    <col min="14081" max="14081" width="24.5703125" style="1" customWidth="1"/>
    <col min="14082" max="14082" width="19.42578125" style="1" customWidth="1"/>
    <col min="14083" max="14083" width="12.85546875" style="1" customWidth="1"/>
    <col min="14084" max="14084" width="13.140625" style="1" customWidth="1"/>
    <col min="14085" max="14085" width="39.42578125" style="1" customWidth="1"/>
    <col min="14086" max="14336" width="8.85546875" style="1"/>
    <col min="14337" max="14337" width="24.5703125" style="1" customWidth="1"/>
    <col min="14338" max="14338" width="19.42578125" style="1" customWidth="1"/>
    <col min="14339" max="14339" width="12.85546875" style="1" customWidth="1"/>
    <col min="14340" max="14340" width="13.140625" style="1" customWidth="1"/>
    <col min="14341" max="14341" width="39.42578125" style="1" customWidth="1"/>
    <col min="14342" max="14592" width="8.85546875" style="1"/>
    <col min="14593" max="14593" width="24.5703125" style="1" customWidth="1"/>
    <col min="14594" max="14594" width="19.42578125" style="1" customWidth="1"/>
    <col min="14595" max="14595" width="12.85546875" style="1" customWidth="1"/>
    <col min="14596" max="14596" width="13.140625" style="1" customWidth="1"/>
    <col min="14597" max="14597" width="39.42578125" style="1" customWidth="1"/>
    <col min="14598" max="14848" width="8.85546875" style="1"/>
    <col min="14849" max="14849" width="24.5703125" style="1" customWidth="1"/>
    <col min="14850" max="14850" width="19.42578125" style="1" customWidth="1"/>
    <col min="14851" max="14851" width="12.85546875" style="1" customWidth="1"/>
    <col min="14852" max="14852" width="13.140625" style="1" customWidth="1"/>
    <col min="14853" max="14853" width="39.42578125" style="1" customWidth="1"/>
    <col min="14854" max="15104" width="8.85546875" style="1"/>
    <col min="15105" max="15105" width="24.5703125" style="1" customWidth="1"/>
    <col min="15106" max="15106" width="19.42578125" style="1" customWidth="1"/>
    <col min="15107" max="15107" width="12.85546875" style="1" customWidth="1"/>
    <col min="15108" max="15108" width="13.140625" style="1" customWidth="1"/>
    <col min="15109" max="15109" width="39.42578125" style="1" customWidth="1"/>
    <col min="15110" max="15360" width="8.85546875" style="1"/>
    <col min="15361" max="15361" width="24.5703125" style="1" customWidth="1"/>
    <col min="15362" max="15362" width="19.42578125" style="1" customWidth="1"/>
    <col min="15363" max="15363" width="12.85546875" style="1" customWidth="1"/>
    <col min="15364" max="15364" width="13.140625" style="1" customWidth="1"/>
    <col min="15365" max="15365" width="39.42578125" style="1" customWidth="1"/>
    <col min="15366" max="15616" width="8.85546875" style="1"/>
    <col min="15617" max="15617" width="24.5703125" style="1" customWidth="1"/>
    <col min="15618" max="15618" width="19.42578125" style="1" customWidth="1"/>
    <col min="15619" max="15619" width="12.85546875" style="1" customWidth="1"/>
    <col min="15620" max="15620" width="13.140625" style="1" customWidth="1"/>
    <col min="15621" max="15621" width="39.42578125" style="1" customWidth="1"/>
    <col min="15622" max="15872" width="8.85546875" style="1"/>
    <col min="15873" max="15873" width="24.5703125" style="1" customWidth="1"/>
    <col min="15874" max="15874" width="19.42578125" style="1" customWidth="1"/>
    <col min="15875" max="15875" width="12.85546875" style="1" customWidth="1"/>
    <col min="15876" max="15876" width="13.140625" style="1" customWidth="1"/>
    <col min="15877" max="15877" width="39.42578125" style="1" customWidth="1"/>
    <col min="15878" max="16128" width="8.85546875" style="1"/>
    <col min="16129" max="16129" width="24.5703125" style="1" customWidth="1"/>
    <col min="16130" max="16130" width="19.42578125" style="1" customWidth="1"/>
    <col min="16131" max="16131" width="12.85546875" style="1" customWidth="1"/>
    <col min="16132" max="16132" width="13.140625" style="1" customWidth="1"/>
    <col min="16133" max="16133" width="39.42578125" style="1" customWidth="1"/>
    <col min="16134" max="16384" width="8.85546875" style="1"/>
  </cols>
  <sheetData>
    <row r="1" spans="1:5" x14ac:dyDescent="0.25">
      <c r="A1" s="309" t="s">
        <v>857</v>
      </c>
    </row>
    <row r="2" spans="1:5" ht="15.75" x14ac:dyDescent="0.25">
      <c r="A2" s="109" t="s">
        <v>86</v>
      </c>
      <c r="B2" s="110"/>
      <c r="C2" s="110"/>
      <c r="D2" s="110"/>
      <c r="E2" s="110"/>
    </row>
    <row r="3" spans="1:5" ht="15.75" x14ac:dyDescent="0.25">
      <c r="A3" s="112"/>
      <c r="B3" s="112"/>
      <c r="C3" s="112"/>
      <c r="D3" s="112"/>
      <c r="E3" s="112"/>
    </row>
    <row r="4" spans="1:5" ht="15.75" x14ac:dyDescent="0.25">
      <c r="A4" s="113" t="s">
        <v>87</v>
      </c>
      <c r="B4" s="395" t="s">
        <v>465</v>
      </c>
      <c r="C4" s="395"/>
      <c r="D4" s="395"/>
      <c r="E4" s="395"/>
    </row>
    <row r="5" spans="1:5" ht="15" customHeight="1" x14ac:dyDescent="0.25">
      <c r="A5" s="115" t="s">
        <v>88</v>
      </c>
      <c r="B5" s="404" t="s">
        <v>466</v>
      </c>
      <c r="C5" s="404"/>
      <c r="D5" s="404"/>
      <c r="E5" s="404"/>
    </row>
    <row r="6" spans="1:5" ht="15.75" x14ac:dyDescent="0.25">
      <c r="A6" s="113" t="s">
        <v>89</v>
      </c>
      <c r="B6" s="395" t="s">
        <v>467</v>
      </c>
      <c r="C6" s="395"/>
      <c r="D6" s="395"/>
      <c r="E6" s="395"/>
    </row>
    <row r="7" spans="1:5" ht="15.75" x14ac:dyDescent="0.25">
      <c r="A7" s="113" t="s">
        <v>90</v>
      </c>
      <c r="B7" s="395" t="s">
        <v>468</v>
      </c>
      <c r="C7" s="395"/>
      <c r="D7" s="395"/>
      <c r="E7" s="395"/>
    </row>
    <row r="8" spans="1:5" ht="15.75" x14ac:dyDescent="0.25">
      <c r="A8" s="113" t="s">
        <v>225</v>
      </c>
      <c r="B8" s="395" t="s">
        <v>469</v>
      </c>
      <c r="C8" s="395"/>
      <c r="D8" s="395"/>
      <c r="E8" s="395"/>
    </row>
    <row r="9" spans="1:5" ht="15.75" x14ac:dyDescent="0.25">
      <c r="A9" s="113" t="s">
        <v>91</v>
      </c>
      <c r="B9" s="395">
        <v>4</v>
      </c>
      <c r="C9" s="395"/>
      <c r="D9" s="395"/>
      <c r="E9" s="395"/>
    </row>
    <row r="10" spans="1:5" ht="15.75" x14ac:dyDescent="0.25">
      <c r="A10" s="112"/>
      <c r="B10" s="112"/>
      <c r="C10" s="112"/>
      <c r="D10" s="112"/>
      <c r="E10" s="112"/>
    </row>
    <row r="11" spans="1:5" ht="15.75" x14ac:dyDescent="0.25">
      <c r="A11" s="396" t="s">
        <v>92</v>
      </c>
      <c r="B11" s="396"/>
      <c r="C11" s="396"/>
      <c r="D11" s="396"/>
      <c r="E11" s="396"/>
    </row>
    <row r="12" spans="1:5" ht="15.75" x14ac:dyDescent="0.25">
      <c r="A12" s="397" t="s">
        <v>93</v>
      </c>
      <c r="B12" s="398"/>
      <c r="C12" s="396" t="s">
        <v>94</v>
      </c>
      <c r="D12" s="396"/>
      <c r="E12" s="396"/>
    </row>
    <row r="13" spans="1:5" ht="15.75" x14ac:dyDescent="0.25">
      <c r="A13" s="399"/>
      <c r="B13" s="400"/>
      <c r="C13" s="395" t="s">
        <v>465</v>
      </c>
      <c r="D13" s="395"/>
      <c r="E13" s="395"/>
    </row>
    <row r="14" spans="1:5" ht="15.75" x14ac:dyDescent="0.25">
      <c r="A14" s="112"/>
      <c r="B14" s="112"/>
      <c r="C14" s="112"/>
      <c r="D14" s="112"/>
      <c r="E14" s="112"/>
    </row>
    <row r="15" spans="1:5" ht="15.75" x14ac:dyDescent="0.25">
      <c r="A15" s="118" t="s">
        <v>95</v>
      </c>
      <c r="B15" s="118" t="s">
        <v>96</v>
      </c>
      <c r="C15" s="118" t="s">
        <v>97</v>
      </c>
      <c r="D15" s="118" t="s">
        <v>98</v>
      </c>
      <c r="E15" s="118" t="s">
        <v>99</v>
      </c>
    </row>
    <row r="16" spans="1:5" ht="31.5" x14ac:dyDescent="0.25">
      <c r="A16" s="119" t="s">
        <v>71</v>
      </c>
      <c r="B16" s="23">
        <v>42</v>
      </c>
      <c r="C16" s="23">
        <v>2</v>
      </c>
      <c r="D16" s="23">
        <v>2</v>
      </c>
      <c r="E16" s="23" t="s">
        <v>864</v>
      </c>
    </row>
    <row r="17" spans="1:5" ht="15.75" x14ac:dyDescent="0.25">
      <c r="A17" s="120"/>
      <c r="B17" s="116"/>
      <c r="C17" s="116"/>
      <c r="D17" s="116"/>
      <c r="E17" s="116"/>
    </row>
    <row r="18" spans="1:5" ht="15.75" x14ac:dyDescent="0.25">
      <c r="A18" s="379" t="s">
        <v>100</v>
      </c>
      <c r="B18" s="380"/>
      <c r="C18" s="380"/>
      <c r="D18" s="380"/>
      <c r="E18" s="381"/>
    </row>
    <row r="19" spans="1:5" x14ac:dyDescent="0.25">
      <c r="A19" s="426" t="s">
        <v>503</v>
      </c>
      <c r="B19" s="427"/>
      <c r="C19" s="427"/>
      <c r="D19" s="427"/>
      <c r="E19" s="428"/>
    </row>
    <row r="20" spans="1:5" x14ac:dyDescent="0.25">
      <c r="A20" s="429"/>
      <c r="B20" s="430"/>
      <c r="C20" s="430"/>
      <c r="D20" s="430"/>
      <c r="E20" s="431"/>
    </row>
    <row r="21" spans="1:5" ht="15.75" x14ac:dyDescent="0.25">
      <c r="A21" s="379" t="s">
        <v>101</v>
      </c>
      <c r="B21" s="380"/>
      <c r="C21" s="380"/>
      <c r="D21" s="380"/>
      <c r="E21" s="381"/>
    </row>
    <row r="22" spans="1:5" ht="15.75" x14ac:dyDescent="0.25">
      <c r="A22" s="140"/>
      <c r="B22" s="141"/>
      <c r="C22" s="141"/>
      <c r="D22" s="141"/>
      <c r="E22" s="142"/>
    </row>
    <row r="23" spans="1:5" x14ac:dyDescent="0.25">
      <c r="A23" s="432" t="s">
        <v>504</v>
      </c>
      <c r="B23" s="433"/>
      <c r="C23" s="433"/>
      <c r="D23" s="433"/>
      <c r="E23" s="434"/>
    </row>
    <row r="24" spans="1:5" x14ac:dyDescent="0.25">
      <c r="A24" s="435"/>
      <c r="B24" s="436"/>
      <c r="C24" s="436"/>
      <c r="D24" s="436"/>
      <c r="E24" s="437"/>
    </row>
    <row r="25" spans="1:5" x14ac:dyDescent="0.25">
      <c r="A25" s="435"/>
      <c r="B25" s="436"/>
      <c r="C25" s="436"/>
      <c r="D25" s="436"/>
      <c r="E25" s="437"/>
    </row>
    <row r="26" spans="1:5" ht="69.95" customHeight="1" x14ac:dyDescent="0.25">
      <c r="A26" s="438"/>
      <c r="B26" s="439"/>
      <c r="C26" s="439"/>
      <c r="D26" s="439"/>
      <c r="E26" s="440"/>
    </row>
    <row r="27" spans="1:5" ht="15.75" x14ac:dyDescent="0.25">
      <c r="A27" s="379" t="s">
        <v>102</v>
      </c>
      <c r="B27" s="380"/>
      <c r="C27" s="380"/>
      <c r="D27" s="380"/>
      <c r="E27" s="381"/>
    </row>
    <row r="28" spans="1:5" ht="29.1" customHeight="1" x14ac:dyDescent="0.25">
      <c r="A28" s="382" t="s">
        <v>505</v>
      </c>
      <c r="B28" s="441"/>
      <c r="C28" s="441"/>
      <c r="D28" s="441"/>
      <c r="E28" s="442"/>
    </row>
    <row r="29" spans="1:5" ht="15.75" x14ac:dyDescent="0.25">
      <c r="A29" s="112"/>
      <c r="B29" s="112"/>
      <c r="C29" s="112"/>
      <c r="D29" s="112"/>
      <c r="E29" s="112"/>
    </row>
    <row r="30" spans="1:5" ht="15.75" x14ac:dyDescent="0.25">
      <c r="A30" s="379" t="s">
        <v>103</v>
      </c>
      <c r="B30" s="380"/>
      <c r="C30" s="380"/>
      <c r="D30" s="380"/>
      <c r="E30" s="381"/>
    </row>
    <row r="31" spans="1:5" ht="15.75" x14ac:dyDescent="0.25">
      <c r="A31" s="423" t="s">
        <v>506</v>
      </c>
      <c r="B31" s="424"/>
      <c r="C31" s="424"/>
      <c r="D31" s="424"/>
      <c r="E31" s="425"/>
    </row>
    <row r="32" spans="1:5" ht="15.75" x14ac:dyDescent="0.25">
      <c r="A32" s="423" t="s">
        <v>507</v>
      </c>
      <c r="B32" s="424"/>
      <c r="C32" s="424"/>
      <c r="D32" s="424"/>
      <c r="E32" s="425"/>
    </row>
    <row r="33" spans="1:5" ht="15.75" x14ac:dyDescent="0.25">
      <c r="A33" s="423" t="s">
        <v>508</v>
      </c>
      <c r="B33" s="424"/>
      <c r="C33" s="424"/>
      <c r="D33" s="424"/>
      <c r="E33" s="425"/>
    </row>
    <row r="34" spans="1:5" ht="15.75" x14ac:dyDescent="0.25">
      <c r="A34" s="423" t="s">
        <v>509</v>
      </c>
      <c r="B34" s="424"/>
      <c r="C34" s="424"/>
      <c r="D34" s="424"/>
      <c r="E34" s="425"/>
    </row>
    <row r="35" spans="1:5" ht="15.75" x14ac:dyDescent="0.25">
      <c r="A35" s="423" t="s">
        <v>510</v>
      </c>
      <c r="B35" s="424"/>
      <c r="C35" s="424"/>
      <c r="D35" s="424"/>
      <c r="E35" s="425"/>
    </row>
    <row r="36" spans="1:5" ht="15.75" x14ac:dyDescent="0.25">
      <c r="A36" s="423" t="s">
        <v>511</v>
      </c>
      <c r="B36" s="424"/>
      <c r="C36" s="424"/>
      <c r="D36" s="424"/>
      <c r="E36" s="425"/>
    </row>
    <row r="37" spans="1:5" ht="15.75" x14ac:dyDescent="0.25">
      <c r="A37" s="112"/>
      <c r="B37" s="112"/>
      <c r="C37" s="112"/>
      <c r="D37" s="112"/>
      <c r="E37" s="112"/>
    </row>
    <row r="38" spans="1:5" ht="15.75" x14ac:dyDescent="0.25">
      <c r="A38" s="379" t="s">
        <v>105</v>
      </c>
      <c r="B38" s="380"/>
      <c r="C38" s="380"/>
      <c r="D38" s="380"/>
      <c r="E38" s="381"/>
    </row>
    <row r="39" spans="1:5" ht="408.95" customHeight="1" x14ac:dyDescent="0.25">
      <c r="A39" s="420" t="s">
        <v>512</v>
      </c>
      <c r="B39" s="421"/>
      <c r="C39" s="421"/>
      <c r="D39" s="421"/>
      <c r="E39" s="422"/>
    </row>
    <row r="40" spans="1:5" ht="15.75" x14ac:dyDescent="0.25">
      <c r="A40" s="125"/>
      <c r="B40" s="126"/>
      <c r="C40" s="126"/>
      <c r="D40" s="126"/>
      <c r="E40" s="126"/>
    </row>
    <row r="41" spans="1:5" ht="15.75" x14ac:dyDescent="0.25">
      <c r="A41" s="379" t="s">
        <v>473</v>
      </c>
      <c r="B41" s="380"/>
      <c r="C41" s="380"/>
      <c r="D41" s="380"/>
      <c r="E41" s="381"/>
    </row>
    <row r="42" spans="1:5" ht="15.75" x14ac:dyDescent="0.25">
      <c r="A42" s="127" t="s">
        <v>478</v>
      </c>
      <c r="B42" s="388" t="s">
        <v>513</v>
      </c>
      <c r="C42" s="388"/>
      <c r="D42" s="388"/>
      <c r="E42" s="388"/>
    </row>
    <row r="43" spans="1:5" ht="15.75" x14ac:dyDescent="0.25">
      <c r="A43" s="127" t="s">
        <v>514</v>
      </c>
      <c r="B43" s="388" t="s">
        <v>515</v>
      </c>
      <c r="C43" s="388"/>
      <c r="D43" s="388"/>
      <c r="E43" s="388"/>
    </row>
    <row r="44" spans="1:5" ht="15.75" x14ac:dyDescent="0.25">
      <c r="A44" s="127" t="s">
        <v>516</v>
      </c>
      <c r="B44" s="392" t="s">
        <v>517</v>
      </c>
      <c r="C44" s="383"/>
      <c r="D44" s="383"/>
      <c r="E44" s="384"/>
    </row>
    <row r="45" spans="1:5" ht="15.75" x14ac:dyDescent="0.25">
      <c r="A45" s="112"/>
      <c r="B45" s="112"/>
      <c r="C45" s="112"/>
      <c r="D45" s="112"/>
      <c r="E45" s="112"/>
    </row>
    <row r="46" spans="1:5" ht="15.75" x14ac:dyDescent="0.25">
      <c r="A46" s="379" t="s">
        <v>106</v>
      </c>
      <c r="B46" s="380"/>
      <c r="C46" s="380"/>
      <c r="D46" s="380"/>
      <c r="E46" s="381"/>
    </row>
    <row r="47" spans="1:5" ht="15.75" x14ac:dyDescent="0.25">
      <c r="A47" s="392" t="s">
        <v>518</v>
      </c>
      <c r="B47" s="383"/>
      <c r="C47" s="383"/>
      <c r="D47" s="383"/>
      <c r="E47" s="384"/>
    </row>
    <row r="48" spans="1:5" ht="15.75" x14ac:dyDescent="0.25">
      <c r="A48" s="112"/>
      <c r="B48" s="112"/>
      <c r="C48" s="112"/>
      <c r="D48" s="112"/>
      <c r="E48" s="112"/>
    </row>
    <row r="49" spans="1:5" ht="15.75" x14ac:dyDescent="0.25">
      <c r="A49" s="379" t="s">
        <v>240</v>
      </c>
      <c r="B49" s="380"/>
      <c r="C49" s="380"/>
      <c r="D49" s="380"/>
      <c r="E49" s="381"/>
    </row>
    <row r="50" spans="1:5" ht="15.75" x14ac:dyDescent="0.25">
      <c r="A50" s="128" t="s">
        <v>241</v>
      </c>
      <c r="B50" s="128" t="s">
        <v>242</v>
      </c>
      <c r="C50" s="379" t="s">
        <v>243</v>
      </c>
      <c r="D50" s="380"/>
      <c r="E50" s="381"/>
    </row>
    <row r="51" spans="1:5" ht="15.75" x14ac:dyDescent="0.25">
      <c r="A51" s="144" t="s">
        <v>519</v>
      </c>
      <c r="B51" s="144"/>
      <c r="C51" s="392" t="s">
        <v>520</v>
      </c>
      <c r="D51" s="383"/>
      <c r="E51" s="384"/>
    </row>
    <row r="52" spans="1:5" ht="15.75" x14ac:dyDescent="0.25">
      <c r="A52" s="144" t="s">
        <v>521</v>
      </c>
      <c r="B52" s="144"/>
      <c r="C52" s="392" t="s">
        <v>522</v>
      </c>
      <c r="D52" s="383"/>
      <c r="E52" s="384"/>
    </row>
    <row r="53" spans="1:5" ht="15.75" x14ac:dyDescent="0.25">
      <c r="A53" s="131"/>
      <c r="B53" s="131"/>
      <c r="C53" s="405"/>
      <c r="D53" s="406"/>
      <c r="E53" s="407"/>
    </row>
    <row r="54" spans="1:5" ht="15.75" x14ac:dyDescent="0.25">
      <c r="A54" s="112"/>
      <c r="B54" s="112"/>
      <c r="C54" s="112"/>
      <c r="D54" s="112"/>
      <c r="E54" s="112"/>
    </row>
    <row r="55" spans="1:5" ht="15.75" x14ac:dyDescent="0.25">
      <c r="A55" s="379" t="s">
        <v>107</v>
      </c>
      <c r="B55" s="380"/>
      <c r="C55" s="380"/>
      <c r="D55" s="380"/>
      <c r="E55" s="381"/>
    </row>
    <row r="56" spans="1:5" ht="15.75" x14ac:dyDescent="0.25">
      <c r="A56" s="385"/>
      <c r="B56" s="386"/>
      <c r="C56" s="386"/>
      <c r="D56" s="386"/>
      <c r="E56" s="387"/>
    </row>
    <row r="57" spans="1:5" ht="15.75" x14ac:dyDescent="0.25">
      <c r="A57" s="112"/>
      <c r="B57" s="112"/>
      <c r="C57" s="112"/>
      <c r="D57" s="112"/>
      <c r="E57" s="112"/>
    </row>
    <row r="58" spans="1:5" ht="15.75" x14ac:dyDescent="0.25">
      <c r="A58" s="379" t="s">
        <v>108</v>
      </c>
      <c r="B58" s="380"/>
      <c r="C58" s="380"/>
      <c r="D58" s="380"/>
      <c r="E58" s="381"/>
    </row>
    <row r="59" spans="1:5" ht="15.75" x14ac:dyDescent="0.25">
      <c r="A59" s="385"/>
      <c r="B59" s="386"/>
      <c r="C59" s="386"/>
      <c r="D59" s="386"/>
      <c r="E59" s="387"/>
    </row>
  </sheetData>
  <mergeCells count="41">
    <mergeCell ref="A18:E18"/>
    <mergeCell ref="B4:E4"/>
    <mergeCell ref="B5:E5"/>
    <mergeCell ref="B6:E6"/>
    <mergeCell ref="B7:E7"/>
    <mergeCell ref="B8:E8"/>
    <mergeCell ref="B9:E9"/>
    <mergeCell ref="A11:E11"/>
    <mergeCell ref="A12:B12"/>
    <mergeCell ref="C12:E12"/>
    <mergeCell ref="A13:B13"/>
    <mergeCell ref="C13:E13"/>
    <mergeCell ref="A36:E36"/>
    <mergeCell ref="A19:E20"/>
    <mergeCell ref="A21:E21"/>
    <mergeCell ref="A23:E26"/>
    <mergeCell ref="A27:E27"/>
    <mergeCell ref="A28:E28"/>
    <mergeCell ref="A30:E30"/>
    <mergeCell ref="A31:E31"/>
    <mergeCell ref="A32:E32"/>
    <mergeCell ref="A33:E33"/>
    <mergeCell ref="A34:E34"/>
    <mergeCell ref="A35:E35"/>
    <mergeCell ref="C52:E52"/>
    <mergeCell ref="A38:E38"/>
    <mergeCell ref="A39:E39"/>
    <mergeCell ref="A41:E41"/>
    <mergeCell ref="B42:E42"/>
    <mergeCell ref="B43:E43"/>
    <mergeCell ref="B44:E44"/>
    <mergeCell ref="A46:E46"/>
    <mergeCell ref="A47:E47"/>
    <mergeCell ref="A49:E49"/>
    <mergeCell ref="C50:E50"/>
    <mergeCell ref="C51:E51"/>
    <mergeCell ref="C53:E53"/>
    <mergeCell ref="A55:E55"/>
    <mergeCell ref="A56:E56"/>
    <mergeCell ref="A58:E58"/>
    <mergeCell ref="A59:E59"/>
  </mergeCells>
  <hyperlinks>
    <hyperlink ref="A1" r:id="rId1" location="'Schéma d''enseignement'!A1"/>
  </hyperlinks>
  <pageMargins left="0.7" right="0.7" top="0.75" bottom="0.75" header="0.3" footer="0.3"/>
  <pageSetup orientation="portrait" horizontalDpi="300" verticalDpi="300"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J62"/>
  <sheetViews>
    <sheetView workbookViewId="0">
      <selection activeCell="B1" sqref="B1"/>
    </sheetView>
  </sheetViews>
  <sheetFormatPr baseColWidth="10" defaultColWidth="9.14062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32.5703125" style="108" customWidth="1"/>
    <col min="7" max="7" width="8.140625" style="108" customWidth="1"/>
    <col min="8" max="8" width="20.140625" style="108" customWidth="1"/>
    <col min="9" max="9" width="119.85546875" style="108" customWidth="1"/>
    <col min="10" max="10" width="11.5703125" style="108" customWidth="1"/>
    <col min="11" max="11" width="128.140625" style="108" customWidth="1"/>
    <col min="12" max="256" width="11.5703125" style="108" customWidth="1"/>
    <col min="257" max="257" width="1.140625" style="108" customWidth="1"/>
    <col min="258" max="258" width="29.42578125" style="108" customWidth="1"/>
    <col min="259" max="259" width="15.5703125" style="108" customWidth="1"/>
    <col min="260" max="260" width="11.85546875" style="108" customWidth="1"/>
    <col min="261" max="261" width="7" style="108" customWidth="1"/>
    <col min="262" max="262" width="32.5703125" style="108" customWidth="1"/>
    <col min="263" max="263" width="8.140625" style="108" customWidth="1"/>
    <col min="264" max="264" width="20.140625" style="108" customWidth="1"/>
    <col min="265" max="265" width="119.85546875" style="108" customWidth="1"/>
    <col min="266" max="266" width="11.5703125" style="108" customWidth="1"/>
    <col min="267" max="267" width="128.140625" style="108" customWidth="1"/>
    <col min="268" max="512" width="11.5703125" style="108" customWidth="1"/>
    <col min="513" max="513" width="1.140625" style="108" customWidth="1"/>
    <col min="514" max="514" width="29.42578125" style="108" customWidth="1"/>
    <col min="515" max="515" width="15.5703125" style="108" customWidth="1"/>
    <col min="516" max="516" width="11.85546875" style="108" customWidth="1"/>
    <col min="517" max="517" width="7" style="108" customWidth="1"/>
    <col min="518" max="518" width="32.5703125" style="108" customWidth="1"/>
    <col min="519" max="519" width="8.140625" style="108" customWidth="1"/>
    <col min="520" max="520" width="20.140625" style="108" customWidth="1"/>
    <col min="521" max="521" width="119.85546875" style="108" customWidth="1"/>
    <col min="522" max="522" width="11.5703125" style="108" customWidth="1"/>
    <col min="523" max="523" width="128.140625" style="108" customWidth="1"/>
    <col min="524" max="768" width="11.5703125" style="108" customWidth="1"/>
    <col min="769" max="769" width="1.140625" style="108" customWidth="1"/>
    <col min="770" max="770" width="29.42578125" style="108" customWidth="1"/>
    <col min="771" max="771" width="15.5703125" style="108" customWidth="1"/>
    <col min="772" max="772" width="11.85546875" style="108" customWidth="1"/>
    <col min="773" max="773" width="7" style="108" customWidth="1"/>
    <col min="774" max="774" width="32.5703125" style="108" customWidth="1"/>
    <col min="775" max="775" width="8.140625" style="108" customWidth="1"/>
    <col min="776" max="776" width="20.140625" style="108" customWidth="1"/>
    <col min="777" max="777" width="119.85546875" style="108" customWidth="1"/>
    <col min="778" max="778" width="11.5703125" style="108" customWidth="1"/>
    <col min="779" max="779" width="128.140625" style="108" customWidth="1"/>
    <col min="780" max="1024" width="11.5703125" style="108" customWidth="1"/>
    <col min="1025" max="1025" width="1.140625" style="108" customWidth="1"/>
    <col min="1026" max="1026" width="29.42578125" style="108" customWidth="1"/>
    <col min="1027" max="1027" width="15.5703125" style="108" customWidth="1"/>
    <col min="1028" max="1028" width="11.85546875" style="108" customWidth="1"/>
    <col min="1029" max="1029" width="7" style="108" customWidth="1"/>
    <col min="1030" max="1030" width="32.5703125" style="108" customWidth="1"/>
    <col min="1031" max="1031" width="8.140625" style="108" customWidth="1"/>
    <col min="1032" max="1032" width="20.140625" style="108" customWidth="1"/>
    <col min="1033" max="1033" width="119.85546875" style="108" customWidth="1"/>
    <col min="1034" max="1034" width="11.5703125" style="108" customWidth="1"/>
    <col min="1035" max="1035" width="128.140625" style="108" customWidth="1"/>
    <col min="1036" max="1280" width="11.5703125" style="108" customWidth="1"/>
    <col min="1281" max="1281" width="1.140625" style="108" customWidth="1"/>
    <col min="1282" max="1282" width="29.42578125" style="108" customWidth="1"/>
    <col min="1283" max="1283" width="15.5703125" style="108" customWidth="1"/>
    <col min="1284" max="1284" width="11.85546875" style="108" customWidth="1"/>
    <col min="1285" max="1285" width="7" style="108" customWidth="1"/>
    <col min="1286" max="1286" width="32.5703125" style="108" customWidth="1"/>
    <col min="1287" max="1287" width="8.140625" style="108" customWidth="1"/>
    <col min="1288" max="1288" width="20.140625" style="108" customWidth="1"/>
    <col min="1289" max="1289" width="119.85546875" style="108" customWidth="1"/>
    <col min="1290" max="1290" width="11.5703125" style="108" customWidth="1"/>
    <col min="1291" max="1291" width="128.140625" style="108" customWidth="1"/>
    <col min="1292" max="1536" width="11.5703125" style="108" customWidth="1"/>
    <col min="1537" max="1537" width="1.140625" style="108" customWidth="1"/>
    <col min="1538" max="1538" width="29.42578125" style="108" customWidth="1"/>
    <col min="1539" max="1539" width="15.5703125" style="108" customWidth="1"/>
    <col min="1540" max="1540" width="11.85546875" style="108" customWidth="1"/>
    <col min="1541" max="1541" width="7" style="108" customWidth="1"/>
    <col min="1542" max="1542" width="32.5703125" style="108" customWidth="1"/>
    <col min="1543" max="1543" width="8.140625" style="108" customWidth="1"/>
    <col min="1544" max="1544" width="20.140625" style="108" customWidth="1"/>
    <col min="1545" max="1545" width="119.85546875" style="108" customWidth="1"/>
    <col min="1546" max="1546" width="11.5703125" style="108" customWidth="1"/>
    <col min="1547" max="1547" width="128.140625" style="108" customWidth="1"/>
    <col min="1548" max="1792" width="11.5703125" style="108" customWidth="1"/>
    <col min="1793" max="1793" width="1.140625" style="108" customWidth="1"/>
    <col min="1794" max="1794" width="29.42578125" style="108" customWidth="1"/>
    <col min="1795" max="1795" width="15.5703125" style="108" customWidth="1"/>
    <col min="1796" max="1796" width="11.85546875" style="108" customWidth="1"/>
    <col min="1797" max="1797" width="7" style="108" customWidth="1"/>
    <col min="1798" max="1798" width="32.5703125" style="108" customWidth="1"/>
    <col min="1799" max="1799" width="8.140625" style="108" customWidth="1"/>
    <col min="1800" max="1800" width="20.140625" style="108" customWidth="1"/>
    <col min="1801" max="1801" width="119.85546875" style="108" customWidth="1"/>
    <col min="1802" max="1802" width="11.5703125" style="108" customWidth="1"/>
    <col min="1803" max="1803" width="128.140625" style="108" customWidth="1"/>
    <col min="1804" max="2048" width="11.5703125" style="108" customWidth="1"/>
    <col min="2049" max="2049" width="1.140625" style="108" customWidth="1"/>
    <col min="2050" max="2050" width="29.42578125" style="108" customWidth="1"/>
    <col min="2051" max="2051" width="15.5703125" style="108" customWidth="1"/>
    <col min="2052" max="2052" width="11.85546875" style="108" customWidth="1"/>
    <col min="2053" max="2053" width="7" style="108" customWidth="1"/>
    <col min="2054" max="2054" width="32.5703125" style="108" customWidth="1"/>
    <col min="2055" max="2055" width="8.140625" style="108" customWidth="1"/>
    <col min="2056" max="2056" width="20.140625" style="108" customWidth="1"/>
    <col min="2057" max="2057" width="119.85546875" style="108" customWidth="1"/>
    <col min="2058" max="2058" width="11.5703125" style="108" customWidth="1"/>
    <col min="2059" max="2059" width="128.140625" style="108" customWidth="1"/>
    <col min="2060" max="2304" width="11.5703125" style="108" customWidth="1"/>
    <col min="2305" max="2305" width="1.140625" style="108" customWidth="1"/>
    <col min="2306" max="2306" width="29.42578125" style="108" customWidth="1"/>
    <col min="2307" max="2307" width="15.5703125" style="108" customWidth="1"/>
    <col min="2308" max="2308" width="11.85546875" style="108" customWidth="1"/>
    <col min="2309" max="2309" width="7" style="108" customWidth="1"/>
    <col min="2310" max="2310" width="32.5703125" style="108" customWidth="1"/>
    <col min="2311" max="2311" width="8.140625" style="108" customWidth="1"/>
    <col min="2312" max="2312" width="20.140625" style="108" customWidth="1"/>
    <col min="2313" max="2313" width="119.85546875" style="108" customWidth="1"/>
    <col min="2314" max="2314" width="11.5703125" style="108" customWidth="1"/>
    <col min="2315" max="2315" width="128.140625" style="108" customWidth="1"/>
    <col min="2316" max="2560" width="11.5703125" style="108" customWidth="1"/>
    <col min="2561" max="2561" width="1.140625" style="108" customWidth="1"/>
    <col min="2562" max="2562" width="29.42578125" style="108" customWidth="1"/>
    <col min="2563" max="2563" width="15.5703125" style="108" customWidth="1"/>
    <col min="2564" max="2564" width="11.85546875" style="108" customWidth="1"/>
    <col min="2565" max="2565" width="7" style="108" customWidth="1"/>
    <col min="2566" max="2566" width="32.5703125" style="108" customWidth="1"/>
    <col min="2567" max="2567" width="8.140625" style="108" customWidth="1"/>
    <col min="2568" max="2568" width="20.140625" style="108" customWidth="1"/>
    <col min="2569" max="2569" width="119.85546875" style="108" customWidth="1"/>
    <col min="2570" max="2570" width="11.5703125" style="108" customWidth="1"/>
    <col min="2571" max="2571" width="128.140625" style="108" customWidth="1"/>
    <col min="2572" max="2816" width="11.5703125" style="108" customWidth="1"/>
    <col min="2817" max="2817" width="1.140625" style="108" customWidth="1"/>
    <col min="2818" max="2818" width="29.42578125" style="108" customWidth="1"/>
    <col min="2819" max="2819" width="15.5703125" style="108" customWidth="1"/>
    <col min="2820" max="2820" width="11.85546875" style="108" customWidth="1"/>
    <col min="2821" max="2821" width="7" style="108" customWidth="1"/>
    <col min="2822" max="2822" width="32.5703125" style="108" customWidth="1"/>
    <col min="2823" max="2823" width="8.140625" style="108" customWidth="1"/>
    <col min="2824" max="2824" width="20.140625" style="108" customWidth="1"/>
    <col min="2825" max="2825" width="119.85546875" style="108" customWidth="1"/>
    <col min="2826" max="2826" width="11.5703125" style="108" customWidth="1"/>
    <col min="2827" max="2827" width="128.140625" style="108" customWidth="1"/>
    <col min="2828" max="3072" width="11.5703125" style="108" customWidth="1"/>
    <col min="3073" max="3073" width="1.140625" style="108" customWidth="1"/>
    <col min="3074" max="3074" width="29.42578125" style="108" customWidth="1"/>
    <col min="3075" max="3075" width="15.5703125" style="108" customWidth="1"/>
    <col min="3076" max="3076" width="11.85546875" style="108" customWidth="1"/>
    <col min="3077" max="3077" width="7" style="108" customWidth="1"/>
    <col min="3078" max="3078" width="32.5703125" style="108" customWidth="1"/>
    <col min="3079" max="3079" width="8.140625" style="108" customWidth="1"/>
    <col min="3080" max="3080" width="20.140625" style="108" customWidth="1"/>
    <col min="3081" max="3081" width="119.85546875" style="108" customWidth="1"/>
    <col min="3082" max="3082" width="11.5703125" style="108" customWidth="1"/>
    <col min="3083" max="3083" width="128.140625" style="108" customWidth="1"/>
    <col min="3084" max="3328" width="11.5703125" style="108" customWidth="1"/>
    <col min="3329" max="3329" width="1.140625" style="108" customWidth="1"/>
    <col min="3330" max="3330" width="29.42578125" style="108" customWidth="1"/>
    <col min="3331" max="3331" width="15.5703125" style="108" customWidth="1"/>
    <col min="3332" max="3332" width="11.85546875" style="108" customWidth="1"/>
    <col min="3333" max="3333" width="7" style="108" customWidth="1"/>
    <col min="3334" max="3334" width="32.5703125" style="108" customWidth="1"/>
    <col min="3335" max="3335" width="8.140625" style="108" customWidth="1"/>
    <col min="3336" max="3336" width="20.140625" style="108" customWidth="1"/>
    <col min="3337" max="3337" width="119.85546875" style="108" customWidth="1"/>
    <col min="3338" max="3338" width="11.5703125" style="108" customWidth="1"/>
    <col min="3339" max="3339" width="128.140625" style="108" customWidth="1"/>
    <col min="3340" max="3584" width="11.5703125" style="108" customWidth="1"/>
    <col min="3585" max="3585" width="1.140625" style="108" customWidth="1"/>
    <col min="3586" max="3586" width="29.42578125" style="108" customWidth="1"/>
    <col min="3587" max="3587" width="15.5703125" style="108" customWidth="1"/>
    <col min="3588" max="3588" width="11.85546875" style="108" customWidth="1"/>
    <col min="3589" max="3589" width="7" style="108" customWidth="1"/>
    <col min="3590" max="3590" width="32.5703125" style="108" customWidth="1"/>
    <col min="3591" max="3591" width="8.140625" style="108" customWidth="1"/>
    <col min="3592" max="3592" width="20.140625" style="108" customWidth="1"/>
    <col min="3593" max="3593" width="119.85546875" style="108" customWidth="1"/>
    <col min="3594" max="3594" width="11.5703125" style="108" customWidth="1"/>
    <col min="3595" max="3595" width="128.140625" style="108" customWidth="1"/>
    <col min="3596" max="3840" width="11.5703125" style="108" customWidth="1"/>
    <col min="3841" max="3841" width="1.140625" style="108" customWidth="1"/>
    <col min="3842" max="3842" width="29.42578125" style="108" customWidth="1"/>
    <col min="3843" max="3843" width="15.5703125" style="108" customWidth="1"/>
    <col min="3844" max="3844" width="11.85546875" style="108" customWidth="1"/>
    <col min="3845" max="3845" width="7" style="108" customWidth="1"/>
    <col min="3846" max="3846" width="32.5703125" style="108" customWidth="1"/>
    <col min="3847" max="3847" width="8.140625" style="108" customWidth="1"/>
    <col min="3848" max="3848" width="20.140625" style="108" customWidth="1"/>
    <col min="3849" max="3849" width="119.85546875" style="108" customWidth="1"/>
    <col min="3850" max="3850" width="11.5703125" style="108" customWidth="1"/>
    <col min="3851" max="3851" width="128.140625" style="108" customWidth="1"/>
    <col min="3852" max="4096" width="11.5703125" style="108" customWidth="1"/>
    <col min="4097" max="4097" width="1.140625" style="108" customWidth="1"/>
    <col min="4098" max="4098" width="29.42578125" style="108" customWidth="1"/>
    <col min="4099" max="4099" width="15.5703125" style="108" customWidth="1"/>
    <col min="4100" max="4100" width="11.85546875" style="108" customWidth="1"/>
    <col min="4101" max="4101" width="7" style="108" customWidth="1"/>
    <col min="4102" max="4102" width="32.5703125" style="108" customWidth="1"/>
    <col min="4103" max="4103" width="8.140625" style="108" customWidth="1"/>
    <col min="4104" max="4104" width="20.140625" style="108" customWidth="1"/>
    <col min="4105" max="4105" width="119.85546875" style="108" customWidth="1"/>
    <col min="4106" max="4106" width="11.5703125" style="108" customWidth="1"/>
    <col min="4107" max="4107" width="128.140625" style="108" customWidth="1"/>
    <col min="4108" max="4352" width="11.5703125" style="108" customWidth="1"/>
    <col min="4353" max="4353" width="1.140625" style="108" customWidth="1"/>
    <col min="4354" max="4354" width="29.42578125" style="108" customWidth="1"/>
    <col min="4355" max="4355" width="15.5703125" style="108" customWidth="1"/>
    <col min="4356" max="4356" width="11.85546875" style="108" customWidth="1"/>
    <col min="4357" max="4357" width="7" style="108" customWidth="1"/>
    <col min="4358" max="4358" width="32.5703125" style="108" customWidth="1"/>
    <col min="4359" max="4359" width="8.140625" style="108" customWidth="1"/>
    <col min="4360" max="4360" width="20.140625" style="108" customWidth="1"/>
    <col min="4361" max="4361" width="119.85546875" style="108" customWidth="1"/>
    <col min="4362" max="4362" width="11.5703125" style="108" customWidth="1"/>
    <col min="4363" max="4363" width="128.140625" style="108" customWidth="1"/>
    <col min="4364" max="4608" width="11.5703125" style="108" customWidth="1"/>
    <col min="4609" max="4609" width="1.140625" style="108" customWidth="1"/>
    <col min="4610" max="4610" width="29.42578125" style="108" customWidth="1"/>
    <col min="4611" max="4611" width="15.5703125" style="108" customWidth="1"/>
    <col min="4612" max="4612" width="11.85546875" style="108" customWidth="1"/>
    <col min="4613" max="4613" width="7" style="108" customWidth="1"/>
    <col min="4614" max="4614" width="32.5703125" style="108" customWidth="1"/>
    <col min="4615" max="4615" width="8.140625" style="108" customWidth="1"/>
    <col min="4616" max="4616" width="20.140625" style="108" customWidth="1"/>
    <col min="4617" max="4617" width="119.85546875" style="108" customWidth="1"/>
    <col min="4618" max="4618" width="11.5703125" style="108" customWidth="1"/>
    <col min="4619" max="4619" width="128.140625" style="108" customWidth="1"/>
    <col min="4620" max="4864" width="11.5703125" style="108" customWidth="1"/>
    <col min="4865" max="4865" width="1.140625" style="108" customWidth="1"/>
    <col min="4866" max="4866" width="29.42578125" style="108" customWidth="1"/>
    <col min="4867" max="4867" width="15.5703125" style="108" customWidth="1"/>
    <col min="4868" max="4868" width="11.85546875" style="108" customWidth="1"/>
    <col min="4869" max="4869" width="7" style="108" customWidth="1"/>
    <col min="4870" max="4870" width="32.5703125" style="108" customWidth="1"/>
    <col min="4871" max="4871" width="8.140625" style="108" customWidth="1"/>
    <col min="4872" max="4872" width="20.140625" style="108" customWidth="1"/>
    <col min="4873" max="4873" width="119.85546875" style="108" customWidth="1"/>
    <col min="4874" max="4874" width="11.5703125" style="108" customWidth="1"/>
    <col min="4875" max="4875" width="128.140625" style="108" customWidth="1"/>
    <col min="4876" max="5120" width="11.5703125" style="108" customWidth="1"/>
    <col min="5121" max="5121" width="1.140625" style="108" customWidth="1"/>
    <col min="5122" max="5122" width="29.42578125" style="108" customWidth="1"/>
    <col min="5123" max="5123" width="15.5703125" style="108" customWidth="1"/>
    <col min="5124" max="5124" width="11.85546875" style="108" customWidth="1"/>
    <col min="5125" max="5125" width="7" style="108" customWidth="1"/>
    <col min="5126" max="5126" width="32.5703125" style="108" customWidth="1"/>
    <col min="5127" max="5127" width="8.140625" style="108" customWidth="1"/>
    <col min="5128" max="5128" width="20.140625" style="108" customWidth="1"/>
    <col min="5129" max="5129" width="119.85546875" style="108" customWidth="1"/>
    <col min="5130" max="5130" width="11.5703125" style="108" customWidth="1"/>
    <col min="5131" max="5131" width="128.140625" style="108" customWidth="1"/>
    <col min="5132" max="5376" width="11.5703125" style="108" customWidth="1"/>
    <col min="5377" max="5377" width="1.140625" style="108" customWidth="1"/>
    <col min="5378" max="5378" width="29.42578125" style="108" customWidth="1"/>
    <col min="5379" max="5379" width="15.5703125" style="108" customWidth="1"/>
    <col min="5380" max="5380" width="11.85546875" style="108" customWidth="1"/>
    <col min="5381" max="5381" width="7" style="108" customWidth="1"/>
    <col min="5382" max="5382" width="32.5703125" style="108" customWidth="1"/>
    <col min="5383" max="5383" width="8.140625" style="108" customWidth="1"/>
    <col min="5384" max="5384" width="20.140625" style="108" customWidth="1"/>
    <col min="5385" max="5385" width="119.85546875" style="108" customWidth="1"/>
    <col min="5386" max="5386" width="11.5703125" style="108" customWidth="1"/>
    <col min="5387" max="5387" width="128.140625" style="108" customWidth="1"/>
    <col min="5388" max="5632" width="11.5703125" style="108" customWidth="1"/>
    <col min="5633" max="5633" width="1.140625" style="108" customWidth="1"/>
    <col min="5634" max="5634" width="29.42578125" style="108" customWidth="1"/>
    <col min="5635" max="5635" width="15.5703125" style="108" customWidth="1"/>
    <col min="5636" max="5636" width="11.85546875" style="108" customWidth="1"/>
    <col min="5637" max="5637" width="7" style="108" customWidth="1"/>
    <col min="5638" max="5638" width="32.5703125" style="108" customWidth="1"/>
    <col min="5639" max="5639" width="8.140625" style="108" customWidth="1"/>
    <col min="5640" max="5640" width="20.140625" style="108" customWidth="1"/>
    <col min="5641" max="5641" width="119.85546875" style="108" customWidth="1"/>
    <col min="5642" max="5642" width="11.5703125" style="108" customWidth="1"/>
    <col min="5643" max="5643" width="128.140625" style="108" customWidth="1"/>
    <col min="5644" max="5888" width="11.5703125" style="108" customWidth="1"/>
    <col min="5889" max="5889" width="1.140625" style="108" customWidth="1"/>
    <col min="5890" max="5890" width="29.42578125" style="108" customWidth="1"/>
    <col min="5891" max="5891" width="15.5703125" style="108" customWidth="1"/>
    <col min="5892" max="5892" width="11.85546875" style="108" customWidth="1"/>
    <col min="5893" max="5893" width="7" style="108" customWidth="1"/>
    <col min="5894" max="5894" width="32.5703125" style="108" customWidth="1"/>
    <col min="5895" max="5895" width="8.140625" style="108" customWidth="1"/>
    <col min="5896" max="5896" width="20.140625" style="108" customWidth="1"/>
    <col min="5897" max="5897" width="119.85546875" style="108" customWidth="1"/>
    <col min="5898" max="5898" width="11.5703125" style="108" customWidth="1"/>
    <col min="5899" max="5899" width="128.140625" style="108" customWidth="1"/>
    <col min="5900" max="6144" width="11.5703125" style="108" customWidth="1"/>
    <col min="6145" max="6145" width="1.140625" style="108" customWidth="1"/>
    <col min="6146" max="6146" width="29.42578125" style="108" customWidth="1"/>
    <col min="6147" max="6147" width="15.5703125" style="108" customWidth="1"/>
    <col min="6148" max="6148" width="11.85546875" style="108" customWidth="1"/>
    <col min="6149" max="6149" width="7" style="108" customWidth="1"/>
    <col min="6150" max="6150" width="32.5703125" style="108" customWidth="1"/>
    <col min="6151" max="6151" width="8.140625" style="108" customWidth="1"/>
    <col min="6152" max="6152" width="20.140625" style="108" customWidth="1"/>
    <col min="6153" max="6153" width="119.85546875" style="108" customWidth="1"/>
    <col min="6154" max="6154" width="11.5703125" style="108" customWidth="1"/>
    <col min="6155" max="6155" width="128.140625" style="108" customWidth="1"/>
    <col min="6156" max="6400" width="11.5703125" style="108" customWidth="1"/>
    <col min="6401" max="6401" width="1.140625" style="108" customWidth="1"/>
    <col min="6402" max="6402" width="29.42578125" style="108" customWidth="1"/>
    <col min="6403" max="6403" width="15.5703125" style="108" customWidth="1"/>
    <col min="6404" max="6404" width="11.85546875" style="108" customWidth="1"/>
    <col min="6405" max="6405" width="7" style="108" customWidth="1"/>
    <col min="6406" max="6406" width="32.5703125" style="108" customWidth="1"/>
    <col min="6407" max="6407" width="8.140625" style="108" customWidth="1"/>
    <col min="6408" max="6408" width="20.140625" style="108" customWidth="1"/>
    <col min="6409" max="6409" width="119.85546875" style="108" customWidth="1"/>
    <col min="6410" max="6410" width="11.5703125" style="108" customWidth="1"/>
    <col min="6411" max="6411" width="128.140625" style="108" customWidth="1"/>
    <col min="6412" max="6656" width="11.5703125" style="108" customWidth="1"/>
    <col min="6657" max="6657" width="1.140625" style="108" customWidth="1"/>
    <col min="6658" max="6658" width="29.42578125" style="108" customWidth="1"/>
    <col min="6659" max="6659" width="15.5703125" style="108" customWidth="1"/>
    <col min="6660" max="6660" width="11.85546875" style="108" customWidth="1"/>
    <col min="6661" max="6661" width="7" style="108" customWidth="1"/>
    <col min="6662" max="6662" width="32.5703125" style="108" customWidth="1"/>
    <col min="6663" max="6663" width="8.140625" style="108" customWidth="1"/>
    <col min="6664" max="6664" width="20.140625" style="108" customWidth="1"/>
    <col min="6665" max="6665" width="119.85546875" style="108" customWidth="1"/>
    <col min="6666" max="6666" width="11.5703125" style="108" customWidth="1"/>
    <col min="6667" max="6667" width="128.140625" style="108" customWidth="1"/>
    <col min="6668" max="6912" width="11.5703125" style="108" customWidth="1"/>
    <col min="6913" max="6913" width="1.140625" style="108" customWidth="1"/>
    <col min="6914" max="6914" width="29.42578125" style="108" customWidth="1"/>
    <col min="6915" max="6915" width="15.5703125" style="108" customWidth="1"/>
    <col min="6916" max="6916" width="11.85546875" style="108" customWidth="1"/>
    <col min="6917" max="6917" width="7" style="108" customWidth="1"/>
    <col min="6918" max="6918" width="32.5703125" style="108" customWidth="1"/>
    <col min="6919" max="6919" width="8.140625" style="108" customWidth="1"/>
    <col min="6920" max="6920" width="20.140625" style="108" customWidth="1"/>
    <col min="6921" max="6921" width="119.85546875" style="108" customWidth="1"/>
    <col min="6922" max="6922" width="11.5703125" style="108" customWidth="1"/>
    <col min="6923" max="6923" width="128.140625" style="108" customWidth="1"/>
    <col min="6924" max="7168" width="11.5703125" style="108" customWidth="1"/>
    <col min="7169" max="7169" width="1.140625" style="108" customWidth="1"/>
    <col min="7170" max="7170" width="29.42578125" style="108" customWidth="1"/>
    <col min="7171" max="7171" width="15.5703125" style="108" customWidth="1"/>
    <col min="7172" max="7172" width="11.85546875" style="108" customWidth="1"/>
    <col min="7173" max="7173" width="7" style="108" customWidth="1"/>
    <col min="7174" max="7174" width="32.5703125" style="108" customWidth="1"/>
    <col min="7175" max="7175" width="8.140625" style="108" customWidth="1"/>
    <col min="7176" max="7176" width="20.140625" style="108" customWidth="1"/>
    <col min="7177" max="7177" width="119.85546875" style="108" customWidth="1"/>
    <col min="7178" max="7178" width="11.5703125" style="108" customWidth="1"/>
    <col min="7179" max="7179" width="128.140625" style="108" customWidth="1"/>
    <col min="7180" max="7424" width="11.5703125" style="108" customWidth="1"/>
    <col min="7425" max="7425" width="1.140625" style="108" customWidth="1"/>
    <col min="7426" max="7426" width="29.42578125" style="108" customWidth="1"/>
    <col min="7427" max="7427" width="15.5703125" style="108" customWidth="1"/>
    <col min="7428" max="7428" width="11.85546875" style="108" customWidth="1"/>
    <col min="7429" max="7429" width="7" style="108" customWidth="1"/>
    <col min="7430" max="7430" width="32.5703125" style="108" customWidth="1"/>
    <col min="7431" max="7431" width="8.140625" style="108" customWidth="1"/>
    <col min="7432" max="7432" width="20.140625" style="108" customWidth="1"/>
    <col min="7433" max="7433" width="119.85546875" style="108" customWidth="1"/>
    <col min="7434" max="7434" width="11.5703125" style="108" customWidth="1"/>
    <col min="7435" max="7435" width="128.140625" style="108" customWidth="1"/>
    <col min="7436" max="7680" width="11.5703125" style="108" customWidth="1"/>
    <col min="7681" max="7681" width="1.140625" style="108" customWidth="1"/>
    <col min="7682" max="7682" width="29.42578125" style="108" customWidth="1"/>
    <col min="7683" max="7683" width="15.5703125" style="108" customWidth="1"/>
    <col min="7684" max="7684" width="11.85546875" style="108" customWidth="1"/>
    <col min="7685" max="7685" width="7" style="108" customWidth="1"/>
    <col min="7686" max="7686" width="32.5703125" style="108" customWidth="1"/>
    <col min="7687" max="7687" width="8.140625" style="108" customWidth="1"/>
    <col min="7688" max="7688" width="20.140625" style="108" customWidth="1"/>
    <col min="7689" max="7689" width="119.85546875" style="108" customWidth="1"/>
    <col min="7690" max="7690" width="11.5703125" style="108" customWidth="1"/>
    <col min="7691" max="7691" width="128.140625" style="108" customWidth="1"/>
    <col min="7692" max="7936" width="11.5703125" style="108" customWidth="1"/>
    <col min="7937" max="7937" width="1.140625" style="108" customWidth="1"/>
    <col min="7938" max="7938" width="29.42578125" style="108" customWidth="1"/>
    <col min="7939" max="7939" width="15.5703125" style="108" customWidth="1"/>
    <col min="7940" max="7940" width="11.85546875" style="108" customWidth="1"/>
    <col min="7941" max="7941" width="7" style="108" customWidth="1"/>
    <col min="7942" max="7942" width="32.5703125" style="108" customWidth="1"/>
    <col min="7943" max="7943" width="8.140625" style="108" customWidth="1"/>
    <col min="7944" max="7944" width="20.140625" style="108" customWidth="1"/>
    <col min="7945" max="7945" width="119.85546875" style="108" customWidth="1"/>
    <col min="7946" max="7946" width="11.5703125" style="108" customWidth="1"/>
    <col min="7947" max="7947" width="128.140625" style="108" customWidth="1"/>
    <col min="7948" max="8192" width="11.5703125" style="108" customWidth="1"/>
    <col min="8193" max="8193" width="1.140625" style="108" customWidth="1"/>
    <col min="8194" max="8194" width="29.42578125" style="108" customWidth="1"/>
    <col min="8195" max="8195" width="15.5703125" style="108" customWidth="1"/>
    <col min="8196" max="8196" width="11.85546875" style="108" customWidth="1"/>
    <col min="8197" max="8197" width="7" style="108" customWidth="1"/>
    <col min="8198" max="8198" width="32.5703125" style="108" customWidth="1"/>
    <col min="8199" max="8199" width="8.140625" style="108" customWidth="1"/>
    <col min="8200" max="8200" width="20.140625" style="108" customWidth="1"/>
    <col min="8201" max="8201" width="119.85546875" style="108" customWidth="1"/>
    <col min="8202" max="8202" width="11.5703125" style="108" customWidth="1"/>
    <col min="8203" max="8203" width="128.140625" style="108" customWidth="1"/>
    <col min="8204" max="8448" width="11.5703125" style="108" customWidth="1"/>
    <col min="8449" max="8449" width="1.140625" style="108" customWidth="1"/>
    <col min="8450" max="8450" width="29.42578125" style="108" customWidth="1"/>
    <col min="8451" max="8451" width="15.5703125" style="108" customWidth="1"/>
    <col min="8452" max="8452" width="11.85546875" style="108" customWidth="1"/>
    <col min="8453" max="8453" width="7" style="108" customWidth="1"/>
    <col min="8454" max="8454" width="32.5703125" style="108" customWidth="1"/>
    <col min="8455" max="8455" width="8.140625" style="108" customWidth="1"/>
    <col min="8456" max="8456" width="20.140625" style="108" customWidth="1"/>
    <col min="8457" max="8457" width="119.85546875" style="108" customWidth="1"/>
    <col min="8458" max="8458" width="11.5703125" style="108" customWidth="1"/>
    <col min="8459" max="8459" width="128.140625" style="108" customWidth="1"/>
    <col min="8460" max="8704" width="11.5703125" style="108" customWidth="1"/>
    <col min="8705" max="8705" width="1.140625" style="108" customWidth="1"/>
    <col min="8706" max="8706" width="29.42578125" style="108" customWidth="1"/>
    <col min="8707" max="8707" width="15.5703125" style="108" customWidth="1"/>
    <col min="8708" max="8708" width="11.85546875" style="108" customWidth="1"/>
    <col min="8709" max="8709" width="7" style="108" customWidth="1"/>
    <col min="8710" max="8710" width="32.5703125" style="108" customWidth="1"/>
    <col min="8711" max="8711" width="8.140625" style="108" customWidth="1"/>
    <col min="8712" max="8712" width="20.140625" style="108" customWidth="1"/>
    <col min="8713" max="8713" width="119.85546875" style="108" customWidth="1"/>
    <col min="8714" max="8714" width="11.5703125" style="108" customWidth="1"/>
    <col min="8715" max="8715" width="128.140625" style="108" customWidth="1"/>
    <col min="8716" max="8960" width="11.5703125" style="108" customWidth="1"/>
    <col min="8961" max="8961" width="1.140625" style="108" customWidth="1"/>
    <col min="8962" max="8962" width="29.42578125" style="108" customWidth="1"/>
    <col min="8963" max="8963" width="15.5703125" style="108" customWidth="1"/>
    <col min="8964" max="8964" width="11.85546875" style="108" customWidth="1"/>
    <col min="8965" max="8965" width="7" style="108" customWidth="1"/>
    <col min="8966" max="8966" width="32.5703125" style="108" customWidth="1"/>
    <col min="8967" max="8967" width="8.140625" style="108" customWidth="1"/>
    <col min="8968" max="8968" width="20.140625" style="108" customWidth="1"/>
    <col min="8969" max="8969" width="119.85546875" style="108" customWidth="1"/>
    <col min="8970" max="8970" width="11.5703125" style="108" customWidth="1"/>
    <col min="8971" max="8971" width="128.140625" style="108" customWidth="1"/>
    <col min="8972" max="9216" width="11.5703125" style="108" customWidth="1"/>
    <col min="9217" max="9217" width="1.140625" style="108" customWidth="1"/>
    <col min="9218" max="9218" width="29.42578125" style="108" customWidth="1"/>
    <col min="9219" max="9219" width="15.5703125" style="108" customWidth="1"/>
    <col min="9220" max="9220" width="11.85546875" style="108" customWidth="1"/>
    <col min="9221" max="9221" width="7" style="108" customWidth="1"/>
    <col min="9222" max="9222" width="32.5703125" style="108" customWidth="1"/>
    <col min="9223" max="9223" width="8.140625" style="108" customWidth="1"/>
    <col min="9224" max="9224" width="20.140625" style="108" customWidth="1"/>
    <col min="9225" max="9225" width="119.85546875" style="108" customWidth="1"/>
    <col min="9226" max="9226" width="11.5703125" style="108" customWidth="1"/>
    <col min="9227" max="9227" width="128.140625" style="108" customWidth="1"/>
    <col min="9228" max="9472" width="11.5703125" style="108" customWidth="1"/>
    <col min="9473" max="9473" width="1.140625" style="108" customWidth="1"/>
    <col min="9474" max="9474" width="29.42578125" style="108" customWidth="1"/>
    <col min="9475" max="9475" width="15.5703125" style="108" customWidth="1"/>
    <col min="9476" max="9476" width="11.85546875" style="108" customWidth="1"/>
    <col min="9477" max="9477" width="7" style="108" customWidth="1"/>
    <col min="9478" max="9478" width="32.5703125" style="108" customWidth="1"/>
    <col min="9479" max="9479" width="8.140625" style="108" customWidth="1"/>
    <col min="9480" max="9480" width="20.140625" style="108" customWidth="1"/>
    <col min="9481" max="9481" width="119.85546875" style="108" customWidth="1"/>
    <col min="9482" max="9482" width="11.5703125" style="108" customWidth="1"/>
    <col min="9483" max="9483" width="128.140625" style="108" customWidth="1"/>
    <col min="9484" max="9728" width="11.5703125" style="108" customWidth="1"/>
    <col min="9729" max="9729" width="1.140625" style="108" customWidth="1"/>
    <col min="9730" max="9730" width="29.42578125" style="108" customWidth="1"/>
    <col min="9731" max="9731" width="15.5703125" style="108" customWidth="1"/>
    <col min="9732" max="9732" width="11.85546875" style="108" customWidth="1"/>
    <col min="9733" max="9733" width="7" style="108" customWidth="1"/>
    <col min="9734" max="9734" width="32.5703125" style="108" customWidth="1"/>
    <col min="9735" max="9735" width="8.140625" style="108" customWidth="1"/>
    <col min="9736" max="9736" width="20.140625" style="108" customWidth="1"/>
    <col min="9737" max="9737" width="119.85546875" style="108" customWidth="1"/>
    <col min="9738" max="9738" width="11.5703125" style="108" customWidth="1"/>
    <col min="9739" max="9739" width="128.140625" style="108" customWidth="1"/>
    <col min="9740" max="9984" width="11.5703125" style="108" customWidth="1"/>
    <col min="9985" max="9985" width="1.140625" style="108" customWidth="1"/>
    <col min="9986" max="9986" width="29.42578125" style="108" customWidth="1"/>
    <col min="9987" max="9987" width="15.5703125" style="108" customWidth="1"/>
    <col min="9988" max="9988" width="11.85546875" style="108" customWidth="1"/>
    <col min="9989" max="9989" width="7" style="108" customWidth="1"/>
    <col min="9990" max="9990" width="32.5703125" style="108" customWidth="1"/>
    <col min="9991" max="9991" width="8.140625" style="108" customWidth="1"/>
    <col min="9992" max="9992" width="20.140625" style="108" customWidth="1"/>
    <col min="9993" max="9993" width="119.85546875" style="108" customWidth="1"/>
    <col min="9994" max="9994" width="11.5703125" style="108" customWidth="1"/>
    <col min="9995" max="9995" width="128.140625" style="108" customWidth="1"/>
    <col min="9996" max="10240" width="11.5703125" style="108" customWidth="1"/>
    <col min="10241" max="10241" width="1.140625" style="108" customWidth="1"/>
    <col min="10242" max="10242" width="29.42578125" style="108" customWidth="1"/>
    <col min="10243" max="10243" width="15.5703125" style="108" customWidth="1"/>
    <col min="10244" max="10244" width="11.85546875" style="108" customWidth="1"/>
    <col min="10245" max="10245" width="7" style="108" customWidth="1"/>
    <col min="10246" max="10246" width="32.5703125" style="108" customWidth="1"/>
    <col min="10247" max="10247" width="8.140625" style="108" customWidth="1"/>
    <col min="10248" max="10248" width="20.140625" style="108" customWidth="1"/>
    <col min="10249" max="10249" width="119.85546875" style="108" customWidth="1"/>
    <col min="10250" max="10250" width="11.5703125" style="108" customWidth="1"/>
    <col min="10251" max="10251" width="128.140625" style="108" customWidth="1"/>
    <col min="10252" max="10496" width="11.5703125" style="108" customWidth="1"/>
    <col min="10497" max="10497" width="1.140625" style="108" customWidth="1"/>
    <col min="10498" max="10498" width="29.42578125" style="108" customWidth="1"/>
    <col min="10499" max="10499" width="15.5703125" style="108" customWidth="1"/>
    <col min="10500" max="10500" width="11.85546875" style="108" customWidth="1"/>
    <col min="10501" max="10501" width="7" style="108" customWidth="1"/>
    <col min="10502" max="10502" width="32.5703125" style="108" customWidth="1"/>
    <col min="10503" max="10503" width="8.140625" style="108" customWidth="1"/>
    <col min="10504" max="10504" width="20.140625" style="108" customWidth="1"/>
    <col min="10505" max="10505" width="119.85546875" style="108" customWidth="1"/>
    <col min="10506" max="10506" width="11.5703125" style="108" customWidth="1"/>
    <col min="10507" max="10507" width="128.140625" style="108" customWidth="1"/>
    <col min="10508" max="10752" width="11.5703125" style="108" customWidth="1"/>
    <col min="10753" max="10753" width="1.140625" style="108" customWidth="1"/>
    <col min="10754" max="10754" width="29.42578125" style="108" customWidth="1"/>
    <col min="10755" max="10755" width="15.5703125" style="108" customWidth="1"/>
    <col min="10756" max="10756" width="11.85546875" style="108" customWidth="1"/>
    <col min="10757" max="10757" width="7" style="108" customWidth="1"/>
    <col min="10758" max="10758" width="32.5703125" style="108" customWidth="1"/>
    <col min="10759" max="10759" width="8.140625" style="108" customWidth="1"/>
    <col min="10760" max="10760" width="20.140625" style="108" customWidth="1"/>
    <col min="10761" max="10761" width="119.85546875" style="108" customWidth="1"/>
    <col min="10762" max="10762" width="11.5703125" style="108" customWidth="1"/>
    <col min="10763" max="10763" width="128.140625" style="108" customWidth="1"/>
    <col min="10764" max="11008" width="11.5703125" style="108" customWidth="1"/>
    <col min="11009" max="11009" width="1.140625" style="108" customWidth="1"/>
    <col min="11010" max="11010" width="29.42578125" style="108" customWidth="1"/>
    <col min="11011" max="11011" width="15.5703125" style="108" customWidth="1"/>
    <col min="11012" max="11012" width="11.85546875" style="108" customWidth="1"/>
    <col min="11013" max="11013" width="7" style="108" customWidth="1"/>
    <col min="11014" max="11014" width="32.5703125" style="108" customWidth="1"/>
    <col min="11015" max="11015" width="8.140625" style="108" customWidth="1"/>
    <col min="11016" max="11016" width="20.140625" style="108" customWidth="1"/>
    <col min="11017" max="11017" width="119.85546875" style="108" customWidth="1"/>
    <col min="11018" max="11018" width="11.5703125" style="108" customWidth="1"/>
    <col min="11019" max="11019" width="128.140625" style="108" customWidth="1"/>
    <col min="11020" max="11264" width="11.5703125" style="108" customWidth="1"/>
    <col min="11265" max="11265" width="1.140625" style="108" customWidth="1"/>
    <col min="11266" max="11266" width="29.42578125" style="108" customWidth="1"/>
    <col min="11267" max="11267" width="15.5703125" style="108" customWidth="1"/>
    <col min="11268" max="11268" width="11.85546875" style="108" customWidth="1"/>
    <col min="11269" max="11269" width="7" style="108" customWidth="1"/>
    <col min="11270" max="11270" width="32.5703125" style="108" customWidth="1"/>
    <col min="11271" max="11271" width="8.140625" style="108" customWidth="1"/>
    <col min="11272" max="11272" width="20.140625" style="108" customWidth="1"/>
    <col min="11273" max="11273" width="119.85546875" style="108" customWidth="1"/>
    <col min="11274" max="11274" width="11.5703125" style="108" customWidth="1"/>
    <col min="11275" max="11275" width="128.140625" style="108" customWidth="1"/>
    <col min="11276" max="11520" width="11.5703125" style="108" customWidth="1"/>
    <col min="11521" max="11521" width="1.140625" style="108" customWidth="1"/>
    <col min="11522" max="11522" width="29.42578125" style="108" customWidth="1"/>
    <col min="11523" max="11523" width="15.5703125" style="108" customWidth="1"/>
    <col min="11524" max="11524" width="11.85546875" style="108" customWidth="1"/>
    <col min="11525" max="11525" width="7" style="108" customWidth="1"/>
    <col min="11526" max="11526" width="32.5703125" style="108" customWidth="1"/>
    <col min="11527" max="11527" width="8.140625" style="108" customWidth="1"/>
    <col min="11528" max="11528" width="20.140625" style="108" customWidth="1"/>
    <col min="11529" max="11529" width="119.85546875" style="108" customWidth="1"/>
    <col min="11530" max="11530" width="11.5703125" style="108" customWidth="1"/>
    <col min="11531" max="11531" width="128.140625" style="108" customWidth="1"/>
    <col min="11532" max="11776" width="11.5703125" style="108" customWidth="1"/>
    <col min="11777" max="11777" width="1.140625" style="108" customWidth="1"/>
    <col min="11778" max="11778" width="29.42578125" style="108" customWidth="1"/>
    <col min="11779" max="11779" width="15.5703125" style="108" customWidth="1"/>
    <col min="11780" max="11780" width="11.85546875" style="108" customWidth="1"/>
    <col min="11781" max="11781" width="7" style="108" customWidth="1"/>
    <col min="11782" max="11782" width="32.5703125" style="108" customWidth="1"/>
    <col min="11783" max="11783" width="8.140625" style="108" customWidth="1"/>
    <col min="11784" max="11784" width="20.140625" style="108" customWidth="1"/>
    <col min="11785" max="11785" width="119.85546875" style="108" customWidth="1"/>
    <col min="11786" max="11786" width="11.5703125" style="108" customWidth="1"/>
    <col min="11787" max="11787" width="128.140625" style="108" customWidth="1"/>
    <col min="11788" max="12032" width="11.5703125" style="108" customWidth="1"/>
    <col min="12033" max="12033" width="1.140625" style="108" customWidth="1"/>
    <col min="12034" max="12034" width="29.42578125" style="108" customWidth="1"/>
    <col min="12035" max="12035" width="15.5703125" style="108" customWidth="1"/>
    <col min="12036" max="12036" width="11.85546875" style="108" customWidth="1"/>
    <col min="12037" max="12037" width="7" style="108" customWidth="1"/>
    <col min="12038" max="12038" width="32.5703125" style="108" customWidth="1"/>
    <col min="12039" max="12039" width="8.140625" style="108" customWidth="1"/>
    <col min="12040" max="12040" width="20.140625" style="108" customWidth="1"/>
    <col min="12041" max="12041" width="119.85546875" style="108" customWidth="1"/>
    <col min="12042" max="12042" width="11.5703125" style="108" customWidth="1"/>
    <col min="12043" max="12043" width="128.140625" style="108" customWidth="1"/>
    <col min="12044" max="12288" width="11.5703125" style="108" customWidth="1"/>
    <col min="12289" max="12289" width="1.140625" style="108" customWidth="1"/>
    <col min="12290" max="12290" width="29.42578125" style="108" customWidth="1"/>
    <col min="12291" max="12291" width="15.5703125" style="108" customWidth="1"/>
    <col min="12292" max="12292" width="11.85546875" style="108" customWidth="1"/>
    <col min="12293" max="12293" width="7" style="108" customWidth="1"/>
    <col min="12294" max="12294" width="32.5703125" style="108" customWidth="1"/>
    <col min="12295" max="12295" width="8.140625" style="108" customWidth="1"/>
    <col min="12296" max="12296" width="20.140625" style="108" customWidth="1"/>
    <col min="12297" max="12297" width="119.85546875" style="108" customWidth="1"/>
    <col min="12298" max="12298" width="11.5703125" style="108" customWidth="1"/>
    <col min="12299" max="12299" width="128.140625" style="108" customWidth="1"/>
    <col min="12300" max="12544" width="11.5703125" style="108" customWidth="1"/>
    <col min="12545" max="12545" width="1.140625" style="108" customWidth="1"/>
    <col min="12546" max="12546" width="29.42578125" style="108" customWidth="1"/>
    <col min="12547" max="12547" width="15.5703125" style="108" customWidth="1"/>
    <col min="12548" max="12548" width="11.85546875" style="108" customWidth="1"/>
    <col min="12549" max="12549" width="7" style="108" customWidth="1"/>
    <col min="12550" max="12550" width="32.5703125" style="108" customWidth="1"/>
    <col min="12551" max="12551" width="8.140625" style="108" customWidth="1"/>
    <col min="12552" max="12552" width="20.140625" style="108" customWidth="1"/>
    <col min="12553" max="12553" width="119.85546875" style="108" customWidth="1"/>
    <col min="12554" max="12554" width="11.5703125" style="108" customWidth="1"/>
    <col min="12555" max="12555" width="128.140625" style="108" customWidth="1"/>
    <col min="12556" max="12800" width="11.5703125" style="108" customWidth="1"/>
    <col min="12801" max="12801" width="1.140625" style="108" customWidth="1"/>
    <col min="12802" max="12802" width="29.42578125" style="108" customWidth="1"/>
    <col min="12803" max="12803" width="15.5703125" style="108" customWidth="1"/>
    <col min="12804" max="12804" width="11.85546875" style="108" customWidth="1"/>
    <col min="12805" max="12805" width="7" style="108" customWidth="1"/>
    <col min="12806" max="12806" width="32.5703125" style="108" customWidth="1"/>
    <col min="12807" max="12807" width="8.140625" style="108" customWidth="1"/>
    <col min="12808" max="12808" width="20.140625" style="108" customWidth="1"/>
    <col min="12809" max="12809" width="119.85546875" style="108" customWidth="1"/>
    <col min="12810" max="12810" width="11.5703125" style="108" customWidth="1"/>
    <col min="12811" max="12811" width="128.140625" style="108" customWidth="1"/>
    <col min="12812" max="13056" width="11.5703125" style="108" customWidth="1"/>
    <col min="13057" max="13057" width="1.140625" style="108" customWidth="1"/>
    <col min="13058" max="13058" width="29.42578125" style="108" customWidth="1"/>
    <col min="13059" max="13059" width="15.5703125" style="108" customWidth="1"/>
    <col min="13060" max="13060" width="11.85546875" style="108" customWidth="1"/>
    <col min="13061" max="13061" width="7" style="108" customWidth="1"/>
    <col min="13062" max="13062" width="32.5703125" style="108" customWidth="1"/>
    <col min="13063" max="13063" width="8.140625" style="108" customWidth="1"/>
    <col min="13064" max="13064" width="20.140625" style="108" customWidth="1"/>
    <col min="13065" max="13065" width="119.85546875" style="108" customWidth="1"/>
    <col min="13066" max="13066" width="11.5703125" style="108" customWidth="1"/>
    <col min="13067" max="13067" width="128.140625" style="108" customWidth="1"/>
    <col min="13068" max="13312" width="11.5703125" style="108" customWidth="1"/>
    <col min="13313" max="13313" width="1.140625" style="108" customWidth="1"/>
    <col min="13314" max="13314" width="29.42578125" style="108" customWidth="1"/>
    <col min="13315" max="13315" width="15.5703125" style="108" customWidth="1"/>
    <col min="13316" max="13316" width="11.85546875" style="108" customWidth="1"/>
    <col min="13317" max="13317" width="7" style="108" customWidth="1"/>
    <col min="13318" max="13318" width="32.5703125" style="108" customWidth="1"/>
    <col min="13319" max="13319" width="8.140625" style="108" customWidth="1"/>
    <col min="13320" max="13320" width="20.140625" style="108" customWidth="1"/>
    <col min="13321" max="13321" width="119.85546875" style="108" customWidth="1"/>
    <col min="13322" max="13322" width="11.5703125" style="108" customWidth="1"/>
    <col min="13323" max="13323" width="128.140625" style="108" customWidth="1"/>
    <col min="13324" max="13568" width="11.5703125" style="108" customWidth="1"/>
    <col min="13569" max="13569" width="1.140625" style="108" customWidth="1"/>
    <col min="13570" max="13570" width="29.42578125" style="108" customWidth="1"/>
    <col min="13571" max="13571" width="15.5703125" style="108" customWidth="1"/>
    <col min="13572" max="13572" width="11.85546875" style="108" customWidth="1"/>
    <col min="13573" max="13573" width="7" style="108" customWidth="1"/>
    <col min="13574" max="13574" width="32.5703125" style="108" customWidth="1"/>
    <col min="13575" max="13575" width="8.140625" style="108" customWidth="1"/>
    <col min="13576" max="13576" width="20.140625" style="108" customWidth="1"/>
    <col min="13577" max="13577" width="119.85546875" style="108" customWidth="1"/>
    <col min="13578" max="13578" width="11.5703125" style="108" customWidth="1"/>
    <col min="13579" max="13579" width="128.140625" style="108" customWidth="1"/>
    <col min="13580" max="13824" width="11.5703125" style="108" customWidth="1"/>
    <col min="13825" max="13825" width="1.140625" style="108" customWidth="1"/>
    <col min="13826" max="13826" width="29.42578125" style="108" customWidth="1"/>
    <col min="13827" max="13827" width="15.5703125" style="108" customWidth="1"/>
    <col min="13828" max="13828" width="11.85546875" style="108" customWidth="1"/>
    <col min="13829" max="13829" width="7" style="108" customWidth="1"/>
    <col min="13830" max="13830" width="32.5703125" style="108" customWidth="1"/>
    <col min="13831" max="13831" width="8.140625" style="108" customWidth="1"/>
    <col min="13832" max="13832" width="20.140625" style="108" customWidth="1"/>
    <col min="13833" max="13833" width="119.85546875" style="108" customWidth="1"/>
    <col min="13834" max="13834" width="11.5703125" style="108" customWidth="1"/>
    <col min="13835" max="13835" width="128.140625" style="108" customWidth="1"/>
    <col min="13836" max="14080" width="11.5703125" style="108" customWidth="1"/>
    <col min="14081" max="14081" width="1.140625" style="108" customWidth="1"/>
    <col min="14082" max="14082" width="29.42578125" style="108" customWidth="1"/>
    <col min="14083" max="14083" width="15.5703125" style="108" customWidth="1"/>
    <col min="14084" max="14084" width="11.85546875" style="108" customWidth="1"/>
    <col min="14085" max="14085" width="7" style="108" customWidth="1"/>
    <col min="14086" max="14086" width="32.5703125" style="108" customWidth="1"/>
    <col min="14087" max="14087" width="8.140625" style="108" customWidth="1"/>
    <col min="14088" max="14088" width="20.140625" style="108" customWidth="1"/>
    <col min="14089" max="14089" width="119.85546875" style="108" customWidth="1"/>
    <col min="14090" max="14090" width="11.5703125" style="108" customWidth="1"/>
    <col min="14091" max="14091" width="128.140625" style="108" customWidth="1"/>
    <col min="14092" max="14336" width="11.5703125" style="108" customWidth="1"/>
    <col min="14337" max="14337" width="1.140625" style="108" customWidth="1"/>
    <col min="14338" max="14338" width="29.42578125" style="108" customWidth="1"/>
    <col min="14339" max="14339" width="15.5703125" style="108" customWidth="1"/>
    <col min="14340" max="14340" width="11.85546875" style="108" customWidth="1"/>
    <col min="14341" max="14341" width="7" style="108" customWidth="1"/>
    <col min="14342" max="14342" width="32.5703125" style="108" customWidth="1"/>
    <col min="14343" max="14343" width="8.140625" style="108" customWidth="1"/>
    <col min="14344" max="14344" width="20.140625" style="108" customWidth="1"/>
    <col min="14345" max="14345" width="119.85546875" style="108" customWidth="1"/>
    <col min="14346" max="14346" width="11.5703125" style="108" customWidth="1"/>
    <col min="14347" max="14347" width="128.140625" style="108" customWidth="1"/>
    <col min="14348" max="14592" width="11.5703125" style="108" customWidth="1"/>
    <col min="14593" max="14593" width="1.140625" style="108" customWidth="1"/>
    <col min="14594" max="14594" width="29.42578125" style="108" customWidth="1"/>
    <col min="14595" max="14595" width="15.5703125" style="108" customWidth="1"/>
    <col min="14596" max="14596" width="11.85546875" style="108" customWidth="1"/>
    <col min="14597" max="14597" width="7" style="108" customWidth="1"/>
    <col min="14598" max="14598" width="32.5703125" style="108" customWidth="1"/>
    <col min="14599" max="14599" width="8.140625" style="108" customWidth="1"/>
    <col min="14600" max="14600" width="20.140625" style="108" customWidth="1"/>
    <col min="14601" max="14601" width="119.85546875" style="108" customWidth="1"/>
    <col min="14602" max="14602" width="11.5703125" style="108" customWidth="1"/>
    <col min="14603" max="14603" width="128.140625" style="108" customWidth="1"/>
    <col min="14604" max="14848" width="11.5703125" style="108" customWidth="1"/>
    <col min="14849" max="14849" width="1.140625" style="108" customWidth="1"/>
    <col min="14850" max="14850" width="29.42578125" style="108" customWidth="1"/>
    <col min="14851" max="14851" width="15.5703125" style="108" customWidth="1"/>
    <col min="14852" max="14852" width="11.85546875" style="108" customWidth="1"/>
    <col min="14853" max="14853" width="7" style="108" customWidth="1"/>
    <col min="14854" max="14854" width="32.5703125" style="108" customWidth="1"/>
    <col min="14855" max="14855" width="8.140625" style="108" customWidth="1"/>
    <col min="14856" max="14856" width="20.140625" style="108" customWidth="1"/>
    <col min="14857" max="14857" width="119.85546875" style="108" customWidth="1"/>
    <col min="14858" max="14858" width="11.5703125" style="108" customWidth="1"/>
    <col min="14859" max="14859" width="128.140625" style="108" customWidth="1"/>
    <col min="14860" max="15104" width="11.5703125" style="108" customWidth="1"/>
    <col min="15105" max="15105" width="1.140625" style="108" customWidth="1"/>
    <col min="15106" max="15106" width="29.42578125" style="108" customWidth="1"/>
    <col min="15107" max="15107" width="15.5703125" style="108" customWidth="1"/>
    <col min="15108" max="15108" width="11.85546875" style="108" customWidth="1"/>
    <col min="15109" max="15109" width="7" style="108" customWidth="1"/>
    <col min="15110" max="15110" width="32.5703125" style="108" customWidth="1"/>
    <col min="15111" max="15111" width="8.140625" style="108" customWidth="1"/>
    <col min="15112" max="15112" width="20.140625" style="108" customWidth="1"/>
    <col min="15113" max="15113" width="119.85546875" style="108" customWidth="1"/>
    <col min="15114" max="15114" width="11.5703125" style="108" customWidth="1"/>
    <col min="15115" max="15115" width="128.140625" style="108" customWidth="1"/>
    <col min="15116" max="15360" width="11.5703125" style="108" customWidth="1"/>
    <col min="15361" max="15361" width="1.140625" style="108" customWidth="1"/>
    <col min="15362" max="15362" width="29.42578125" style="108" customWidth="1"/>
    <col min="15363" max="15363" width="15.5703125" style="108" customWidth="1"/>
    <col min="15364" max="15364" width="11.85546875" style="108" customWidth="1"/>
    <col min="15365" max="15365" width="7" style="108" customWidth="1"/>
    <col min="15366" max="15366" width="32.5703125" style="108" customWidth="1"/>
    <col min="15367" max="15367" width="8.140625" style="108" customWidth="1"/>
    <col min="15368" max="15368" width="20.140625" style="108" customWidth="1"/>
    <col min="15369" max="15369" width="119.85546875" style="108" customWidth="1"/>
    <col min="15370" max="15370" width="11.5703125" style="108" customWidth="1"/>
    <col min="15371" max="15371" width="128.140625" style="108" customWidth="1"/>
    <col min="15372" max="15616" width="11.5703125" style="108" customWidth="1"/>
    <col min="15617" max="15617" width="1.140625" style="108" customWidth="1"/>
    <col min="15618" max="15618" width="29.42578125" style="108" customWidth="1"/>
    <col min="15619" max="15619" width="15.5703125" style="108" customWidth="1"/>
    <col min="15620" max="15620" width="11.85546875" style="108" customWidth="1"/>
    <col min="15621" max="15621" width="7" style="108" customWidth="1"/>
    <col min="15622" max="15622" width="32.5703125" style="108" customWidth="1"/>
    <col min="15623" max="15623" width="8.140625" style="108" customWidth="1"/>
    <col min="15624" max="15624" width="20.140625" style="108" customWidth="1"/>
    <col min="15625" max="15625" width="119.85546875" style="108" customWidth="1"/>
    <col min="15626" max="15626" width="11.5703125" style="108" customWidth="1"/>
    <col min="15627" max="15627" width="128.140625" style="108" customWidth="1"/>
    <col min="15628" max="15872" width="11.5703125" style="108" customWidth="1"/>
    <col min="15873" max="15873" width="1.140625" style="108" customWidth="1"/>
    <col min="15874" max="15874" width="29.42578125" style="108" customWidth="1"/>
    <col min="15875" max="15875" width="15.5703125" style="108" customWidth="1"/>
    <col min="15876" max="15876" width="11.85546875" style="108" customWidth="1"/>
    <col min="15877" max="15877" width="7" style="108" customWidth="1"/>
    <col min="15878" max="15878" width="32.5703125" style="108" customWidth="1"/>
    <col min="15879" max="15879" width="8.140625" style="108" customWidth="1"/>
    <col min="15880" max="15880" width="20.140625" style="108" customWidth="1"/>
    <col min="15881" max="15881" width="119.85546875" style="108" customWidth="1"/>
    <col min="15882" max="15882" width="11.5703125" style="108" customWidth="1"/>
    <col min="15883" max="15883" width="128.140625" style="108" customWidth="1"/>
    <col min="15884" max="16128" width="11.5703125" style="108" customWidth="1"/>
    <col min="16129" max="16129" width="1.140625" style="108" customWidth="1"/>
    <col min="16130" max="16130" width="29.42578125" style="108" customWidth="1"/>
    <col min="16131" max="16131" width="15.5703125" style="108" customWidth="1"/>
    <col min="16132" max="16132" width="11.85546875" style="108" customWidth="1"/>
    <col min="16133" max="16133" width="7" style="108" customWidth="1"/>
    <col min="16134" max="16134" width="32.5703125" style="108" customWidth="1"/>
    <col min="16135" max="16135" width="8.140625" style="108" customWidth="1"/>
    <col min="16136" max="16136" width="20.140625" style="108" customWidth="1"/>
    <col min="16137" max="16137" width="119.85546875" style="108" customWidth="1"/>
    <col min="16138" max="16138" width="11.5703125" style="108" customWidth="1"/>
    <col min="16139" max="16139" width="128.140625" style="108" customWidth="1"/>
    <col min="16140" max="16384" width="11.5703125" style="108" customWidth="1"/>
  </cols>
  <sheetData>
    <row r="1" spans="2:10" x14ac:dyDescent="0.25">
      <c r="B1" s="309" t="s">
        <v>857</v>
      </c>
    </row>
    <row r="2" spans="2:10" x14ac:dyDescent="0.25">
      <c r="B2" s="401" t="s">
        <v>464</v>
      </c>
      <c r="C2" s="402"/>
      <c r="D2" s="402"/>
      <c r="E2" s="402"/>
      <c r="F2" s="402"/>
      <c r="G2" s="402"/>
      <c r="H2" s="402"/>
      <c r="I2" s="403"/>
      <c r="J2" s="107"/>
    </row>
    <row r="4" spans="2:10" x14ac:dyDescent="0.25">
      <c r="B4" s="109" t="s">
        <v>86</v>
      </c>
      <c r="C4" s="110"/>
      <c r="D4" s="110"/>
      <c r="E4" s="110"/>
      <c r="F4" s="110"/>
      <c r="G4" s="111"/>
    </row>
    <row r="5" spans="2:10" s="112" customFormat="1" x14ac:dyDescent="0.25"/>
    <row r="6" spans="2:10" s="112" customFormat="1" x14ac:dyDescent="0.25">
      <c r="B6" s="113" t="s">
        <v>87</v>
      </c>
      <c r="C6" s="395" t="s">
        <v>465</v>
      </c>
      <c r="D6" s="395"/>
      <c r="E6" s="395"/>
      <c r="F6" s="395"/>
      <c r="G6" s="114"/>
    </row>
    <row r="7" spans="2:10" s="112" customFormat="1" x14ac:dyDescent="0.25">
      <c r="B7" s="115" t="s">
        <v>88</v>
      </c>
      <c r="C7" s="404" t="s">
        <v>820</v>
      </c>
      <c r="D7" s="404"/>
      <c r="E7" s="404"/>
      <c r="F7" s="404"/>
      <c r="G7" s="116"/>
    </row>
    <row r="8" spans="2:10" s="112" customFormat="1" x14ac:dyDescent="0.25">
      <c r="B8" s="113" t="s">
        <v>89</v>
      </c>
      <c r="C8" s="395" t="s">
        <v>467</v>
      </c>
      <c r="D8" s="395"/>
      <c r="E8" s="395"/>
      <c r="F8" s="395"/>
      <c r="G8" s="114"/>
    </row>
    <row r="9" spans="2:10" s="112" customFormat="1" x14ac:dyDescent="0.25">
      <c r="B9" s="113" t="s">
        <v>90</v>
      </c>
      <c r="C9" s="395" t="s">
        <v>821</v>
      </c>
      <c r="D9" s="395"/>
      <c r="E9" s="395"/>
      <c r="F9" s="395"/>
      <c r="G9" s="114"/>
    </row>
    <row r="10" spans="2:10" s="112" customFormat="1" x14ac:dyDescent="0.25">
      <c r="B10" s="113" t="s">
        <v>225</v>
      </c>
      <c r="C10" s="395" t="s">
        <v>469</v>
      </c>
      <c r="D10" s="395"/>
      <c r="E10" s="395"/>
      <c r="F10" s="395"/>
      <c r="G10" s="114"/>
    </row>
    <row r="11" spans="2:10" s="112" customFormat="1" x14ac:dyDescent="0.25">
      <c r="B11" s="113" t="s">
        <v>91</v>
      </c>
      <c r="C11" s="395">
        <v>3</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c r="C15" s="400"/>
      <c r="D15" s="395"/>
      <c r="E15" s="395"/>
      <c r="F15" s="395"/>
      <c r="G15" s="114"/>
    </row>
    <row r="16" spans="2:10" s="112" customFormat="1" x14ac:dyDescent="0.25"/>
    <row r="17" spans="2:7" s="112" customFormat="1" x14ac:dyDescent="0.25">
      <c r="B17" s="277" t="s">
        <v>95</v>
      </c>
      <c r="C17" s="277" t="s">
        <v>96</v>
      </c>
      <c r="D17" s="277" t="s">
        <v>97</v>
      </c>
      <c r="E17" s="277" t="s">
        <v>98</v>
      </c>
      <c r="F17" s="277" t="s">
        <v>99</v>
      </c>
      <c r="G17" s="117"/>
    </row>
    <row r="18" spans="2:7" s="112" customFormat="1" x14ac:dyDescent="0.25">
      <c r="B18" s="273" t="s">
        <v>822</v>
      </c>
      <c r="C18" s="23">
        <v>1.5</v>
      </c>
      <c r="D18" s="23">
        <v>2</v>
      </c>
      <c r="E18" s="23">
        <v>2</v>
      </c>
      <c r="F18" s="23" t="s">
        <v>864</v>
      </c>
      <c r="G18" s="116"/>
    </row>
    <row r="19" spans="2:7" s="112" customFormat="1" x14ac:dyDescent="0.25">
      <c r="B19" s="120"/>
      <c r="C19" s="116"/>
      <c r="D19" s="116"/>
      <c r="E19" s="116"/>
      <c r="F19" s="116"/>
      <c r="G19" s="116"/>
    </row>
    <row r="20" spans="2:7" s="112" customFormat="1" x14ac:dyDescent="0.25">
      <c r="B20" s="379" t="s">
        <v>100</v>
      </c>
      <c r="C20" s="380"/>
      <c r="D20" s="380"/>
      <c r="E20" s="380"/>
      <c r="F20" s="381"/>
      <c r="G20" s="121"/>
    </row>
    <row r="21" spans="2:7" s="112" customFormat="1" x14ac:dyDescent="0.25">
      <c r="B21" s="382" t="s">
        <v>823</v>
      </c>
      <c r="C21" s="415"/>
      <c r="D21" s="415"/>
      <c r="E21" s="415"/>
      <c r="F21" s="416"/>
      <c r="G21" s="122"/>
    </row>
    <row r="22" spans="2:7" s="112" customFormat="1" x14ac:dyDescent="0.25">
      <c r="B22" s="379" t="s">
        <v>101</v>
      </c>
      <c r="C22" s="380"/>
      <c r="D22" s="380"/>
      <c r="E22" s="380"/>
      <c r="F22" s="381"/>
      <c r="G22" s="121"/>
    </row>
    <row r="23" spans="2:7" s="112" customFormat="1" x14ac:dyDescent="0.25">
      <c r="B23" s="382" t="s">
        <v>824</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x14ac:dyDescent="0.25">
      <c r="B26" s="392" t="s">
        <v>825</v>
      </c>
      <c r="C26" s="415"/>
      <c r="D26" s="415"/>
      <c r="E26" s="415"/>
      <c r="F26" s="416"/>
      <c r="G26" s="122"/>
    </row>
    <row r="27" spans="2:7" s="112" customFormat="1" x14ac:dyDescent="0.25"/>
    <row r="28" spans="2:7" s="112" customFormat="1" x14ac:dyDescent="0.25">
      <c r="B28" s="379" t="s">
        <v>103</v>
      </c>
      <c r="C28" s="380"/>
      <c r="D28" s="380"/>
      <c r="E28" s="380"/>
      <c r="F28" s="381"/>
      <c r="G28" s="117"/>
    </row>
    <row r="29" spans="2:7" s="112" customFormat="1" x14ac:dyDescent="0.25">
      <c r="B29" s="389" t="s">
        <v>826</v>
      </c>
      <c r="C29" s="390"/>
      <c r="D29" s="390"/>
      <c r="E29" s="390"/>
      <c r="F29" s="391"/>
      <c r="G29" s="124"/>
    </row>
    <row r="30" spans="2:7" s="112" customFormat="1" x14ac:dyDescent="0.25">
      <c r="B30" s="389" t="s">
        <v>827</v>
      </c>
      <c r="C30" s="390"/>
      <c r="D30" s="390"/>
      <c r="E30" s="390"/>
      <c r="F30" s="391"/>
      <c r="G30" s="124"/>
    </row>
    <row r="31" spans="2:7" s="112" customFormat="1" x14ac:dyDescent="0.25">
      <c r="B31" s="389" t="s">
        <v>828</v>
      </c>
      <c r="C31" s="390"/>
      <c r="D31" s="390"/>
      <c r="E31" s="390"/>
      <c r="F31" s="391"/>
      <c r="G31" s="124"/>
    </row>
    <row r="32" spans="2:7" s="112" customFormat="1" x14ac:dyDescent="0.25">
      <c r="G32" s="124"/>
    </row>
    <row r="33" spans="2:7" s="112" customFormat="1" x14ac:dyDescent="0.25">
      <c r="B33" s="389"/>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283.35000000000002" customHeight="1" x14ac:dyDescent="0.25">
      <c r="B40" s="420" t="s">
        <v>829</v>
      </c>
      <c r="C40" s="421"/>
      <c r="D40" s="421"/>
      <c r="E40" s="421"/>
      <c r="F40" s="422"/>
      <c r="G40" s="123"/>
    </row>
    <row r="41" spans="2:7" s="112" customFormat="1" x14ac:dyDescent="0.25">
      <c r="B41" s="125"/>
      <c r="C41" s="276"/>
      <c r="D41" s="276"/>
      <c r="E41" s="276"/>
      <c r="F41" s="276"/>
      <c r="G41" s="276"/>
    </row>
    <row r="42" spans="2:7" s="112" customFormat="1" x14ac:dyDescent="0.25">
      <c r="B42" s="379" t="s">
        <v>473</v>
      </c>
      <c r="C42" s="380"/>
      <c r="D42" s="380"/>
      <c r="E42" s="380"/>
      <c r="F42" s="381"/>
      <c r="G42" s="121"/>
    </row>
    <row r="43" spans="2:7" s="112" customFormat="1" x14ac:dyDescent="0.25">
      <c r="B43" s="274" t="s">
        <v>474</v>
      </c>
      <c r="C43" s="388"/>
      <c r="D43" s="388"/>
      <c r="E43" s="388"/>
      <c r="F43" s="388"/>
      <c r="G43" s="123"/>
    </row>
    <row r="44" spans="2:7" s="112" customFormat="1" x14ac:dyDescent="0.25">
      <c r="B44" s="274" t="s">
        <v>476</v>
      </c>
      <c r="C44" s="388"/>
      <c r="D44" s="388"/>
      <c r="E44" s="388"/>
      <c r="F44" s="388"/>
      <c r="G44" s="123"/>
    </row>
    <row r="45" spans="2:7" s="112" customFormat="1" x14ac:dyDescent="0.25">
      <c r="B45" s="274" t="s">
        <v>478</v>
      </c>
      <c r="C45" s="392"/>
      <c r="D45" s="383"/>
      <c r="E45" s="383"/>
      <c r="F45" s="384"/>
      <c r="G45" s="123"/>
    </row>
    <row r="46" spans="2:7" s="112" customFormat="1" x14ac:dyDescent="0.25">
      <c r="B46" s="274"/>
      <c r="C46" s="388"/>
      <c r="D46" s="388"/>
      <c r="E46" s="388"/>
      <c r="F46" s="388"/>
      <c r="G46" s="123"/>
    </row>
    <row r="47" spans="2:7" s="112" customFormat="1" x14ac:dyDescent="0.25">
      <c r="B47" s="274"/>
      <c r="C47" s="388"/>
      <c r="D47" s="388"/>
      <c r="E47" s="388"/>
      <c r="F47" s="388"/>
      <c r="G47" s="123"/>
    </row>
    <row r="48" spans="2:7" s="112" customFormat="1" x14ac:dyDescent="0.25"/>
    <row r="49" spans="1:7" s="112" customFormat="1" x14ac:dyDescent="0.25">
      <c r="B49" s="379" t="s">
        <v>106</v>
      </c>
      <c r="C49" s="380"/>
      <c r="D49" s="380"/>
      <c r="E49" s="380"/>
      <c r="F49" s="381"/>
      <c r="G49" s="121"/>
    </row>
    <row r="50" spans="1:7" s="112" customFormat="1" x14ac:dyDescent="0.25">
      <c r="B50" s="392"/>
      <c r="C50" s="383"/>
      <c r="D50" s="383"/>
      <c r="E50" s="383"/>
      <c r="F50" s="384"/>
      <c r="G50" s="276"/>
    </row>
    <row r="51" spans="1:7" s="112" customFormat="1" x14ac:dyDescent="0.25"/>
    <row r="52" spans="1:7" s="112" customFormat="1" x14ac:dyDescent="0.25">
      <c r="B52" s="379" t="s">
        <v>240</v>
      </c>
      <c r="C52" s="380"/>
      <c r="D52" s="380"/>
      <c r="E52" s="380"/>
      <c r="F52" s="381"/>
      <c r="G52" s="121"/>
    </row>
    <row r="53" spans="1:7" s="112" customFormat="1" x14ac:dyDescent="0.25">
      <c r="B53" s="128" t="s">
        <v>241</v>
      </c>
      <c r="C53" s="128" t="s">
        <v>242</v>
      </c>
      <c r="D53" s="379" t="s">
        <v>243</v>
      </c>
      <c r="E53" s="380"/>
      <c r="F53" s="381"/>
      <c r="G53" s="121"/>
    </row>
    <row r="54" spans="1:7" s="112" customFormat="1" x14ac:dyDescent="0.25">
      <c r="A54" s="170"/>
      <c r="B54" s="274"/>
      <c r="C54" s="274"/>
      <c r="D54" s="443"/>
      <c r="E54" s="406"/>
      <c r="F54" s="407"/>
      <c r="G54" s="275"/>
    </row>
    <row r="55" spans="1:7" s="112" customFormat="1" x14ac:dyDescent="0.25">
      <c r="B55" s="129"/>
      <c r="C55" s="129"/>
      <c r="D55" s="405"/>
      <c r="E55" s="406"/>
      <c r="F55" s="407"/>
      <c r="G55" s="275"/>
    </row>
    <row r="56" spans="1:7" s="112" customFormat="1" x14ac:dyDescent="0.25">
      <c r="B56" s="131"/>
      <c r="C56" s="131"/>
      <c r="D56" s="405"/>
      <c r="E56" s="406"/>
      <c r="F56" s="407"/>
      <c r="G56" s="275"/>
    </row>
    <row r="57" spans="1:7" s="112" customFormat="1" x14ac:dyDescent="0.25"/>
    <row r="58" spans="1:7" s="112" customFormat="1" x14ac:dyDescent="0.25">
      <c r="B58" s="379" t="s">
        <v>107</v>
      </c>
      <c r="C58" s="380"/>
      <c r="D58" s="380"/>
      <c r="E58" s="380"/>
      <c r="F58" s="381"/>
      <c r="G58" s="121"/>
    </row>
    <row r="59" spans="1:7" s="112" customFormat="1" x14ac:dyDescent="0.25">
      <c r="B59" s="385"/>
      <c r="C59" s="386"/>
      <c r="D59" s="386"/>
      <c r="E59" s="386"/>
      <c r="F59" s="387"/>
      <c r="G59" s="276"/>
    </row>
    <row r="60" spans="1:7" s="112" customFormat="1" x14ac:dyDescent="0.25"/>
    <row r="61" spans="1:7" s="112" customFormat="1" x14ac:dyDescent="0.25">
      <c r="B61" s="379" t="s">
        <v>108</v>
      </c>
      <c r="C61" s="380"/>
      <c r="D61" s="380"/>
      <c r="E61" s="380"/>
      <c r="F61" s="381"/>
      <c r="G61" s="121"/>
    </row>
    <row r="62" spans="1:7" x14ac:dyDescent="0.25">
      <c r="B62" s="385"/>
      <c r="C62" s="386"/>
      <c r="D62" s="386"/>
      <c r="E62" s="386"/>
      <c r="F62" s="387"/>
      <c r="G62" s="276"/>
    </row>
  </sheetData>
  <mergeCells count="46">
    <mergeCell ref="B58:F58"/>
    <mergeCell ref="B59:F59"/>
    <mergeCell ref="B61:F61"/>
    <mergeCell ref="B62:F62"/>
    <mergeCell ref="B50:F50"/>
    <mergeCell ref="B52:F52"/>
    <mergeCell ref="D53:F53"/>
    <mergeCell ref="D54:F54"/>
    <mergeCell ref="D55:F55"/>
    <mergeCell ref="D56:F56"/>
    <mergeCell ref="B49:F49"/>
    <mergeCell ref="B35:F35"/>
    <mergeCell ref="B36:F36"/>
    <mergeCell ref="B37:F37"/>
    <mergeCell ref="B39:F39"/>
    <mergeCell ref="B40:F40"/>
    <mergeCell ref="B42:F42"/>
    <mergeCell ref="C43:F43"/>
    <mergeCell ref="C44:F44"/>
    <mergeCell ref="C45:F45"/>
    <mergeCell ref="C46:F46"/>
    <mergeCell ref="C47:F47"/>
    <mergeCell ref="B34:F34"/>
    <mergeCell ref="B20:F20"/>
    <mergeCell ref="B21:F21"/>
    <mergeCell ref="B22:F22"/>
    <mergeCell ref="B23:F23"/>
    <mergeCell ref="B25:F25"/>
    <mergeCell ref="B26:F26"/>
    <mergeCell ref="B28:F28"/>
    <mergeCell ref="B29:F29"/>
    <mergeCell ref="B30:F30"/>
    <mergeCell ref="B31:F31"/>
    <mergeCell ref="B33:F33"/>
    <mergeCell ref="C11:F11"/>
    <mergeCell ref="B13:F13"/>
    <mergeCell ref="B14:C14"/>
    <mergeCell ref="D14:F14"/>
    <mergeCell ref="B15:C15"/>
    <mergeCell ref="D15:F15"/>
    <mergeCell ref="C10:F10"/>
    <mergeCell ref="B2:I2"/>
    <mergeCell ref="C6:F6"/>
    <mergeCell ref="C7:F7"/>
    <mergeCell ref="C8:F8"/>
    <mergeCell ref="C9:F9"/>
  </mergeCells>
  <dataValidations count="2">
    <dataValidation type="list" allowBlank="1" showInputMessage="1" showErrorMessage="1" sqref="C54:C56 IY54:IY56 SU54:SU56 ACQ54:ACQ56 AMM54:AMM56 AWI54:AWI56 BGE54:BGE56 BQA54:BQA56 BZW54:BZW56 CJS54:CJS56 CTO54:CTO56 DDK54:DDK56 DNG54:DNG56 DXC54:DXC56 EGY54:EGY56 EQU54:EQU56 FAQ54:FAQ56 FKM54:FKM56 FUI54:FUI56 GEE54:GEE56 GOA54:GOA56 GXW54:GXW56 HHS54:HHS56 HRO54:HRO56 IBK54:IBK56 ILG54:ILG56 IVC54:IVC56 JEY54:JEY56 JOU54:JOU56 JYQ54:JYQ56 KIM54:KIM56 KSI54:KSI56 LCE54:LCE56 LMA54:LMA56 LVW54:LVW56 MFS54:MFS56 MPO54:MPO56 MZK54:MZK56 NJG54:NJG56 NTC54:NTC56 OCY54:OCY56 OMU54:OMU56 OWQ54:OWQ56 PGM54:PGM56 PQI54:PQI56 QAE54:QAE56 QKA54:QKA56 QTW54:QTW56 RDS54:RDS56 RNO54:RNO56 RXK54:RXK56 SHG54:SHG56 SRC54:SRC56 TAY54:TAY56 TKU54:TKU56 TUQ54:TUQ56 UEM54:UEM56 UOI54:UOI56 UYE54:UYE56 VIA54:VIA56 VRW54:VRW56 WBS54:WBS56 WLO54:WLO56 WVK54:WVK56 C65590:C65592 IY65590:IY65592 SU65590:SU65592 ACQ65590:ACQ65592 AMM65590:AMM65592 AWI65590:AWI65592 BGE65590:BGE65592 BQA65590:BQA65592 BZW65590:BZW65592 CJS65590:CJS65592 CTO65590:CTO65592 DDK65590:DDK65592 DNG65590:DNG65592 DXC65590:DXC65592 EGY65590:EGY65592 EQU65590:EQU65592 FAQ65590:FAQ65592 FKM65590:FKM65592 FUI65590:FUI65592 GEE65590:GEE65592 GOA65590:GOA65592 GXW65590:GXW65592 HHS65590:HHS65592 HRO65590:HRO65592 IBK65590:IBK65592 ILG65590:ILG65592 IVC65590:IVC65592 JEY65590:JEY65592 JOU65590:JOU65592 JYQ65590:JYQ65592 KIM65590:KIM65592 KSI65590:KSI65592 LCE65590:LCE65592 LMA65590:LMA65592 LVW65590:LVW65592 MFS65590:MFS65592 MPO65590:MPO65592 MZK65590:MZK65592 NJG65590:NJG65592 NTC65590:NTC65592 OCY65590:OCY65592 OMU65590:OMU65592 OWQ65590:OWQ65592 PGM65590:PGM65592 PQI65590:PQI65592 QAE65590:QAE65592 QKA65590:QKA65592 QTW65590:QTW65592 RDS65590:RDS65592 RNO65590:RNO65592 RXK65590:RXK65592 SHG65590:SHG65592 SRC65590:SRC65592 TAY65590:TAY65592 TKU65590:TKU65592 TUQ65590:TUQ65592 UEM65590:UEM65592 UOI65590:UOI65592 UYE65590:UYE65592 VIA65590:VIA65592 VRW65590:VRW65592 WBS65590:WBS65592 WLO65590:WLO65592 WVK65590:WVK65592 C131126:C131128 IY131126:IY131128 SU131126:SU131128 ACQ131126:ACQ131128 AMM131126:AMM131128 AWI131126:AWI131128 BGE131126:BGE131128 BQA131126:BQA131128 BZW131126:BZW131128 CJS131126:CJS131128 CTO131126:CTO131128 DDK131126:DDK131128 DNG131126:DNG131128 DXC131126:DXC131128 EGY131126:EGY131128 EQU131126:EQU131128 FAQ131126:FAQ131128 FKM131126:FKM131128 FUI131126:FUI131128 GEE131126:GEE131128 GOA131126:GOA131128 GXW131126:GXW131128 HHS131126:HHS131128 HRO131126:HRO131128 IBK131126:IBK131128 ILG131126:ILG131128 IVC131126:IVC131128 JEY131126:JEY131128 JOU131126:JOU131128 JYQ131126:JYQ131128 KIM131126:KIM131128 KSI131126:KSI131128 LCE131126:LCE131128 LMA131126:LMA131128 LVW131126:LVW131128 MFS131126:MFS131128 MPO131126:MPO131128 MZK131126:MZK131128 NJG131126:NJG131128 NTC131126:NTC131128 OCY131126:OCY131128 OMU131126:OMU131128 OWQ131126:OWQ131128 PGM131126:PGM131128 PQI131126:PQI131128 QAE131126:QAE131128 QKA131126:QKA131128 QTW131126:QTW131128 RDS131126:RDS131128 RNO131126:RNO131128 RXK131126:RXK131128 SHG131126:SHG131128 SRC131126:SRC131128 TAY131126:TAY131128 TKU131126:TKU131128 TUQ131126:TUQ131128 UEM131126:UEM131128 UOI131126:UOI131128 UYE131126:UYE131128 VIA131126:VIA131128 VRW131126:VRW131128 WBS131126:WBS131128 WLO131126:WLO131128 WVK131126:WVK131128 C196662:C196664 IY196662:IY196664 SU196662:SU196664 ACQ196662:ACQ196664 AMM196662:AMM196664 AWI196662:AWI196664 BGE196662:BGE196664 BQA196662:BQA196664 BZW196662:BZW196664 CJS196662:CJS196664 CTO196662:CTO196664 DDK196662:DDK196664 DNG196662:DNG196664 DXC196662:DXC196664 EGY196662:EGY196664 EQU196662:EQU196664 FAQ196662:FAQ196664 FKM196662:FKM196664 FUI196662:FUI196664 GEE196662:GEE196664 GOA196662:GOA196664 GXW196662:GXW196664 HHS196662:HHS196664 HRO196662:HRO196664 IBK196662:IBK196664 ILG196662:ILG196664 IVC196662:IVC196664 JEY196662:JEY196664 JOU196662:JOU196664 JYQ196662:JYQ196664 KIM196662:KIM196664 KSI196662:KSI196664 LCE196662:LCE196664 LMA196662:LMA196664 LVW196662:LVW196664 MFS196662:MFS196664 MPO196662:MPO196664 MZK196662:MZK196664 NJG196662:NJG196664 NTC196662:NTC196664 OCY196662:OCY196664 OMU196662:OMU196664 OWQ196662:OWQ196664 PGM196662:PGM196664 PQI196662:PQI196664 QAE196662:QAE196664 QKA196662:QKA196664 QTW196662:QTW196664 RDS196662:RDS196664 RNO196662:RNO196664 RXK196662:RXK196664 SHG196662:SHG196664 SRC196662:SRC196664 TAY196662:TAY196664 TKU196662:TKU196664 TUQ196662:TUQ196664 UEM196662:UEM196664 UOI196662:UOI196664 UYE196662:UYE196664 VIA196662:VIA196664 VRW196662:VRW196664 WBS196662:WBS196664 WLO196662:WLO196664 WVK196662:WVK196664 C262198:C262200 IY262198:IY262200 SU262198:SU262200 ACQ262198:ACQ262200 AMM262198:AMM262200 AWI262198:AWI262200 BGE262198:BGE262200 BQA262198:BQA262200 BZW262198:BZW262200 CJS262198:CJS262200 CTO262198:CTO262200 DDK262198:DDK262200 DNG262198:DNG262200 DXC262198:DXC262200 EGY262198:EGY262200 EQU262198:EQU262200 FAQ262198:FAQ262200 FKM262198:FKM262200 FUI262198:FUI262200 GEE262198:GEE262200 GOA262198:GOA262200 GXW262198:GXW262200 HHS262198:HHS262200 HRO262198:HRO262200 IBK262198:IBK262200 ILG262198:ILG262200 IVC262198:IVC262200 JEY262198:JEY262200 JOU262198:JOU262200 JYQ262198:JYQ262200 KIM262198:KIM262200 KSI262198:KSI262200 LCE262198:LCE262200 LMA262198:LMA262200 LVW262198:LVW262200 MFS262198:MFS262200 MPO262198:MPO262200 MZK262198:MZK262200 NJG262198:NJG262200 NTC262198:NTC262200 OCY262198:OCY262200 OMU262198:OMU262200 OWQ262198:OWQ262200 PGM262198:PGM262200 PQI262198:PQI262200 QAE262198:QAE262200 QKA262198:QKA262200 QTW262198:QTW262200 RDS262198:RDS262200 RNO262198:RNO262200 RXK262198:RXK262200 SHG262198:SHG262200 SRC262198:SRC262200 TAY262198:TAY262200 TKU262198:TKU262200 TUQ262198:TUQ262200 UEM262198:UEM262200 UOI262198:UOI262200 UYE262198:UYE262200 VIA262198:VIA262200 VRW262198:VRW262200 WBS262198:WBS262200 WLO262198:WLO262200 WVK262198:WVK262200 C327734:C327736 IY327734:IY327736 SU327734:SU327736 ACQ327734:ACQ327736 AMM327734:AMM327736 AWI327734:AWI327736 BGE327734:BGE327736 BQA327734:BQA327736 BZW327734:BZW327736 CJS327734:CJS327736 CTO327734:CTO327736 DDK327734:DDK327736 DNG327734:DNG327736 DXC327734:DXC327736 EGY327734:EGY327736 EQU327734:EQU327736 FAQ327734:FAQ327736 FKM327734:FKM327736 FUI327734:FUI327736 GEE327734:GEE327736 GOA327734:GOA327736 GXW327734:GXW327736 HHS327734:HHS327736 HRO327734:HRO327736 IBK327734:IBK327736 ILG327734:ILG327736 IVC327734:IVC327736 JEY327734:JEY327736 JOU327734:JOU327736 JYQ327734:JYQ327736 KIM327734:KIM327736 KSI327734:KSI327736 LCE327734:LCE327736 LMA327734:LMA327736 LVW327734:LVW327736 MFS327734:MFS327736 MPO327734:MPO327736 MZK327734:MZK327736 NJG327734:NJG327736 NTC327734:NTC327736 OCY327734:OCY327736 OMU327734:OMU327736 OWQ327734:OWQ327736 PGM327734:PGM327736 PQI327734:PQI327736 QAE327734:QAE327736 QKA327734:QKA327736 QTW327734:QTW327736 RDS327734:RDS327736 RNO327734:RNO327736 RXK327734:RXK327736 SHG327734:SHG327736 SRC327734:SRC327736 TAY327734:TAY327736 TKU327734:TKU327736 TUQ327734:TUQ327736 UEM327734:UEM327736 UOI327734:UOI327736 UYE327734:UYE327736 VIA327734:VIA327736 VRW327734:VRW327736 WBS327734:WBS327736 WLO327734:WLO327736 WVK327734:WVK327736 C393270:C393272 IY393270:IY393272 SU393270:SU393272 ACQ393270:ACQ393272 AMM393270:AMM393272 AWI393270:AWI393272 BGE393270:BGE393272 BQA393270:BQA393272 BZW393270:BZW393272 CJS393270:CJS393272 CTO393270:CTO393272 DDK393270:DDK393272 DNG393270:DNG393272 DXC393270:DXC393272 EGY393270:EGY393272 EQU393270:EQU393272 FAQ393270:FAQ393272 FKM393270:FKM393272 FUI393270:FUI393272 GEE393270:GEE393272 GOA393270:GOA393272 GXW393270:GXW393272 HHS393270:HHS393272 HRO393270:HRO393272 IBK393270:IBK393272 ILG393270:ILG393272 IVC393270:IVC393272 JEY393270:JEY393272 JOU393270:JOU393272 JYQ393270:JYQ393272 KIM393270:KIM393272 KSI393270:KSI393272 LCE393270:LCE393272 LMA393270:LMA393272 LVW393270:LVW393272 MFS393270:MFS393272 MPO393270:MPO393272 MZK393270:MZK393272 NJG393270:NJG393272 NTC393270:NTC393272 OCY393270:OCY393272 OMU393270:OMU393272 OWQ393270:OWQ393272 PGM393270:PGM393272 PQI393270:PQI393272 QAE393270:QAE393272 QKA393270:QKA393272 QTW393270:QTW393272 RDS393270:RDS393272 RNO393270:RNO393272 RXK393270:RXK393272 SHG393270:SHG393272 SRC393270:SRC393272 TAY393270:TAY393272 TKU393270:TKU393272 TUQ393270:TUQ393272 UEM393270:UEM393272 UOI393270:UOI393272 UYE393270:UYE393272 VIA393270:VIA393272 VRW393270:VRW393272 WBS393270:WBS393272 WLO393270:WLO393272 WVK393270:WVK393272 C458806:C458808 IY458806:IY458808 SU458806:SU458808 ACQ458806:ACQ458808 AMM458806:AMM458808 AWI458806:AWI458808 BGE458806:BGE458808 BQA458806:BQA458808 BZW458806:BZW458808 CJS458806:CJS458808 CTO458806:CTO458808 DDK458806:DDK458808 DNG458806:DNG458808 DXC458806:DXC458808 EGY458806:EGY458808 EQU458806:EQU458808 FAQ458806:FAQ458808 FKM458806:FKM458808 FUI458806:FUI458808 GEE458806:GEE458808 GOA458806:GOA458808 GXW458806:GXW458808 HHS458806:HHS458808 HRO458806:HRO458808 IBK458806:IBK458808 ILG458806:ILG458808 IVC458806:IVC458808 JEY458806:JEY458808 JOU458806:JOU458808 JYQ458806:JYQ458808 KIM458806:KIM458808 KSI458806:KSI458808 LCE458806:LCE458808 LMA458806:LMA458808 LVW458806:LVW458808 MFS458806:MFS458808 MPO458806:MPO458808 MZK458806:MZK458808 NJG458806:NJG458808 NTC458806:NTC458808 OCY458806:OCY458808 OMU458806:OMU458808 OWQ458806:OWQ458808 PGM458806:PGM458808 PQI458806:PQI458808 QAE458806:QAE458808 QKA458806:QKA458808 QTW458806:QTW458808 RDS458806:RDS458808 RNO458806:RNO458808 RXK458806:RXK458808 SHG458806:SHG458808 SRC458806:SRC458808 TAY458806:TAY458808 TKU458806:TKU458808 TUQ458806:TUQ458808 UEM458806:UEM458808 UOI458806:UOI458808 UYE458806:UYE458808 VIA458806:VIA458808 VRW458806:VRW458808 WBS458806:WBS458808 WLO458806:WLO458808 WVK458806:WVK458808 C524342:C524344 IY524342:IY524344 SU524342:SU524344 ACQ524342:ACQ524344 AMM524342:AMM524344 AWI524342:AWI524344 BGE524342:BGE524344 BQA524342:BQA524344 BZW524342:BZW524344 CJS524342:CJS524344 CTO524342:CTO524344 DDK524342:DDK524344 DNG524342:DNG524344 DXC524342:DXC524344 EGY524342:EGY524344 EQU524342:EQU524344 FAQ524342:FAQ524344 FKM524342:FKM524344 FUI524342:FUI524344 GEE524342:GEE524344 GOA524342:GOA524344 GXW524342:GXW524344 HHS524342:HHS524344 HRO524342:HRO524344 IBK524342:IBK524344 ILG524342:ILG524344 IVC524342:IVC524344 JEY524342:JEY524344 JOU524342:JOU524344 JYQ524342:JYQ524344 KIM524342:KIM524344 KSI524342:KSI524344 LCE524342:LCE524344 LMA524342:LMA524344 LVW524342:LVW524344 MFS524342:MFS524344 MPO524342:MPO524344 MZK524342:MZK524344 NJG524342:NJG524344 NTC524342:NTC524344 OCY524342:OCY524344 OMU524342:OMU524344 OWQ524342:OWQ524344 PGM524342:PGM524344 PQI524342:PQI524344 QAE524342:QAE524344 QKA524342:QKA524344 QTW524342:QTW524344 RDS524342:RDS524344 RNO524342:RNO524344 RXK524342:RXK524344 SHG524342:SHG524344 SRC524342:SRC524344 TAY524342:TAY524344 TKU524342:TKU524344 TUQ524342:TUQ524344 UEM524342:UEM524344 UOI524342:UOI524344 UYE524342:UYE524344 VIA524342:VIA524344 VRW524342:VRW524344 WBS524342:WBS524344 WLO524342:WLO524344 WVK524342:WVK524344 C589878:C589880 IY589878:IY589880 SU589878:SU589880 ACQ589878:ACQ589880 AMM589878:AMM589880 AWI589878:AWI589880 BGE589878:BGE589880 BQA589878:BQA589880 BZW589878:BZW589880 CJS589878:CJS589880 CTO589878:CTO589880 DDK589878:DDK589880 DNG589878:DNG589880 DXC589878:DXC589880 EGY589878:EGY589880 EQU589878:EQU589880 FAQ589878:FAQ589880 FKM589878:FKM589880 FUI589878:FUI589880 GEE589878:GEE589880 GOA589878:GOA589880 GXW589878:GXW589880 HHS589878:HHS589880 HRO589878:HRO589880 IBK589878:IBK589880 ILG589878:ILG589880 IVC589878:IVC589880 JEY589878:JEY589880 JOU589878:JOU589880 JYQ589878:JYQ589880 KIM589878:KIM589880 KSI589878:KSI589880 LCE589878:LCE589880 LMA589878:LMA589880 LVW589878:LVW589880 MFS589878:MFS589880 MPO589878:MPO589880 MZK589878:MZK589880 NJG589878:NJG589880 NTC589878:NTC589880 OCY589878:OCY589880 OMU589878:OMU589880 OWQ589878:OWQ589880 PGM589878:PGM589880 PQI589878:PQI589880 QAE589878:QAE589880 QKA589878:QKA589880 QTW589878:QTW589880 RDS589878:RDS589880 RNO589878:RNO589880 RXK589878:RXK589880 SHG589878:SHG589880 SRC589878:SRC589880 TAY589878:TAY589880 TKU589878:TKU589880 TUQ589878:TUQ589880 UEM589878:UEM589880 UOI589878:UOI589880 UYE589878:UYE589880 VIA589878:VIA589880 VRW589878:VRW589880 WBS589878:WBS589880 WLO589878:WLO589880 WVK589878:WVK589880 C655414:C655416 IY655414:IY655416 SU655414:SU655416 ACQ655414:ACQ655416 AMM655414:AMM655416 AWI655414:AWI655416 BGE655414:BGE655416 BQA655414:BQA655416 BZW655414:BZW655416 CJS655414:CJS655416 CTO655414:CTO655416 DDK655414:DDK655416 DNG655414:DNG655416 DXC655414:DXC655416 EGY655414:EGY655416 EQU655414:EQU655416 FAQ655414:FAQ655416 FKM655414:FKM655416 FUI655414:FUI655416 GEE655414:GEE655416 GOA655414:GOA655416 GXW655414:GXW655416 HHS655414:HHS655416 HRO655414:HRO655416 IBK655414:IBK655416 ILG655414:ILG655416 IVC655414:IVC655416 JEY655414:JEY655416 JOU655414:JOU655416 JYQ655414:JYQ655416 KIM655414:KIM655416 KSI655414:KSI655416 LCE655414:LCE655416 LMA655414:LMA655416 LVW655414:LVW655416 MFS655414:MFS655416 MPO655414:MPO655416 MZK655414:MZK655416 NJG655414:NJG655416 NTC655414:NTC655416 OCY655414:OCY655416 OMU655414:OMU655416 OWQ655414:OWQ655416 PGM655414:PGM655416 PQI655414:PQI655416 QAE655414:QAE655416 QKA655414:QKA655416 QTW655414:QTW655416 RDS655414:RDS655416 RNO655414:RNO655416 RXK655414:RXK655416 SHG655414:SHG655416 SRC655414:SRC655416 TAY655414:TAY655416 TKU655414:TKU655416 TUQ655414:TUQ655416 UEM655414:UEM655416 UOI655414:UOI655416 UYE655414:UYE655416 VIA655414:VIA655416 VRW655414:VRW655416 WBS655414:WBS655416 WLO655414:WLO655416 WVK655414:WVK655416 C720950:C720952 IY720950:IY720952 SU720950:SU720952 ACQ720950:ACQ720952 AMM720950:AMM720952 AWI720950:AWI720952 BGE720950:BGE720952 BQA720950:BQA720952 BZW720950:BZW720952 CJS720950:CJS720952 CTO720950:CTO720952 DDK720950:DDK720952 DNG720950:DNG720952 DXC720950:DXC720952 EGY720950:EGY720952 EQU720950:EQU720952 FAQ720950:FAQ720952 FKM720950:FKM720952 FUI720950:FUI720952 GEE720950:GEE720952 GOA720950:GOA720952 GXW720950:GXW720952 HHS720950:HHS720952 HRO720950:HRO720952 IBK720950:IBK720952 ILG720950:ILG720952 IVC720950:IVC720952 JEY720950:JEY720952 JOU720950:JOU720952 JYQ720950:JYQ720952 KIM720950:KIM720952 KSI720950:KSI720952 LCE720950:LCE720952 LMA720950:LMA720952 LVW720950:LVW720952 MFS720950:MFS720952 MPO720950:MPO720952 MZK720950:MZK720952 NJG720950:NJG720952 NTC720950:NTC720952 OCY720950:OCY720952 OMU720950:OMU720952 OWQ720950:OWQ720952 PGM720950:PGM720952 PQI720950:PQI720952 QAE720950:QAE720952 QKA720950:QKA720952 QTW720950:QTW720952 RDS720950:RDS720952 RNO720950:RNO720952 RXK720950:RXK720952 SHG720950:SHG720952 SRC720950:SRC720952 TAY720950:TAY720952 TKU720950:TKU720952 TUQ720950:TUQ720952 UEM720950:UEM720952 UOI720950:UOI720952 UYE720950:UYE720952 VIA720950:VIA720952 VRW720950:VRW720952 WBS720950:WBS720952 WLO720950:WLO720952 WVK720950:WVK720952 C786486:C786488 IY786486:IY786488 SU786486:SU786488 ACQ786486:ACQ786488 AMM786486:AMM786488 AWI786486:AWI786488 BGE786486:BGE786488 BQA786486:BQA786488 BZW786486:BZW786488 CJS786486:CJS786488 CTO786486:CTO786488 DDK786486:DDK786488 DNG786486:DNG786488 DXC786486:DXC786488 EGY786486:EGY786488 EQU786486:EQU786488 FAQ786486:FAQ786488 FKM786486:FKM786488 FUI786486:FUI786488 GEE786486:GEE786488 GOA786486:GOA786488 GXW786486:GXW786488 HHS786486:HHS786488 HRO786486:HRO786488 IBK786486:IBK786488 ILG786486:ILG786488 IVC786486:IVC786488 JEY786486:JEY786488 JOU786486:JOU786488 JYQ786486:JYQ786488 KIM786486:KIM786488 KSI786486:KSI786488 LCE786486:LCE786488 LMA786486:LMA786488 LVW786486:LVW786488 MFS786486:MFS786488 MPO786486:MPO786488 MZK786486:MZK786488 NJG786486:NJG786488 NTC786486:NTC786488 OCY786486:OCY786488 OMU786486:OMU786488 OWQ786486:OWQ786488 PGM786486:PGM786488 PQI786486:PQI786488 QAE786486:QAE786488 QKA786486:QKA786488 QTW786486:QTW786488 RDS786486:RDS786488 RNO786486:RNO786488 RXK786486:RXK786488 SHG786486:SHG786488 SRC786486:SRC786488 TAY786486:TAY786488 TKU786486:TKU786488 TUQ786486:TUQ786488 UEM786486:UEM786488 UOI786486:UOI786488 UYE786486:UYE786488 VIA786486:VIA786488 VRW786486:VRW786488 WBS786486:WBS786488 WLO786486:WLO786488 WVK786486:WVK786488 C852022:C852024 IY852022:IY852024 SU852022:SU852024 ACQ852022:ACQ852024 AMM852022:AMM852024 AWI852022:AWI852024 BGE852022:BGE852024 BQA852022:BQA852024 BZW852022:BZW852024 CJS852022:CJS852024 CTO852022:CTO852024 DDK852022:DDK852024 DNG852022:DNG852024 DXC852022:DXC852024 EGY852022:EGY852024 EQU852022:EQU852024 FAQ852022:FAQ852024 FKM852022:FKM852024 FUI852022:FUI852024 GEE852022:GEE852024 GOA852022:GOA852024 GXW852022:GXW852024 HHS852022:HHS852024 HRO852022:HRO852024 IBK852022:IBK852024 ILG852022:ILG852024 IVC852022:IVC852024 JEY852022:JEY852024 JOU852022:JOU852024 JYQ852022:JYQ852024 KIM852022:KIM852024 KSI852022:KSI852024 LCE852022:LCE852024 LMA852022:LMA852024 LVW852022:LVW852024 MFS852022:MFS852024 MPO852022:MPO852024 MZK852022:MZK852024 NJG852022:NJG852024 NTC852022:NTC852024 OCY852022:OCY852024 OMU852022:OMU852024 OWQ852022:OWQ852024 PGM852022:PGM852024 PQI852022:PQI852024 QAE852022:QAE852024 QKA852022:QKA852024 QTW852022:QTW852024 RDS852022:RDS852024 RNO852022:RNO852024 RXK852022:RXK852024 SHG852022:SHG852024 SRC852022:SRC852024 TAY852022:TAY852024 TKU852022:TKU852024 TUQ852022:TUQ852024 UEM852022:UEM852024 UOI852022:UOI852024 UYE852022:UYE852024 VIA852022:VIA852024 VRW852022:VRW852024 WBS852022:WBS852024 WLO852022:WLO852024 WVK852022:WVK852024 C917558:C917560 IY917558:IY917560 SU917558:SU917560 ACQ917558:ACQ917560 AMM917558:AMM917560 AWI917558:AWI917560 BGE917558:BGE917560 BQA917558:BQA917560 BZW917558:BZW917560 CJS917558:CJS917560 CTO917558:CTO917560 DDK917558:DDK917560 DNG917558:DNG917560 DXC917558:DXC917560 EGY917558:EGY917560 EQU917558:EQU917560 FAQ917558:FAQ917560 FKM917558:FKM917560 FUI917558:FUI917560 GEE917558:GEE917560 GOA917558:GOA917560 GXW917558:GXW917560 HHS917558:HHS917560 HRO917558:HRO917560 IBK917558:IBK917560 ILG917558:ILG917560 IVC917558:IVC917560 JEY917558:JEY917560 JOU917558:JOU917560 JYQ917558:JYQ917560 KIM917558:KIM917560 KSI917558:KSI917560 LCE917558:LCE917560 LMA917558:LMA917560 LVW917558:LVW917560 MFS917558:MFS917560 MPO917558:MPO917560 MZK917558:MZK917560 NJG917558:NJG917560 NTC917558:NTC917560 OCY917558:OCY917560 OMU917558:OMU917560 OWQ917558:OWQ917560 PGM917558:PGM917560 PQI917558:PQI917560 QAE917558:QAE917560 QKA917558:QKA917560 QTW917558:QTW917560 RDS917558:RDS917560 RNO917558:RNO917560 RXK917558:RXK917560 SHG917558:SHG917560 SRC917558:SRC917560 TAY917558:TAY917560 TKU917558:TKU917560 TUQ917558:TUQ917560 UEM917558:UEM917560 UOI917558:UOI917560 UYE917558:UYE917560 VIA917558:VIA917560 VRW917558:VRW917560 WBS917558:WBS917560 WLO917558:WLO917560 WVK917558:WVK917560 C983094:C983096 IY983094:IY983096 SU983094:SU983096 ACQ983094:ACQ983096 AMM983094:AMM983096 AWI983094:AWI983096 BGE983094:BGE983096 BQA983094:BQA983096 BZW983094:BZW983096 CJS983094:CJS983096 CTO983094:CTO983096 DDK983094:DDK983096 DNG983094:DNG983096 DXC983094:DXC983096 EGY983094:EGY983096 EQU983094:EQU983096 FAQ983094:FAQ983096 FKM983094:FKM983096 FUI983094:FUI983096 GEE983094:GEE983096 GOA983094:GOA983096 GXW983094:GXW983096 HHS983094:HHS983096 HRO983094:HRO983096 IBK983094:IBK983096 ILG983094:ILG983096 IVC983094:IVC983096 JEY983094:JEY983096 JOU983094:JOU983096 JYQ983094:JYQ983096 KIM983094:KIM983096 KSI983094:KSI983096 LCE983094:LCE983096 LMA983094:LMA983096 LVW983094:LVW983096 MFS983094:MFS983096 MPO983094:MPO983096 MZK983094:MZK983096 NJG983094:NJG983096 NTC983094:NTC983096 OCY983094:OCY983096 OMU983094:OMU983096 OWQ983094:OWQ983096 PGM983094:PGM983096 PQI983094:PQI983096 QAE983094:QAE983096 QKA983094:QKA983096 QTW983094:QTW983096 RDS983094:RDS983096 RNO983094:RNO983096 RXK983094:RXK983096 SHG983094:SHG983096 SRC983094:SRC983096 TAY983094:TAY983096 TKU983094:TKU983096 TUQ983094:TUQ983096 UEM983094:UEM983096 UOI983094:UOI983096 UYE983094:UYE983096 VIA983094:VIA983096 VRW983094:VRW983096 WBS983094:WBS983096 WLO983094:WLO983096 WVK983094:WVK983096">
      <formula1>"Académique, Professionnel, Associatif, Autre"</formula1>
    </dataValidation>
    <dataValidation type="list" allowBlank="1" showInputMessage="1" showErrorMessage="1"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formula1>"Mise à jour à partir du plan d'études, Nouvelle création"</formula1>
    </dataValidation>
  </dataValidations>
  <hyperlinks>
    <hyperlink ref="B1" r:id="rId1" location="'Schéma d''enseignement'!A1"/>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C000"/>
  </sheetPr>
  <dimension ref="D7:E18"/>
  <sheetViews>
    <sheetView topLeftCell="A5" workbookViewId="0">
      <selection activeCell="E18" sqref="E18"/>
    </sheetView>
  </sheetViews>
  <sheetFormatPr baseColWidth="10" defaultColWidth="8.85546875" defaultRowHeight="15" x14ac:dyDescent="0.25"/>
  <cols>
    <col min="1" max="3" width="8.85546875" style="1"/>
    <col min="4" max="4" width="32.140625" style="1" customWidth="1"/>
    <col min="5" max="5" width="50.140625" style="1" customWidth="1"/>
    <col min="6" max="16384" width="8.85546875" style="1"/>
  </cols>
  <sheetData>
    <row r="7" spans="4:5" x14ac:dyDescent="0.25">
      <c r="D7" s="378" t="s">
        <v>40</v>
      </c>
      <c r="E7" s="378"/>
    </row>
    <row r="8" spans="4:5" x14ac:dyDescent="0.25">
      <c r="D8" s="29" t="s">
        <v>109</v>
      </c>
      <c r="E8" s="29" t="s">
        <v>23</v>
      </c>
    </row>
    <row r="9" spans="4:5" x14ac:dyDescent="0.25">
      <c r="D9" s="97" t="s">
        <v>201</v>
      </c>
      <c r="E9" s="90" t="s">
        <v>31</v>
      </c>
    </row>
    <row r="10" spans="4:5" x14ac:dyDescent="0.25">
      <c r="D10" s="98"/>
      <c r="E10" s="90" t="s">
        <v>202</v>
      </c>
    </row>
    <row r="11" spans="4:5" x14ac:dyDescent="0.25">
      <c r="D11" s="82" t="s">
        <v>203</v>
      </c>
      <c r="E11" s="17" t="s">
        <v>185</v>
      </c>
    </row>
    <row r="12" spans="4:5" x14ac:dyDescent="0.25">
      <c r="D12" s="86"/>
      <c r="E12" s="17" t="s">
        <v>204</v>
      </c>
    </row>
    <row r="13" spans="4:5" x14ac:dyDescent="0.25">
      <c r="D13" s="82" t="s">
        <v>205</v>
      </c>
      <c r="E13" s="90" t="s">
        <v>205</v>
      </c>
    </row>
    <row r="14" spans="4:5" x14ac:dyDescent="0.25">
      <c r="D14" s="86"/>
      <c r="E14" s="90" t="s">
        <v>206</v>
      </c>
    </row>
    <row r="15" spans="4:5" x14ac:dyDescent="0.25">
      <c r="D15" s="82" t="s">
        <v>186</v>
      </c>
      <c r="E15" s="17" t="s">
        <v>186</v>
      </c>
    </row>
    <row r="16" spans="4:5" x14ac:dyDescent="0.25">
      <c r="D16" s="86"/>
      <c r="E16" s="17" t="s">
        <v>207</v>
      </c>
    </row>
    <row r="17" spans="4:5" x14ac:dyDescent="0.25">
      <c r="D17" s="164" t="s">
        <v>461</v>
      </c>
      <c r="E17" s="8" t="s">
        <v>816</v>
      </c>
    </row>
    <row r="18" spans="4:5" x14ac:dyDescent="0.25">
      <c r="D18" s="165"/>
      <c r="E18" s="17" t="s">
        <v>481</v>
      </c>
    </row>
  </sheetData>
  <mergeCells count="1">
    <mergeCell ref="D7:E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theme="5"/>
  </sheetPr>
  <dimension ref="B1:J1048539"/>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300</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198</v>
      </c>
      <c r="D10" s="395"/>
      <c r="E10" s="395"/>
      <c r="F10" s="395"/>
      <c r="G10" s="114"/>
    </row>
    <row r="11" spans="2:10" s="112" customFormat="1" x14ac:dyDescent="0.25">
      <c r="B11" s="113" t="s">
        <v>91</v>
      </c>
      <c r="C11" s="395" t="s">
        <v>301</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43194</v>
      </c>
      <c r="C15" s="400"/>
      <c r="D15" s="395" t="s">
        <v>302</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23.25" customHeight="1" x14ac:dyDescent="0.25">
      <c r="B18" s="119" t="s">
        <v>31</v>
      </c>
      <c r="C18" s="23">
        <v>21</v>
      </c>
      <c r="D18" s="23">
        <v>2</v>
      </c>
      <c r="E18" s="23">
        <v>2</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22.5" customHeight="1" x14ac:dyDescent="0.25">
      <c r="B21" s="382" t="s">
        <v>303</v>
      </c>
      <c r="C21" s="383"/>
      <c r="D21" s="383"/>
      <c r="E21" s="383"/>
      <c r="F21" s="384"/>
      <c r="G21" s="122"/>
    </row>
    <row r="22" spans="2:7" s="112" customFormat="1" x14ac:dyDescent="0.25">
      <c r="B22" s="379" t="s">
        <v>101</v>
      </c>
      <c r="C22" s="380"/>
      <c r="D22" s="380"/>
      <c r="E22" s="380"/>
      <c r="F22" s="381"/>
      <c r="G22" s="121"/>
    </row>
    <row r="23" spans="2:7" s="112" customFormat="1" ht="84" customHeight="1" x14ac:dyDescent="0.25">
      <c r="B23" s="382" t="s">
        <v>304</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82" t="s">
        <v>305</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145</v>
      </c>
      <c r="C29" s="390"/>
      <c r="D29" s="390"/>
      <c r="E29" s="390"/>
      <c r="F29" s="391"/>
      <c r="G29" s="124"/>
    </row>
    <row r="30" spans="2:7" s="112" customFormat="1" x14ac:dyDescent="0.25">
      <c r="B30" s="389" t="s">
        <v>11</v>
      </c>
      <c r="C30" s="390"/>
      <c r="D30" s="390"/>
      <c r="E30" s="390"/>
      <c r="F30" s="391"/>
      <c r="G30" s="124"/>
    </row>
    <row r="31" spans="2:7" s="112" customFormat="1" x14ac:dyDescent="0.25">
      <c r="B31" s="389" t="s">
        <v>12</v>
      </c>
      <c r="C31" s="390"/>
      <c r="D31" s="390"/>
      <c r="E31" s="390"/>
      <c r="F31" s="391"/>
      <c r="G31" s="124"/>
    </row>
    <row r="32" spans="2:7" s="112" customFormat="1" x14ac:dyDescent="0.25">
      <c r="B32" s="389" t="s">
        <v>14</v>
      </c>
      <c r="C32" s="390"/>
      <c r="D32" s="390"/>
      <c r="E32" s="390"/>
      <c r="F32" s="391"/>
      <c r="G32" s="124"/>
    </row>
    <row r="33" spans="2:7" s="112" customFormat="1" x14ac:dyDescent="0.25">
      <c r="B33" s="389" t="s">
        <v>15</v>
      </c>
      <c r="C33" s="390"/>
      <c r="D33" s="390"/>
      <c r="E33" s="390"/>
      <c r="F33" s="391"/>
      <c r="G33" s="124"/>
    </row>
    <row r="34" spans="2:7" s="112" customFormat="1" x14ac:dyDescent="0.25">
      <c r="B34" s="389" t="s">
        <v>17</v>
      </c>
      <c r="C34" s="390"/>
      <c r="D34" s="390"/>
      <c r="E34" s="390"/>
      <c r="F34" s="391"/>
      <c r="G34" s="124"/>
    </row>
    <row r="35" spans="2:7" s="112" customFormat="1" x14ac:dyDescent="0.25">
      <c r="B35" s="389" t="s">
        <v>19</v>
      </c>
      <c r="C35" s="390"/>
      <c r="D35" s="390"/>
      <c r="E35" s="390"/>
      <c r="F35" s="391"/>
      <c r="G35" s="124"/>
    </row>
    <row r="36" spans="2:7" s="112" customFormat="1" x14ac:dyDescent="0.25">
      <c r="B36" s="389" t="s">
        <v>20</v>
      </c>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325.5" customHeight="1" x14ac:dyDescent="0.25">
      <c r="B40" s="382" t="s">
        <v>306</v>
      </c>
      <c r="C40" s="383"/>
      <c r="D40" s="383"/>
      <c r="E40" s="383"/>
      <c r="F40" s="384"/>
      <c r="G40" s="12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301" t="s">
        <v>249</v>
      </c>
      <c r="C43" s="388"/>
      <c r="D43" s="388"/>
      <c r="E43" s="388"/>
      <c r="F43" s="388"/>
      <c r="G43" s="123"/>
    </row>
    <row r="44" spans="2:7" s="112" customFormat="1" x14ac:dyDescent="0.25">
      <c r="B44" s="301" t="s">
        <v>250</v>
      </c>
      <c r="C44" s="388"/>
      <c r="D44" s="388"/>
      <c r="E44" s="388"/>
      <c r="F44" s="388"/>
      <c r="G44" s="123"/>
    </row>
    <row r="45" spans="2:7" s="112" customFormat="1" ht="31.5" x14ac:dyDescent="0.25">
      <c r="B45" s="302" t="s">
        <v>845</v>
      </c>
      <c r="C45" s="392"/>
      <c r="D45" s="383"/>
      <c r="E45" s="383"/>
      <c r="F45" s="384"/>
      <c r="G45" s="123"/>
    </row>
    <row r="46" spans="2:7" s="112" customFormat="1" x14ac:dyDescent="0.25"/>
    <row r="47" spans="2:7" s="112" customFormat="1" x14ac:dyDescent="0.25">
      <c r="B47" s="379" t="s">
        <v>106</v>
      </c>
      <c r="C47" s="380"/>
      <c r="D47" s="380"/>
      <c r="E47" s="380"/>
      <c r="F47" s="381"/>
      <c r="G47" s="121"/>
    </row>
    <row r="48" spans="2:7" s="112" customFormat="1" ht="51" customHeight="1" x14ac:dyDescent="0.25">
      <c r="B48" s="392" t="s">
        <v>307</v>
      </c>
      <c r="C48" s="383"/>
      <c r="D48" s="383"/>
      <c r="E48" s="383"/>
      <c r="F48" s="384"/>
      <c r="G48" s="126"/>
    </row>
    <row r="49" spans="2:7" s="112" customFormat="1" x14ac:dyDescent="0.25"/>
    <row r="50" spans="2:7" s="112" customFormat="1" x14ac:dyDescent="0.25">
      <c r="B50" s="379" t="s">
        <v>107</v>
      </c>
      <c r="C50" s="380"/>
      <c r="D50" s="380"/>
      <c r="E50" s="380"/>
      <c r="F50" s="381"/>
      <c r="G50" s="121"/>
    </row>
    <row r="51" spans="2:7" s="112" customFormat="1" ht="35.450000000000003" customHeight="1" x14ac:dyDescent="0.25">
      <c r="B51" s="382" t="s">
        <v>308</v>
      </c>
      <c r="C51" s="383"/>
      <c r="D51" s="383"/>
      <c r="E51" s="383"/>
      <c r="F51" s="384"/>
      <c r="G51" s="126"/>
    </row>
    <row r="52" spans="2:7" s="112" customFormat="1" x14ac:dyDescent="0.25"/>
    <row r="53" spans="2:7" s="112" customFormat="1" x14ac:dyDescent="0.25">
      <c r="B53" s="379" t="s">
        <v>108</v>
      </c>
      <c r="C53" s="380"/>
      <c r="D53" s="380"/>
      <c r="E53" s="380"/>
      <c r="F53" s="381"/>
      <c r="G53" s="121"/>
    </row>
    <row r="54" spans="2:7" ht="80.45" customHeight="1" x14ac:dyDescent="0.25">
      <c r="B54" s="385"/>
      <c r="C54" s="386"/>
      <c r="D54" s="386"/>
      <c r="E54" s="386"/>
      <c r="F54" s="387"/>
      <c r="G54" s="126"/>
    </row>
    <row r="1048539" spans="8:9" x14ac:dyDescent="0.25">
      <c r="H1048539" s="121"/>
      <c r="I1048539" s="121"/>
    </row>
  </sheetData>
  <mergeCells count="40">
    <mergeCell ref="C10:F10"/>
    <mergeCell ref="B2:I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40:F40"/>
    <mergeCell ref="B28:F28"/>
    <mergeCell ref="B29:F29"/>
    <mergeCell ref="B30:F30"/>
    <mergeCell ref="B31:F31"/>
    <mergeCell ref="B32:F32"/>
    <mergeCell ref="B33:F33"/>
    <mergeCell ref="B34:F34"/>
    <mergeCell ref="B35:F35"/>
    <mergeCell ref="B36:F36"/>
    <mergeCell ref="B37:F37"/>
    <mergeCell ref="B39:F39"/>
    <mergeCell ref="B50:F50"/>
    <mergeCell ref="B51:F51"/>
    <mergeCell ref="B53:F53"/>
    <mergeCell ref="B54:F54"/>
    <mergeCell ref="B42:F42"/>
    <mergeCell ref="C43:F43"/>
    <mergeCell ref="C44:F44"/>
    <mergeCell ref="C45:F45"/>
    <mergeCell ref="B47:F47"/>
    <mergeCell ref="B48:F48"/>
  </mergeCells>
  <dataValidations count="1">
    <dataValidation type="list" allowBlank="1" showInputMessage="1" showErrorMessage="1" sqref="C6">
      <formula1>"Mise à jour à partir du plan d'études, Nouvelle création"</formula1>
    </dataValidation>
  </dataValidations>
  <hyperlinks>
    <hyperlink ref="B1" location="'Schéma d''enseignement'!G19"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theme="5"/>
  </sheetPr>
  <dimension ref="B1:J1048541"/>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309</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198</v>
      </c>
      <c r="D10" s="395"/>
      <c r="E10" s="395"/>
      <c r="F10" s="395"/>
      <c r="G10" s="114"/>
    </row>
    <row r="11" spans="2:10" s="112" customFormat="1" x14ac:dyDescent="0.25">
      <c r="B11" s="113" t="s">
        <v>91</v>
      </c>
      <c r="C11" s="395" t="s">
        <v>301</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43438</v>
      </c>
      <c r="C15" s="400"/>
      <c r="D15" s="395" t="s">
        <v>302</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34.5" customHeight="1" x14ac:dyDescent="0.25">
      <c r="B18" s="119" t="s">
        <v>202</v>
      </c>
      <c r="C18" s="23">
        <v>42</v>
      </c>
      <c r="D18" s="23">
        <v>3</v>
      </c>
      <c r="E18" s="23">
        <v>3</v>
      </c>
      <c r="F18" s="119" t="s">
        <v>419</v>
      </c>
      <c r="G18" s="137"/>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37.5" customHeight="1" x14ac:dyDescent="0.25">
      <c r="B21" s="382" t="s">
        <v>310</v>
      </c>
      <c r="C21" s="383"/>
      <c r="D21" s="383"/>
      <c r="E21" s="383"/>
      <c r="F21" s="384"/>
      <c r="G21" s="122"/>
    </row>
    <row r="22" spans="2:7" s="112" customFormat="1" x14ac:dyDescent="0.25">
      <c r="B22" s="379" t="s">
        <v>101</v>
      </c>
      <c r="C22" s="380"/>
      <c r="D22" s="380"/>
      <c r="E22" s="380"/>
      <c r="F22" s="381"/>
      <c r="G22" s="121"/>
    </row>
    <row r="23" spans="2:7" s="112" customFormat="1" ht="111" customHeight="1" x14ac:dyDescent="0.25">
      <c r="B23" s="382" t="s">
        <v>424</v>
      </c>
      <c r="C23" s="383"/>
      <c r="D23" s="383"/>
      <c r="E23" s="383"/>
      <c r="F23" s="384"/>
      <c r="G23" s="122"/>
    </row>
    <row r="24" spans="2:7" s="112" customFormat="1" x14ac:dyDescent="0.25"/>
    <row r="25" spans="2:7" s="112" customFormat="1" x14ac:dyDescent="0.25">
      <c r="B25" s="379" t="s">
        <v>102</v>
      </c>
      <c r="C25" s="380"/>
      <c r="D25" s="380"/>
      <c r="E25" s="380"/>
      <c r="F25" s="381"/>
      <c r="G25" s="121"/>
    </row>
    <row r="26" spans="2:7" s="112" customFormat="1" ht="34.5" customHeight="1" x14ac:dyDescent="0.25">
      <c r="B26" s="382" t="s">
        <v>311</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145</v>
      </c>
      <c r="C29" s="390"/>
      <c r="D29" s="390"/>
      <c r="E29" s="390"/>
      <c r="F29" s="391"/>
      <c r="G29" s="124"/>
    </row>
    <row r="30" spans="2:7" s="112" customFormat="1" x14ac:dyDescent="0.25">
      <c r="B30" s="389" t="s">
        <v>11</v>
      </c>
      <c r="C30" s="390"/>
      <c r="D30" s="390"/>
      <c r="E30" s="390"/>
      <c r="F30" s="391"/>
      <c r="G30" s="124"/>
    </row>
    <row r="31" spans="2:7" s="112" customFormat="1" x14ac:dyDescent="0.25">
      <c r="B31" s="389" t="s">
        <v>12</v>
      </c>
      <c r="C31" s="390"/>
      <c r="D31" s="390"/>
      <c r="E31" s="390"/>
      <c r="F31" s="391"/>
      <c r="G31" s="124"/>
    </row>
    <row r="32" spans="2:7" s="112" customFormat="1" x14ac:dyDescent="0.25">
      <c r="B32" s="389" t="s">
        <v>17</v>
      </c>
      <c r="C32" s="390"/>
      <c r="D32" s="390"/>
      <c r="E32" s="390"/>
      <c r="F32" s="391"/>
      <c r="G32" s="124"/>
    </row>
    <row r="33" spans="2:7" s="112" customFormat="1" x14ac:dyDescent="0.25">
      <c r="B33" s="389"/>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150" customHeight="1" x14ac:dyDescent="0.25">
      <c r="B40" s="382" t="s">
        <v>423</v>
      </c>
      <c r="C40" s="383"/>
      <c r="D40" s="383"/>
      <c r="E40" s="383"/>
      <c r="F40" s="384"/>
      <c r="G40" s="122"/>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249</v>
      </c>
      <c r="C43" s="388"/>
      <c r="D43" s="388"/>
      <c r="E43" s="388"/>
      <c r="F43" s="388"/>
      <c r="G43" s="123"/>
    </row>
    <row r="44" spans="2:7" s="112" customFormat="1" x14ac:dyDescent="0.25">
      <c r="B44" s="127" t="s">
        <v>250</v>
      </c>
      <c r="C44" s="388"/>
      <c r="D44" s="388"/>
      <c r="E44" s="388"/>
      <c r="F44" s="388"/>
      <c r="G44" s="123"/>
    </row>
    <row r="45" spans="2:7" s="112" customFormat="1" ht="31.5" x14ac:dyDescent="0.25">
      <c r="B45" s="135" t="s">
        <v>422</v>
      </c>
      <c r="C45" s="392"/>
      <c r="D45" s="383"/>
      <c r="E45" s="383"/>
      <c r="F45" s="384"/>
      <c r="G45" s="123"/>
    </row>
    <row r="46" spans="2:7" s="112" customFormat="1" x14ac:dyDescent="0.25">
      <c r="B46" s="127" t="s">
        <v>238</v>
      </c>
      <c r="C46" s="388"/>
      <c r="D46" s="388"/>
      <c r="E46" s="388"/>
      <c r="F46" s="388"/>
      <c r="G46" s="122"/>
    </row>
    <row r="47" spans="2:7" s="112" customFormat="1" x14ac:dyDescent="0.25">
      <c r="B47" s="127"/>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92" t="s">
        <v>420</v>
      </c>
      <c r="C50" s="383"/>
      <c r="D50" s="383"/>
      <c r="E50" s="383"/>
      <c r="F50" s="384"/>
      <c r="G50" s="122"/>
    </row>
    <row r="51" spans="2:7" s="112" customFormat="1" x14ac:dyDescent="0.25"/>
    <row r="52" spans="2:7" s="112" customFormat="1" x14ac:dyDescent="0.25">
      <c r="B52" s="379" t="s">
        <v>107</v>
      </c>
      <c r="C52" s="380"/>
      <c r="D52" s="380"/>
      <c r="E52" s="380"/>
      <c r="F52" s="381"/>
      <c r="G52" s="121"/>
    </row>
    <row r="53" spans="2:7" s="112" customFormat="1" ht="99.95" customHeight="1" x14ac:dyDescent="0.25">
      <c r="B53" s="382" t="s">
        <v>421</v>
      </c>
      <c r="C53" s="383"/>
      <c r="D53" s="383"/>
      <c r="E53" s="383"/>
      <c r="F53" s="384"/>
      <c r="G53" s="126"/>
    </row>
    <row r="54" spans="2:7" s="112" customFormat="1" x14ac:dyDescent="0.25"/>
    <row r="55" spans="2:7" s="112" customFormat="1" x14ac:dyDescent="0.25">
      <c r="B55" s="379" t="s">
        <v>108</v>
      </c>
      <c r="C55" s="380"/>
      <c r="D55" s="380"/>
      <c r="E55" s="380"/>
      <c r="F55" s="381"/>
      <c r="G55" s="121"/>
    </row>
    <row r="56" spans="2:7" ht="80.45" customHeight="1" x14ac:dyDescent="0.25">
      <c r="B56" s="385"/>
      <c r="C56" s="386"/>
      <c r="D56" s="386"/>
      <c r="E56" s="386"/>
      <c r="F56" s="387"/>
      <c r="G56" s="126"/>
    </row>
    <row r="1048541" spans="8:9" x14ac:dyDescent="0.25">
      <c r="H1048541" s="121"/>
      <c r="I1048541" s="121"/>
    </row>
  </sheetData>
  <mergeCells count="42">
    <mergeCell ref="C10:F10"/>
    <mergeCell ref="B2:I2"/>
    <mergeCell ref="C6:F6"/>
    <mergeCell ref="C7:F7"/>
    <mergeCell ref="C8:F8"/>
    <mergeCell ref="C9:F9"/>
    <mergeCell ref="C11:F11"/>
    <mergeCell ref="B13:F13"/>
    <mergeCell ref="B14:C14"/>
    <mergeCell ref="D14:F14"/>
    <mergeCell ref="B15:C15"/>
    <mergeCell ref="D15:F15"/>
    <mergeCell ref="B33:F33"/>
    <mergeCell ref="B20:F20"/>
    <mergeCell ref="B21:F21"/>
    <mergeCell ref="B22:F22"/>
    <mergeCell ref="B23:F23"/>
    <mergeCell ref="B25:F25"/>
    <mergeCell ref="B26:F26"/>
    <mergeCell ref="B28:F28"/>
    <mergeCell ref="B29:F29"/>
    <mergeCell ref="B30:F30"/>
    <mergeCell ref="B31:F31"/>
    <mergeCell ref="B32:F32"/>
    <mergeCell ref="C47:F47"/>
    <mergeCell ref="B34:F34"/>
    <mergeCell ref="B35:F35"/>
    <mergeCell ref="B36:F36"/>
    <mergeCell ref="B37:F37"/>
    <mergeCell ref="B39:F39"/>
    <mergeCell ref="B40:F40"/>
    <mergeCell ref="B42:F42"/>
    <mergeCell ref="C43:F43"/>
    <mergeCell ref="C44:F44"/>
    <mergeCell ref="C45:F45"/>
    <mergeCell ref="C46:F46"/>
    <mergeCell ref="B52:F52"/>
    <mergeCell ref="B53:F53"/>
    <mergeCell ref="B55:F55"/>
    <mergeCell ref="B56:F56"/>
    <mergeCell ref="B49:F49"/>
    <mergeCell ref="B50:F50"/>
  </mergeCells>
  <dataValidations count="1">
    <dataValidation type="list" allowBlank="1" showInputMessage="1" showErrorMessage="1" sqref="C6">
      <formula1>"Mise à jour à partir du plan d'études, Nouvelle création"</formula1>
    </dataValidation>
  </dataValidations>
  <hyperlinks>
    <hyperlink ref="B1" location="'Schéma d''enseignement'!G20"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theme="5"/>
  </sheetPr>
  <dimension ref="B1:J1048539"/>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312</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185</v>
      </c>
      <c r="D10" s="395"/>
      <c r="E10" s="395"/>
      <c r="F10" s="395"/>
      <c r="G10" s="114"/>
    </row>
    <row r="11" spans="2:10" s="112" customFormat="1" x14ac:dyDescent="0.25">
      <c r="B11" s="113" t="s">
        <v>91</v>
      </c>
      <c r="C11" s="395" t="s">
        <v>301</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43194</v>
      </c>
      <c r="C15" s="400"/>
      <c r="D15" s="395" t="s">
        <v>302</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23.25" customHeight="1" x14ac:dyDescent="0.25">
      <c r="B18" s="119" t="s">
        <v>185</v>
      </c>
      <c r="C18" s="23">
        <v>21</v>
      </c>
      <c r="D18" s="23">
        <v>2</v>
      </c>
      <c r="E18" s="23">
        <v>2</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37.5" customHeight="1" x14ac:dyDescent="0.25">
      <c r="B21" s="382" t="s">
        <v>313</v>
      </c>
      <c r="C21" s="383"/>
      <c r="D21" s="383"/>
      <c r="E21" s="383"/>
      <c r="F21" s="384"/>
      <c r="G21" s="122"/>
    </row>
    <row r="22" spans="2:7" s="112" customFormat="1" x14ac:dyDescent="0.25">
      <c r="B22" s="379" t="s">
        <v>101</v>
      </c>
      <c r="C22" s="380"/>
      <c r="D22" s="380"/>
      <c r="E22" s="380"/>
      <c r="F22" s="381"/>
      <c r="G22" s="121"/>
    </row>
    <row r="23" spans="2:7" s="112" customFormat="1" ht="75.95" customHeight="1" x14ac:dyDescent="0.25">
      <c r="B23" s="382" t="s">
        <v>314</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82" t="s">
        <v>315</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145</v>
      </c>
      <c r="C29" s="390"/>
      <c r="D29" s="390"/>
      <c r="E29" s="390"/>
      <c r="F29" s="391"/>
      <c r="G29" s="124"/>
    </row>
    <row r="30" spans="2:7" s="112" customFormat="1" x14ac:dyDescent="0.25">
      <c r="B30" s="389" t="s">
        <v>11</v>
      </c>
      <c r="C30" s="390"/>
      <c r="D30" s="390"/>
      <c r="E30" s="390"/>
      <c r="F30" s="391"/>
      <c r="G30" s="124"/>
    </row>
    <row r="31" spans="2:7" s="112" customFormat="1" x14ac:dyDescent="0.25">
      <c r="B31" s="389" t="s">
        <v>12</v>
      </c>
      <c r="C31" s="390"/>
      <c r="D31" s="390"/>
      <c r="E31" s="390"/>
      <c r="F31" s="391"/>
      <c r="G31" s="124"/>
    </row>
    <row r="32" spans="2:7" s="112" customFormat="1" x14ac:dyDescent="0.25">
      <c r="B32" s="389" t="s">
        <v>17</v>
      </c>
      <c r="C32" s="390"/>
      <c r="D32" s="390"/>
      <c r="E32" s="390"/>
      <c r="F32" s="391"/>
      <c r="G32" s="124"/>
    </row>
    <row r="33" spans="2:7" s="112" customFormat="1" x14ac:dyDescent="0.25">
      <c r="B33" s="389" t="s">
        <v>18</v>
      </c>
      <c r="C33" s="390"/>
      <c r="D33" s="390"/>
      <c r="E33" s="390"/>
      <c r="F33" s="391"/>
      <c r="G33" s="124"/>
    </row>
    <row r="34" spans="2:7" s="112" customFormat="1" x14ac:dyDescent="0.25">
      <c r="B34" s="389" t="s">
        <v>19</v>
      </c>
      <c r="C34" s="390"/>
      <c r="D34" s="390"/>
      <c r="E34" s="390"/>
      <c r="F34" s="391"/>
      <c r="G34" s="124"/>
    </row>
    <row r="35" spans="2:7" s="112" customFormat="1" x14ac:dyDescent="0.25">
      <c r="B35" s="389" t="s">
        <v>20</v>
      </c>
      <c r="C35" s="390"/>
      <c r="D35" s="390"/>
      <c r="E35" s="390"/>
      <c r="F35" s="391"/>
      <c r="G35" s="124"/>
    </row>
    <row r="36" spans="2:7" s="112" customFormat="1" x14ac:dyDescent="0.25">
      <c r="B36" s="389" t="s">
        <v>21</v>
      </c>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246.75" customHeight="1" x14ac:dyDescent="0.25">
      <c r="B40" s="382" t="s">
        <v>316</v>
      </c>
      <c r="C40" s="383"/>
      <c r="D40" s="383"/>
      <c r="E40" s="383"/>
      <c r="F40" s="384"/>
      <c r="G40" s="12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234</v>
      </c>
      <c r="C43" s="388"/>
      <c r="D43" s="388"/>
      <c r="E43" s="388"/>
      <c r="F43" s="388"/>
      <c r="G43" s="123"/>
    </row>
    <row r="44" spans="2:7" s="112" customFormat="1" x14ac:dyDescent="0.25">
      <c r="B44" s="127" t="s">
        <v>235</v>
      </c>
      <c r="C44" s="388"/>
      <c r="D44" s="388"/>
      <c r="E44" s="388"/>
      <c r="F44" s="388"/>
      <c r="G44" s="123"/>
    </row>
    <row r="45" spans="2:7" s="112" customFormat="1" x14ac:dyDescent="0.25">
      <c r="B45" s="127" t="s">
        <v>236</v>
      </c>
      <c r="C45" s="392"/>
      <c r="D45" s="383"/>
      <c r="E45" s="383"/>
      <c r="F45" s="384"/>
      <c r="G45" s="123"/>
    </row>
    <row r="46" spans="2:7" s="112" customFormat="1" x14ac:dyDescent="0.25">
      <c r="B46" s="127" t="s">
        <v>237</v>
      </c>
      <c r="C46" s="388"/>
      <c r="D46" s="388"/>
      <c r="E46" s="388"/>
      <c r="F46" s="388"/>
      <c r="G46" s="123"/>
    </row>
    <row r="47" spans="2:7" s="112" customFormat="1" x14ac:dyDescent="0.25">
      <c r="B47" s="127" t="s">
        <v>238</v>
      </c>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92" t="s">
        <v>317</v>
      </c>
      <c r="C50" s="383"/>
      <c r="D50" s="383"/>
      <c r="E50" s="383"/>
      <c r="F50" s="384"/>
      <c r="G50" s="126"/>
    </row>
    <row r="51" spans="2:7" s="112" customFormat="1" x14ac:dyDescent="0.25"/>
    <row r="52" spans="2:7" s="112" customFormat="1" x14ac:dyDescent="0.25">
      <c r="B52" s="379" t="s">
        <v>107</v>
      </c>
      <c r="C52" s="380"/>
      <c r="D52" s="380"/>
      <c r="E52" s="380"/>
      <c r="F52" s="381"/>
      <c r="G52" s="121"/>
    </row>
    <row r="53" spans="2:7" s="112" customFormat="1" ht="120.75" customHeight="1" x14ac:dyDescent="0.25">
      <c r="B53" s="382" t="s">
        <v>318</v>
      </c>
      <c r="C53" s="393"/>
      <c r="D53" s="393"/>
      <c r="E53" s="393"/>
      <c r="F53" s="394"/>
      <c r="G53" s="126"/>
    </row>
    <row r="54" spans="2:7" s="112" customFormat="1" x14ac:dyDescent="0.25"/>
    <row r="1048539" spans="8:9" x14ac:dyDescent="0.25">
      <c r="H1048539" s="121"/>
      <c r="I1048539" s="121"/>
    </row>
  </sheetData>
  <mergeCells count="40">
    <mergeCell ref="C10:F10"/>
    <mergeCell ref="B2:I2"/>
    <mergeCell ref="C6:F6"/>
    <mergeCell ref="C7:F7"/>
    <mergeCell ref="C8:F8"/>
    <mergeCell ref="C9:F9"/>
    <mergeCell ref="C11:F11"/>
    <mergeCell ref="B13:F13"/>
    <mergeCell ref="B14:C14"/>
    <mergeCell ref="D14:F14"/>
    <mergeCell ref="B15:C15"/>
    <mergeCell ref="D15:F15"/>
    <mergeCell ref="C46:F46"/>
    <mergeCell ref="B33:F33"/>
    <mergeCell ref="B20:F20"/>
    <mergeCell ref="B21:F21"/>
    <mergeCell ref="B22:F22"/>
    <mergeCell ref="B23:F23"/>
    <mergeCell ref="B25:F25"/>
    <mergeCell ref="B26:F26"/>
    <mergeCell ref="B28:F28"/>
    <mergeCell ref="B29:F29"/>
    <mergeCell ref="B30:F30"/>
    <mergeCell ref="B31:F31"/>
    <mergeCell ref="B32:F32"/>
    <mergeCell ref="B40:F40"/>
    <mergeCell ref="B42:F42"/>
    <mergeCell ref="C43:F43"/>
    <mergeCell ref="C44:F44"/>
    <mergeCell ref="C45:F45"/>
    <mergeCell ref="B34:F34"/>
    <mergeCell ref="B35:F35"/>
    <mergeCell ref="B36:F36"/>
    <mergeCell ref="B37:F37"/>
    <mergeCell ref="B39:F39"/>
    <mergeCell ref="B52:F52"/>
    <mergeCell ref="B53:F53"/>
    <mergeCell ref="B49:F49"/>
    <mergeCell ref="B50:F50"/>
    <mergeCell ref="C47:F47"/>
  </mergeCells>
  <dataValidations count="1">
    <dataValidation type="list" allowBlank="1" showInputMessage="1" showErrorMessage="1" sqref="C6">
      <formula1>"Mise à jour à partir du plan d'études, Nouvelle création"</formula1>
    </dataValidation>
  </dataValidations>
  <hyperlinks>
    <hyperlink ref="B1" location="'Schéma d''enseignement'!G21"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theme="5"/>
  </sheetPr>
  <dimension ref="B1:J1048541"/>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319</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185</v>
      </c>
      <c r="D10" s="395"/>
      <c r="E10" s="395"/>
      <c r="F10" s="395"/>
      <c r="G10" s="114"/>
    </row>
    <row r="11" spans="2:10" s="112" customFormat="1" x14ac:dyDescent="0.25">
      <c r="B11" s="113" t="s">
        <v>91</v>
      </c>
      <c r="C11" s="395" t="s">
        <v>301</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43194</v>
      </c>
      <c r="C15" s="400"/>
      <c r="D15" s="395" t="s">
        <v>302</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36" customHeight="1" x14ac:dyDescent="0.25">
      <c r="B18" s="119" t="s">
        <v>204</v>
      </c>
      <c r="C18" s="23">
        <v>42</v>
      </c>
      <c r="D18" s="23">
        <v>2</v>
      </c>
      <c r="E18" s="23">
        <v>2</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87.75" customHeight="1" x14ac:dyDescent="0.25">
      <c r="B21" s="382" t="s">
        <v>320</v>
      </c>
      <c r="C21" s="383"/>
      <c r="D21" s="383"/>
      <c r="E21" s="383"/>
      <c r="F21" s="384"/>
      <c r="G21" s="122"/>
    </row>
    <row r="22" spans="2:7" s="112" customFormat="1" x14ac:dyDescent="0.25">
      <c r="B22" s="379" t="s">
        <v>101</v>
      </c>
      <c r="C22" s="380"/>
      <c r="D22" s="380"/>
      <c r="E22" s="380"/>
      <c r="F22" s="381"/>
      <c r="G22" s="121"/>
    </row>
    <row r="23" spans="2:7" s="112" customFormat="1" ht="56.25" customHeight="1" x14ac:dyDescent="0.25">
      <c r="B23" s="382" t="s">
        <v>321</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414"/>
      <c r="C26" s="415"/>
      <c r="D26" s="415"/>
      <c r="E26" s="415"/>
      <c r="F26" s="416"/>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145</v>
      </c>
      <c r="C29" s="390"/>
      <c r="D29" s="390"/>
      <c r="E29" s="390"/>
      <c r="F29" s="391"/>
      <c r="G29" s="124"/>
    </row>
    <row r="30" spans="2:7" s="112" customFormat="1" x14ac:dyDescent="0.25">
      <c r="B30" s="389" t="s">
        <v>11</v>
      </c>
      <c r="C30" s="390"/>
      <c r="D30" s="390"/>
      <c r="E30" s="390"/>
      <c r="F30" s="391"/>
      <c r="G30" s="124"/>
    </row>
    <row r="31" spans="2:7" s="112" customFormat="1" x14ac:dyDescent="0.25">
      <c r="B31" s="389" t="s">
        <v>12</v>
      </c>
      <c r="C31" s="390"/>
      <c r="D31" s="390"/>
      <c r="E31" s="390"/>
      <c r="F31" s="391"/>
      <c r="G31" s="124"/>
    </row>
    <row r="32" spans="2:7" s="112" customFormat="1" x14ac:dyDescent="0.25">
      <c r="B32" s="389" t="s">
        <v>19</v>
      </c>
      <c r="C32" s="390"/>
      <c r="D32" s="390"/>
      <c r="E32" s="390"/>
      <c r="F32" s="391"/>
      <c r="G32" s="124"/>
    </row>
    <row r="33" spans="2:7" s="112" customFormat="1" x14ac:dyDescent="0.25">
      <c r="B33" s="389" t="s">
        <v>20</v>
      </c>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212.25" customHeight="1" x14ac:dyDescent="0.25">
      <c r="B40" s="382" t="s">
        <v>322</v>
      </c>
      <c r="C40" s="383"/>
      <c r="D40" s="383"/>
      <c r="E40" s="383"/>
      <c r="F40" s="384"/>
      <c r="G40" s="12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249</v>
      </c>
      <c r="C43" s="388"/>
      <c r="D43" s="388"/>
      <c r="E43" s="388"/>
      <c r="F43" s="388"/>
      <c r="G43" s="123"/>
    </row>
    <row r="44" spans="2:7" s="112" customFormat="1" x14ac:dyDescent="0.25">
      <c r="B44" s="127" t="s">
        <v>250</v>
      </c>
      <c r="C44" s="388"/>
      <c r="D44" s="388"/>
      <c r="E44" s="388"/>
      <c r="F44" s="388"/>
      <c r="G44" s="123"/>
    </row>
    <row r="45" spans="2:7" s="112" customFormat="1" ht="17.25" customHeight="1" x14ac:dyDescent="0.25">
      <c r="B45" s="135" t="s">
        <v>323</v>
      </c>
      <c r="C45" s="392"/>
      <c r="D45" s="383"/>
      <c r="E45" s="383"/>
      <c r="F45" s="384"/>
      <c r="G45" s="123"/>
    </row>
    <row r="46" spans="2:7" s="112" customFormat="1" x14ac:dyDescent="0.25">
      <c r="B46" s="127"/>
      <c r="C46" s="388"/>
      <c r="D46" s="388"/>
      <c r="E46" s="388"/>
      <c r="F46" s="388"/>
      <c r="G46" s="123"/>
    </row>
    <row r="47" spans="2:7" s="112" customFormat="1" x14ac:dyDescent="0.25">
      <c r="B47" s="127"/>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82" t="s">
        <v>324</v>
      </c>
      <c r="C50" s="383"/>
      <c r="D50" s="383"/>
      <c r="E50" s="383"/>
      <c r="F50" s="384"/>
      <c r="G50" s="126"/>
    </row>
    <row r="51" spans="2:7" s="112" customFormat="1" x14ac:dyDescent="0.25"/>
    <row r="52" spans="2:7" s="112" customFormat="1" x14ac:dyDescent="0.25">
      <c r="B52" s="379" t="s">
        <v>107</v>
      </c>
      <c r="C52" s="380"/>
      <c r="D52" s="380"/>
      <c r="E52" s="380"/>
      <c r="F52" s="381"/>
      <c r="G52" s="121"/>
    </row>
    <row r="53" spans="2:7" s="112" customFormat="1" ht="35.450000000000003" customHeight="1" x14ac:dyDescent="0.25">
      <c r="B53" s="382" t="s">
        <v>325</v>
      </c>
      <c r="C53" s="383"/>
      <c r="D53" s="383"/>
      <c r="E53" s="383"/>
      <c r="F53" s="384"/>
      <c r="G53" s="126"/>
    </row>
    <row r="54" spans="2:7" s="112" customFormat="1" x14ac:dyDescent="0.25"/>
    <row r="55" spans="2:7" s="112" customFormat="1" x14ac:dyDescent="0.25">
      <c r="B55" s="379" t="s">
        <v>108</v>
      </c>
      <c r="C55" s="380"/>
      <c r="D55" s="380"/>
      <c r="E55" s="380"/>
      <c r="F55" s="381"/>
      <c r="G55" s="121"/>
    </row>
    <row r="56" spans="2:7" ht="80.45" customHeight="1" x14ac:dyDescent="0.25">
      <c r="B56" s="385"/>
      <c r="C56" s="386"/>
      <c r="D56" s="386"/>
      <c r="E56" s="386"/>
      <c r="F56" s="387"/>
      <c r="G56" s="126"/>
    </row>
    <row r="1048541" spans="8:9" x14ac:dyDescent="0.25">
      <c r="H1048541" s="121"/>
      <c r="I1048541" s="121"/>
    </row>
  </sheetData>
  <mergeCells count="42">
    <mergeCell ref="C10:F10"/>
    <mergeCell ref="B2:I2"/>
    <mergeCell ref="C6:F6"/>
    <mergeCell ref="C7:F7"/>
    <mergeCell ref="C8:F8"/>
    <mergeCell ref="C9:F9"/>
    <mergeCell ref="C11:F11"/>
    <mergeCell ref="B13:F13"/>
    <mergeCell ref="B14:C14"/>
    <mergeCell ref="D14:F14"/>
    <mergeCell ref="B15:C15"/>
    <mergeCell ref="D15:F15"/>
    <mergeCell ref="B33:F33"/>
    <mergeCell ref="B20:F20"/>
    <mergeCell ref="B21:F21"/>
    <mergeCell ref="B22:F22"/>
    <mergeCell ref="B23:F23"/>
    <mergeCell ref="B25:F25"/>
    <mergeCell ref="B26:F26"/>
    <mergeCell ref="B28:F28"/>
    <mergeCell ref="B29:F29"/>
    <mergeCell ref="B30:F30"/>
    <mergeCell ref="B31:F31"/>
    <mergeCell ref="B32:F32"/>
    <mergeCell ref="C47:F47"/>
    <mergeCell ref="B34:F34"/>
    <mergeCell ref="B35:F35"/>
    <mergeCell ref="B36:F36"/>
    <mergeCell ref="B37:F37"/>
    <mergeCell ref="B39:F39"/>
    <mergeCell ref="B40:F40"/>
    <mergeCell ref="B42:F42"/>
    <mergeCell ref="C43:F43"/>
    <mergeCell ref="C44:F44"/>
    <mergeCell ref="C45:F45"/>
    <mergeCell ref="C46:F46"/>
    <mergeCell ref="B52:F52"/>
    <mergeCell ref="B53:F53"/>
    <mergeCell ref="B55:F55"/>
    <mergeCell ref="B56:F56"/>
    <mergeCell ref="B49:F49"/>
    <mergeCell ref="B50:F50"/>
  </mergeCells>
  <dataValidations count="1">
    <dataValidation type="list" allowBlank="1" showInputMessage="1" showErrorMessage="1" sqref="C6">
      <formula1>"Mise à jour à partir du plan d'études, Nouvelle création"</formula1>
    </dataValidation>
  </dataValidations>
  <hyperlinks>
    <hyperlink ref="B1" location="'Schéma d''enseignement'!G22"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theme="5"/>
  </sheetPr>
  <dimension ref="B1:J1048542"/>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326</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205</v>
      </c>
      <c r="D10" s="395"/>
      <c r="E10" s="395"/>
      <c r="F10" s="395"/>
      <c r="G10" s="114"/>
    </row>
    <row r="11" spans="2:10" s="112" customFormat="1" x14ac:dyDescent="0.25">
      <c r="B11" s="113" t="s">
        <v>91</v>
      </c>
      <c r="C11" s="395" t="s">
        <v>301</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43194</v>
      </c>
      <c r="C15" s="400"/>
      <c r="D15" s="395" t="s">
        <v>302</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23.25" customHeight="1" x14ac:dyDescent="0.25">
      <c r="B18" s="119" t="s">
        <v>205</v>
      </c>
      <c r="C18" s="23">
        <v>21</v>
      </c>
      <c r="D18" s="23">
        <v>3</v>
      </c>
      <c r="E18" s="23">
        <v>3</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66.75" customHeight="1" x14ac:dyDescent="0.25">
      <c r="B21" s="382" t="s">
        <v>327</v>
      </c>
      <c r="C21" s="383"/>
      <c r="D21" s="383"/>
      <c r="E21" s="383"/>
      <c r="F21" s="384"/>
      <c r="G21" s="122"/>
    </row>
    <row r="22" spans="2:7" s="112" customFormat="1" x14ac:dyDescent="0.25">
      <c r="B22" s="379" t="s">
        <v>101</v>
      </c>
      <c r="C22" s="380"/>
      <c r="D22" s="380"/>
      <c r="E22" s="380"/>
      <c r="F22" s="381"/>
      <c r="G22" s="121"/>
    </row>
    <row r="23" spans="2:7" s="112" customFormat="1" ht="115.5" customHeight="1" x14ac:dyDescent="0.25">
      <c r="B23" s="382" t="s">
        <v>328</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92" t="s">
        <v>329</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145</v>
      </c>
      <c r="C29" s="390"/>
      <c r="D29" s="390"/>
      <c r="E29" s="390"/>
      <c r="F29" s="391"/>
      <c r="G29" s="124"/>
    </row>
    <row r="30" spans="2:7" s="112" customFormat="1" x14ac:dyDescent="0.25">
      <c r="B30" s="389" t="s">
        <v>11</v>
      </c>
      <c r="C30" s="390"/>
      <c r="D30" s="390"/>
      <c r="E30" s="390"/>
      <c r="F30" s="391"/>
      <c r="G30" s="124"/>
    </row>
    <row r="31" spans="2:7" s="112" customFormat="1" x14ac:dyDescent="0.25">
      <c r="B31" s="389" t="s">
        <v>12</v>
      </c>
      <c r="C31" s="390"/>
      <c r="D31" s="390"/>
      <c r="E31" s="390"/>
      <c r="F31" s="391"/>
      <c r="G31" s="124"/>
    </row>
    <row r="32" spans="2:7" s="112" customFormat="1" x14ac:dyDescent="0.25">
      <c r="B32" s="389" t="s">
        <v>15</v>
      </c>
      <c r="C32" s="390"/>
      <c r="D32" s="390"/>
      <c r="E32" s="390"/>
      <c r="F32" s="391"/>
      <c r="G32" s="124"/>
    </row>
    <row r="33" spans="2:7" s="112" customFormat="1" x14ac:dyDescent="0.25">
      <c r="B33" s="389" t="s">
        <v>147</v>
      </c>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133.5" customHeight="1" x14ac:dyDescent="0.25">
      <c r="B40" s="382" t="s">
        <v>330</v>
      </c>
      <c r="C40" s="383"/>
      <c r="D40" s="383"/>
      <c r="E40" s="383"/>
      <c r="F40" s="384"/>
      <c r="G40" s="12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234</v>
      </c>
      <c r="C43" s="388"/>
      <c r="D43" s="388"/>
      <c r="E43" s="388"/>
      <c r="F43" s="388"/>
      <c r="G43" s="123"/>
    </row>
    <row r="44" spans="2:7" s="112" customFormat="1" x14ac:dyDescent="0.25">
      <c r="B44" s="127" t="s">
        <v>235</v>
      </c>
      <c r="C44" s="388"/>
      <c r="D44" s="388"/>
      <c r="E44" s="388"/>
      <c r="F44" s="388"/>
      <c r="G44" s="123"/>
    </row>
    <row r="45" spans="2:7" s="112" customFormat="1" x14ac:dyDescent="0.25">
      <c r="B45" s="127" t="s">
        <v>236</v>
      </c>
      <c r="C45" s="392"/>
      <c r="D45" s="383"/>
      <c r="E45" s="383"/>
      <c r="F45" s="384"/>
      <c r="G45" s="123"/>
    </row>
    <row r="46" spans="2:7" s="112" customFormat="1" x14ac:dyDescent="0.25">
      <c r="B46" s="127" t="s">
        <v>237</v>
      </c>
      <c r="C46" s="388"/>
      <c r="D46" s="388"/>
      <c r="E46" s="388"/>
      <c r="F46" s="388"/>
      <c r="G46" s="123"/>
    </row>
    <row r="47" spans="2:7" s="112" customFormat="1" x14ac:dyDescent="0.25">
      <c r="B47" s="127" t="s">
        <v>238</v>
      </c>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92" t="s">
        <v>331</v>
      </c>
      <c r="C50" s="383"/>
      <c r="D50" s="383"/>
      <c r="E50" s="383"/>
      <c r="F50" s="384"/>
      <c r="G50" s="126"/>
    </row>
    <row r="51" spans="2:7" s="112" customFormat="1" x14ac:dyDescent="0.25"/>
    <row r="52" spans="2:7" s="112" customFormat="1" x14ac:dyDescent="0.25"/>
    <row r="53" spans="2:7" s="112" customFormat="1" x14ac:dyDescent="0.25">
      <c r="B53" s="379" t="s">
        <v>107</v>
      </c>
      <c r="C53" s="380"/>
      <c r="D53" s="380"/>
      <c r="E53" s="380"/>
      <c r="F53" s="381"/>
      <c r="G53" s="121"/>
    </row>
    <row r="54" spans="2:7" s="112" customFormat="1" ht="35.450000000000003" customHeight="1" x14ac:dyDescent="0.25">
      <c r="B54" s="382" t="s">
        <v>332</v>
      </c>
      <c r="C54" s="383"/>
      <c r="D54" s="383"/>
      <c r="E54" s="383"/>
      <c r="F54" s="384"/>
      <c r="G54" s="126"/>
    </row>
    <row r="55" spans="2:7" s="112" customFormat="1" x14ac:dyDescent="0.25"/>
    <row r="56" spans="2:7" s="112" customFormat="1" x14ac:dyDescent="0.25">
      <c r="B56" s="379" t="s">
        <v>108</v>
      </c>
      <c r="C56" s="380"/>
      <c r="D56" s="380"/>
      <c r="E56" s="380"/>
      <c r="F56" s="381"/>
      <c r="G56" s="121"/>
    </row>
    <row r="57" spans="2:7" ht="80.45" customHeight="1" x14ac:dyDescent="0.25">
      <c r="B57" s="385"/>
      <c r="C57" s="386"/>
      <c r="D57" s="386"/>
      <c r="E57" s="386"/>
      <c r="F57" s="387"/>
      <c r="G57" s="126"/>
    </row>
    <row r="1048542" spans="8:9" x14ac:dyDescent="0.25">
      <c r="H1048542" s="121"/>
      <c r="I1048542" s="121"/>
    </row>
  </sheetData>
  <mergeCells count="42">
    <mergeCell ref="C10:F10"/>
    <mergeCell ref="B2:I2"/>
    <mergeCell ref="C6:F6"/>
    <mergeCell ref="C7:F7"/>
    <mergeCell ref="C8:F8"/>
    <mergeCell ref="C9:F9"/>
    <mergeCell ref="C11:F11"/>
    <mergeCell ref="B13:F13"/>
    <mergeCell ref="B14:C14"/>
    <mergeCell ref="D14:F14"/>
    <mergeCell ref="B15:C15"/>
    <mergeCell ref="D15:F15"/>
    <mergeCell ref="B33:F33"/>
    <mergeCell ref="B20:F20"/>
    <mergeCell ref="B21:F21"/>
    <mergeCell ref="B22:F22"/>
    <mergeCell ref="B23:F23"/>
    <mergeCell ref="B25:F25"/>
    <mergeCell ref="B26:F26"/>
    <mergeCell ref="B28:F28"/>
    <mergeCell ref="B29:F29"/>
    <mergeCell ref="B30:F30"/>
    <mergeCell ref="B31:F31"/>
    <mergeCell ref="B32:F32"/>
    <mergeCell ref="C47:F47"/>
    <mergeCell ref="B34:F34"/>
    <mergeCell ref="B35:F35"/>
    <mergeCell ref="B36:F36"/>
    <mergeCell ref="B37:F37"/>
    <mergeCell ref="B39:F39"/>
    <mergeCell ref="B40:F40"/>
    <mergeCell ref="B42:F42"/>
    <mergeCell ref="C43:F43"/>
    <mergeCell ref="C44:F44"/>
    <mergeCell ref="C45:F45"/>
    <mergeCell ref="C46:F46"/>
    <mergeCell ref="B53:F53"/>
    <mergeCell ref="B54:F54"/>
    <mergeCell ref="B56:F56"/>
    <mergeCell ref="B57:F57"/>
    <mergeCell ref="B49:F49"/>
    <mergeCell ref="B50:F50"/>
  </mergeCells>
  <dataValidations count="1">
    <dataValidation type="list" allowBlank="1" showInputMessage="1" showErrorMessage="1" sqref="C6">
      <formula1>"Mise à jour à partir du plan d'études, Nouvelle création"</formula1>
    </dataValidation>
  </dataValidations>
  <hyperlinks>
    <hyperlink ref="B1" location="'Schéma d''enseignement'!G23"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theme="5"/>
  </sheetPr>
  <dimension ref="B1:J1048540"/>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31.14062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333</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205</v>
      </c>
      <c r="D10" s="395"/>
      <c r="E10" s="395"/>
      <c r="F10" s="395"/>
      <c r="G10" s="114"/>
    </row>
    <row r="11" spans="2:10" s="112" customFormat="1" x14ac:dyDescent="0.25">
      <c r="B11" s="113" t="s">
        <v>91</v>
      </c>
      <c r="C11" s="395" t="s">
        <v>301</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43194</v>
      </c>
      <c r="C15" s="400"/>
      <c r="D15" s="395" t="s">
        <v>302</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30.75" customHeight="1" x14ac:dyDescent="0.25">
      <c r="B18" s="119" t="s">
        <v>334</v>
      </c>
      <c r="C18" s="23">
        <v>42</v>
      </c>
      <c r="D18" s="23">
        <v>3</v>
      </c>
      <c r="E18" s="23">
        <v>3</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50.25" customHeight="1" x14ac:dyDescent="0.25">
      <c r="B21" s="382" t="s">
        <v>335</v>
      </c>
      <c r="C21" s="383"/>
      <c r="D21" s="383"/>
      <c r="E21" s="383"/>
      <c r="F21" s="384"/>
      <c r="G21" s="122"/>
    </row>
    <row r="22" spans="2:7" s="112" customFormat="1" x14ac:dyDescent="0.25">
      <c r="B22" s="379" t="s">
        <v>101</v>
      </c>
      <c r="C22" s="380"/>
      <c r="D22" s="380"/>
      <c r="E22" s="380"/>
      <c r="F22" s="381"/>
      <c r="G22" s="121"/>
    </row>
    <row r="23" spans="2:7" s="112" customFormat="1" ht="116.25" customHeight="1" x14ac:dyDescent="0.25">
      <c r="B23" s="382" t="s">
        <v>336</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82" t="s">
        <v>337</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145</v>
      </c>
      <c r="C29" s="390"/>
      <c r="D29" s="390"/>
      <c r="E29" s="390"/>
      <c r="F29" s="391"/>
      <c r="G29" s="124"/>
    </row>
    <row r="30" spans="2:7" s="112" customFormat="1" x14ac:dyDescent="0.25">
      <c r="B30" s="389" t="s">
        <v>11</v>
      </c>
      <c r="C30" s="390"/>
      <c r="D30" s="390"/>
      <c r="E30" s="390"/>
      <c r="F30" s="391"/>
      <c r="G30" s="124"/>
    </row>
    <row r="31" spans="2:7" s="112" customFormat="1" x14ac:dyDescent="0.25">
      <c r="B31" s="389" t="s">
        <v>12</v>
      </c>
      <c r="C31" s="390"/>
      <c r="D31" s="390"/>
      <c r="E31" s="390"/>
      <c r="F31" s="391"/>
      <c r="G31" s="124"/>
    </row>
    <row r="32" spans="2:7" s="112" customFormat="1" x14ac:dyDescent="0.25">
      <c r="B32" s="389" t="s">
        <v>15</v>
      </c>
      <c r="C32" s="390"/>
      <c r="D32" s="390"/>
      <c r="E32" s="390"/>
      <c r="F32" s="391"/>
      <c r="G32" s="124"/>
    </row>
    <row r="33" spans="2:7" s="112" customFormat="1" x14ac:dyDescent="0.25">
      <c r="B33" s="389" t="s">
        <v>147</v>
      </c>
      <c r="C33" s="390"/>
      <c r="D33" s="390"/>
      <c r="E33" s="390"/>
      <c r="F33" s="391"/>
      <c r="G33" s="124"/>
    </row>
    <row r="34" spans="2:7" s="112" customFormat="1" x14ac:dyDescent="0.25">
      <c r="B34" s="389" t="s">
        <v>20</v>
      </c>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114" customHeight="1" x14ac:dyDescent="0.25">
      <c r="B40" s="382" t="s">
        <v>338</v>
      </c>
      <c r="C40" s="383"/>
      <c r="D40" s="383"/>
      <c r="E40" s="383"/>
      <c r="F40" s="384"/>
      <c r="G40" s="12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249</v>
      </c>
      <c r="C43" s="388"/>
      <c r="D43" s="388"/>
      <c r="E43" s="388"/>
      <c r="F43" s="388"/>
      <c r="G43" s="123"/>
    </row>
    <row r="44" spans="2:7" s="112" customFormat="1" x14ac:dyDescent="0.25">
      <c r="B44" s="127" t="s">
        <v>250</v>
      </c>
      <c r="C44" s="388"/>
      <c r="D44" s="388"/>
      <c r="E44" s="388"/>
      <c r="F44" s="388"/>
      <c r="G44" s="123"/>
    </row>
    <row r="45" spans="2:7" s="112" customFormat="1" ht="31.5" x14ac:dyDescent="0.25">
      <c r="B45" s="135" t="s">
        <v>339</v>
      </c>
      <c r="C45" s="392"/>
      <c r="D45" s="383"/>
      <c r="E45" s="383"/>
      <c r="F45" s="384"/>
      <c r="G45" s="123"/>
    </row>
    <row r="46" spans="2:7" s="112" customFormat="1" x14ac:dyDescent="0.25">
      <c r="B46" s="127"/>
      <c r="C46" s="388"/>
      <c r="D46" s="388"/>
      <c r="E46" s="388"/>
      <c r="F46" s="388"/>
      <c r="G46" s="123"/>
    </row>
    <row r="47" spans="2:7" s="112" customFormat="1" x14ac:dyDescent="0.25">
      <c r="B47" s="127"/>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23.25" customHeight="1" x14ac:dyDescent="0.25">
      <c r="B50" s="392" t="s">
        <v>331</v>
      </c>
      <c r="C50" s="383"/>
      <c r="D50" s="383"/>
      <c r="E50" s="383"/>
      <c r="F50" s="384"/>
      <c r="G50" s="126"/>
    </row>
    <row r="51" spans="2:7" s="112" customFormat="1" x14ac:dyDescent="0.25"/>
    <row r="52" spans="2:7" s="112" customFormat="1" x14ac:dyDescent="0.25"/>
    <row r="53" spans="2:7" s="112" customFormat="1" x14ac:dyDescent="0.25">
      <c r="B53" s="379" t="s">
        <v>107</v>
      </c>
      <c r="C53" s="380"/>
      <c r="D53" s="380"/>
      <c r="E53" s="380"/>
      <c r="F53" s="381"/>
      <c r="G53" s="121"/>
    </row>
    <row r="54" spans="2:7" s="112" customFormat="1" ht="162.75" customHeight="1" x14ac:dyDescent="0.25">
      <c r="B54" s="382" t="s">
        <v>340</v>
      </c>
      <c r="C54" s="383"/>
      <c r="D54" s="383"/>
      <c r="E54" s="383"/>
      <c r="F54" s="384"/>
      <c r="G54" s="126"/>
    </row>
    <row r="55" spans="2:7" s="112" customFormat="1" x14ac:dyDescent="0.25"/>
    <row r="1048540" spans="8:9" x14ac:dyDescent="0.25">
      <c r="H1048540" s="121"/>
      <c r="I1048540" s="121"/>
    </row>
  </sheetData>
  <mergeCells count="40">
    <mergeCell ref="C10:F10"/>
    <mergeCell ref="B2:I2"/>
    <mergeCell ref="C6:F6"/>
    <mergeCell ref="C7:F7"/>
    <mergeCell ref="C8:F8"/>
    <mergeCell ref="C9:F9"/>
    <mergeCell ref="C11:F11"/>
    <mergeCell ref="B13:F13"/>
    <mergeCell ref="B14:C14"/>
    <mergeCell ref="D14:F14"/>
    <mergeCell ref="B15:C15"/>
    <mergeCell ref="D15:F15"/>
    <mergeCell ref="C46:F46"/>
    <mergeCell ref="B33:F33"/>
    <mergeCell ref="B20:F20"/>
    <mergeCell ref="B21:F21"/>
    <mergeCell ref="B22:F22"/>
    <mergeCell ref="B23:F23"/>
    <mergeCell ref="B25:F25"/>
    <mergeCell ref="B26:F26"/>
    <mergeCell ref="B28:F28"/>
    <mergeCell ref="B29:F29"/>
    <mergeCell ref="B30:F30"/>
    <mergeCell ref="B31:F31"/>
    <mergeCell ref="B32:F32"/>
    <mergeCell ref="B40:F40"/>
    <mergeCell ref="B42:F42"/>
    <mergeCell ref="C43:F43"/>
    <mergeCell ref="C44:F44"/>
    <mergeCell ref="C45:F45"/>
    <mergeCell ref="B34:F34"/>
    <mergeCell ref="B35:F35"/>
    <mergeCell ref="B36:F36"/>
    <mergeCell ref="B37:F37"/>
    <mergeCell ref="B39:F39"/>
    <mergeCell ref="B53:F53"/>
    <mergeCell ref="B54:F54"/>
    <mergeCell ref="B49:F49"/>
    <mergeCell ref="B50:F50"/>
    <mergeCell ref="C47:F47"/>
  </mergeCells>
  <dataValidations count="1">
    <dataValidation type="list" allowBlank="1" showInputMessage="1" showErrorMessage="1" sqref="C6">
      <formula1>"Mise à jour à partir du plan d'études, Nouvelle création"</formula1>
    </dataValidation>
  </dataValidations>
  <hyperlinks>
    <hyperlink ref="B1" location="'Schéma d''enseignement'!G24"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theme="5"/>
  </sheetPr>
  <dimension ref="B1:J1048540"/>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341</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186</v>
      </c>
      <c r="D10" s="395"/>
      <c r="E10" s="395"/>
      <c r="F10" s="395"/>
      <c r="G10" s="114"/>
    </row>
    <row r="11" spans="2:10" s="112" customFormat="1" x14ac:dyDescent="0.25">
      <c r="B11" s="113" t="s">
        <v>91</v>
      </c>
      <c r="C11" s="395" t="s">
        <v>301</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43194</v>
      </c>
      <c r="C15" s="400"/>
      <c r="D15" s="395" t="s">
        <v>302</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23.25" customHeight="1" x14ac:dyDescent="0.25">
      <c r="B18" s="119" t="s">
        <v>186</v>
      </c>
      <c r="C18" s="23">
        <v>21</v>
      </c>
      <c r="D18" s="23">
        <v>3</v>
      </c>
      <c r="E18" s="23">
        <v>3</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26.25" customHeight="1" x14ac:dyDescent="0.25">
      <c r="B21" s="382" t="s">
        <v>342</v>
      </c>
      <c r="C21" s="383"/>
      <c r="D21" s="383"/>
      <c r="E21" s="383"/>
      <c r="F21" s="384"/>
      <c r="G21" s="122"/>
    </row>
    <row r="22" spans="2:7" s="112" customFormat="1" x14ac:dyDescent="0.25">
      <c r="B22" s="379" t="s">
        <v>101</v>
      </c>
      <c r="C22" s="380"/>
      <c r="D22" s="380"/>
      <c r="E22" s="380"/>
      <c r="F22" s="381"/>
      <c r="G22" s="121"/>
    </row>
    <row r="23" spans="2:7" s="112" customFormat="1" ht="94.5" customHeight="1" x14ac:dyDescent="0.25">
      <c r="B23" s="382" t="s">
        <v>343</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92" t="s">
        <v>344</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9</v>
      </c>
      <c r="C29" s="390"/>
      <c r="D29" s="390"/>
      <c r="E29" s="390"/>
      <c r="F29" s="391"/>
      <c r="G29" s="124"/>
    </row>
    <row r="30" spans="2:7" s="112" customFormat="1" x14ac:dyDescent="0.25">
      <c r="B30" s="389" t="s">
        <v>13</v>
      </c>
      <c r="C30" s="390"/>
      <c r="D30" s="390"/>
      <c r="E30" s="390"/>
      <c r="F30" s="391"/>
      <c r="G30" s="124"/>
    </row>
    <row r="31" spans="2:7" s="112" customFormat="1" x14ac:dyDescent="0.25">
      <c r="B31" s="389" t="s">
        <v>14</v>
      </c>
      <c r="C31" s="390"/>
      <c r="D31" s="390"/>
      <c r="E31" s="390"/>
      <c r="F31" s="391"/>
      <c r="G31" s="124"/>
    </row>
    <row r="32" spans="2:7" s="112" customFormat="1" x14ac:dyDescent="0.25">
      <c r="B32" s="389"/>
      <c r="C32" s="390"/>
      <c r="D32" s="390"/>
      <c r="E32" s="390"/>
      <c r="F32" s="391"/>
      <c r="G32" s="124"/>
    </row>
    <row r="33" spans="2:7" s="112" customFormat="1" x14ac:dyDescent="0.25">
      <c r="B33" s="389"/>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114.75" customHeight="1" x14ac:dyDescent="0.25">
      <c r="B40" s="382" t="s">
        <v>345</v>
      </c>
      <c r="C40" s="383"/>
      <c r="D40" s="383"/>
      <c r="E40" s="383"/>
      <c r="F40" s="384"/>
      <c r="G40" s="12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234</v>
      </c>
      <c r="C43" s="388"/>
      <c r="D43" s="388"/>
      <c r="E43" s="388"/>
      <c r="F43" s="388"/>
      <c r="G43" s="123"/>
    </row>
    <row r="44" spans="2:7" s="112" customFormat="1" x14ac:dyDescent="0.25">
      <c r="B44" s="127" t="s">
        <v>235</v>
      </c>
      <c r="C44" s="388"/>
      <c r="D44" s="388"/>
      <c r="E44" s="388"/>
      <c r="F44" s="388"/>
      <c r="G44" s="123"/>
    </row>
    <row r="45" spans="2:7" s="112" customFormat="1" x14ac:dyDescent="0.25">
      <c r="B45" s="127" t="s">
        <v>236</v>
      </c>
      <c r="C45" s="392"/>
      <c r="D45" s="383"/>
      <c r="E45" s="383"/>
      <c r="F45" s="384"/>
      <c r="G45" s="123"/>
    </row>
    <row r="46" spans="2:7" s="112" customFormat="1" x14ac:dyDescent="0.25">
      <c r="B46" s="127" t="s">
        <v>237</v>
      </c>
      <c r="C46" s="388"/>
      <c r="D46" s="388"/>
      <c r="E46" s="388"/>
      <c r="F46" s="388"/>
      <c r="G46" s="123"/>
    </row>
    <row r="47" spans="2:7" s="112" customFormat="1" x14ac:dyDescent="0.25">
      <c r="B47" s="127" t="s">
        <v>238</v>
      </c>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92" t="s">
        <v>346</v>
      </c>
      <c r="C50" s="383"/>
      <c r="D50" s="383"/>
      <c r="E50" s="383"/>
      <c r="F50" s="384"/>
      <c r="G50" s="126"/>
    </row>
    <row r="51" spans="2:7" s="112" customFormat="1" x14ac:dyDescent="0.25"/>
    <row r="52" spans="2:7" s="112" customFormat="1" x14ac:dyDescent="0.25"/>
    <row r="53" spans="2:7" s="112" customFormat="1" x14ac:dyDescent="0.25">
      <c r="B53" s="379" t="s">
        <v>107</v>
      </c>
      <c r="C53" s="380"/>
      <c r="D53" s="380"/>
      <c r="E53" s="380"/>
      <c r="F53" s="381"/>
      <c r="G53" s="121"/>
    </row>
    <row r="54" spans="2:7" s="112" customFormat="1" ht="85.5" customHeight="1" x14ac:dyDescent="0.25">
      <c r="B54" s="382" t="s">
        <v>347</v>
      </c>
      <c r="C54" s="383"/>
      <c r="D54" s="383"/>
      <c r="E54" s="383"/>
      <c r="F54" s="384"/>
      <c r="G54" s="126"/>
    </row>
    <row r="55" spans="2:7" s="112" customFormat="1" x14ac:dyDescent="0.25"/>
    <row r="1048540" spans="8:9" x14ac:dyDescent="0.25">
      <c r="H1048540" s="121"/>
      <c r="I1048540" s="121"/>
    </row>
  </sheetData>
  <mergeCells count="40">
    <mergeCell ref="C10:F10"/>
    <mergeCell ref="B2:I2"/>
    <mergeCell ref="C6:F6"/>
    <mergeCell ref="C7:F7"/>
    <mergeCell ref="C8:F8"/>
    <mergeCell ref="C9:F9"/>
    <mergeCell ref="C11:F11"/>
    <mergeCell ref="B13:F13"/>
    <mergeCell ref="B14:C14"/>
    <mergeCell ref="D14:F14"/>
    <mergeCell ref="B15:C15"/>
    <mergeCell ref="D15:F15"/>
    <mergeCell ref="C46:F46"/>
    <mergeCell ref="B33:F33"/>
    <mergeCell ref="B20:F20"/>
    <mergeCell ref="B21:F21"/>
    <mergeCell ref="B22:F22"/>
    <mergeCell ref="B23:F23"/>
    <mergeCell ref="B25:F25"/>
    <mergeCell ref="B26:F26"/>
    <mergeCell ref="B28:F28"/>
    <mergeCell ref="B29:F29"/>
    <mergeCell ref="B30:F30"/>
    <mergeCell ref="B31:F31"/>
    <mergeCell ref="B32:F32"/>
    <mergeCell ref="B40:F40"/>
    <mergeCell ref="B42:F42"/>
    <mergeCell ref="C43:F43"/>
    <mergeCell ref="C44:F44"/>
    <mergeCell ref="C45:F45"/>
    <mergeCell ref="B34:F34"/>
    <mergeCell ref="B35:F35"/>
    <mergeCell ref="B36:F36"/>
    <mergeCell ref="B37:F37"/>
    <mergeCell ref="B39:F39"/>
    <mergeCell ref="B53:F53"/>
    <mergeCell ref="B54:F54"/>
    <mergeCell ref="B49:F49"/>
    <mergeCell ref="B50:F50"/>
    <mergeCell ref="C47:F47"/>
  </mergeCells>
  <dataValidations count="1">
    <dataValidation type="list" allowBlank="1" showInputMessage="1" showErrorMessage="1" sqref="C6">
      <formula1>"Mise à jour à partir du plan d'études, Nouvelle création"</formula1>
    </dataValidation>
  </dataValidations>
  <hyperlinks>
    <hyperlink ref="B1" location="'Schéma d''enseignement'!G25"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theme="5"/>
  </sheetPr>
  <dimension ref="B1:J1048539"/>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348</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186</v>
      </c>
      <c r="D10" s="395"/>
      <c r="E10" s="395"/>
      <c r="F10" s="395"/>
      <c r="G10" s="114"/>
    </row>
    <row r="11" spans="2:10" s="112" customFormat="1" x14ac:dyDescent="0.25">
      <c r="B11" s="113" t="s">
        <v>91</v>
      </c>
      <c r="C11" s="395" t="s">
        <v>301</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43194</v>
      </c>
      <c r="C15" s="400"/>
      <c r="D15" s="395" t="s">
        <v>302</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23.25" customHeight="1" x14ac:dyDescent="0.25">
      <c r="B18" s="119" t="s">
        <v>207</v>
      </c>
      <c r="C18" s="23">
        <v>42</v>
      </c>
      <c r="D18" s="23">
        <v>3</v>
      </c>
      <c r="E18" s="23">
        <v>3</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33.75" customHeight="1" x14ac:dyDescent="0.25">
      <c r="B21" s="382" t="s">
        <v>349</v>
      </c>
      <c r="C21" s="383"/>
      <c r="D21" s="383"/>
      <c r="E21" s="383"/>
      <c r="F21" s="384"/>
      <c r="G21" s="122"/>
    </row>
    <row r="22" spans="2:7" s="112" customFormat="1" x14ac:dyDescent="0.25">
      <c r="B22" s="379" t="s">
        <v>101</v>
      </c>
      <c r="C22" s="380"/>
      <c r="D22" s="380"/>
      <c r="E22" s="380"/>
      <c r="F22" s="381"/>
      <c r="G22" s="121"/>
    </row>
    <row r="23" spans="2:7" s="112" customFormat="1" ht="110.25" customHeight="1" x14ac:dyDescent="0.25">
      <c r="B23" s="382" t="s">
        <v>350</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92" t="s">
        <v>351</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9</v>
      </c>
      <c r="C29" s="390"/>
      <c r="D29" s="390"/>
      <c r="E29" s="390"/>
      <c r="F29" s="391"/>
      <c r="G29" s="124"/>
    </row>
    <row r="30" spans="2:7" s="112" customFormat="1" x14ac:dyDescent="0.25">
      <c r="B30" s="389" t="s">
        <v>13</v>
      </c>
      <c r="C30" s="390"/>
      <c r="D30" s="390"/>
      <c r="E30" s="390"/>
      <c r="F30" s="391"/>
      <c r="G30" s="124"/>
    </row>
    <row r="31" spans="2:7" s="112" customFormat="1" x14ac:dyDescent="0.25">
      <c r="B31" s="389" t="s">
        <v>14</v>
      </c>
      <c r="C31" s="390"/>
      <c r="D31" s="390"/>
      <c r="E31" s="390"/>
      <c r="F31" s="391"/>
      <c r="G31" s="124"/>
    </row>
    <row r="32" spans="2:7" s="112" customFormat="1" x14ac:dyDescent="0.25">
      <c r="B32" s="389"/>
      <c r="C32" s="390"/>
      <c r="D32" s="390"/>
      <c r="E32" s="390"/>
      <c r="F32" s="391"/>
      <c r="G32" s="124"/>
    </row>
    <row r="33" spans="2:7" s="112" customFormat="1" x14ac:dyDescent="0.25">
      <c r="B33" s="389"/>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177" customHeight="1" x14ac:dyDescent="0.25">
      <c r="B40" s="382" t="s">
        <v>352</v>
      </c>
      <c r="C40" s="383"/>
      <c r="D40" s="383"/>
      <c r="E40" s="383"/>
      <c r="F40" s="384"/>
      <c r="G40" s="12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249</v>
      </c>
      <c r="C43" s="388"/>
      <c r="D43" s="388"/>
      <c r="E43" s="388"/>
      <c r="F43" s="388"/>
      <c r="G43" s="123"/>
    </row>
    <row r="44" spans="2:7" s="112" customFormat="1" x14ac:dyDescent="0.25">
      <c r="B44" s="127" t="s">
        <v>250</v>
      </c>
      <c r="C44" s="388"/>
      <c r="D44" s="388"/>
      <c r="E44" s="388"/>
      <c r="F44" s="388"/>
      <c r="G44" s="123"/>
    </row>
    <row r="45" spans="2:7" s="112" customFormat="1" x14ac:dyDescent="0.25">
      <c r="B45" s="135" t="s">
        <v>353</v>
      </c>
      <c r="C45" s="392"/>
      <c r="D45" s="383"/>
      <c r="E45" s="383"/>
      <c r="F45" s="384"/>
      <c r="G45" s="123"/>
    </row>
    <row r="46" spans="2:7" s="112" customFormat="1" x14ac:dyDescent="0.25">
      <c r="B46" s="127"/>
      <c r="C46" s="388"/>
      <c r="D46" s="388"/>
      <c r="E46" s="388"/>
      <c r="F46" s="388"/>
      <c r="G46" s="123"/>
    </row>
    <row r="47" spans="2:7" s="112" customFormat="1" x14ac:dyDescent="0.25">
      <c r="B47" s="127"/>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92" t="s">
        <v>346</v>
      </c>
      <c r="C50" s="383"/>
      <c r="D50" s="383"/>
      <c r="E50" s="383"/>
      <c r="F50" s="384"/>
      <c r="G50" s="126"/>
    </row>
    <row r="51" spans="2:7" s="112" customFormat="1" x14ac:dyDescent="0.25"/>
    <row r="52" spans="2:7" s="112" customFormat="1" x14ac:dyDescent="0.25">
      <c r="B52" s="379" t="s">
        <v>107</v>
      </c>
      <c r="C52" s="380"/>
      <c r="D52" s="380"/>
      <c r="E52" s="380"/>
      <c r="F52" s="381"/>
      <c r="G52" s="121"/>
    </row>
    <row r="53" spans="2:7" s="112" customFormat="1" ht="69" customHeight="1" x14ac:dyDescent="0.25">
      <c r="B53" s="382" t="s">
        <v>354</v>
      </c>
      <c r="C53" s="383"/>
      <c r="D53" s="383"/>
      <c r="E53" s="383"/>
      <c r="F53" s="384"/>
      <c r="G53" s="126"/>
    </row>
    <row r="54" spans="2:7" s="112" customFormat="1" x14ac:dyDescent="0.25"/>
    <row r="1048539" spans="8:9" x14ac:dyDescent="0.25">
      <c r="H1048539" s="121"/>
      <c r="I1048539" s="121"/>
    </row>
  </sheetData>
  <mergeCells count="40">
    <mergeCell ref="C10:F10"/>
    <mergeCell ref="B2:I2"/>
    <mergeCell ref="C6:F6"/>
    <mergeCell ref="C7:F7"/>
    <mergeCell ref="C8:F8"/>
    <mergeCell ref="C9:F9"/>
    <mergeCell ref="C11:F11"/>
    <mergeCell ref="B13:F13"/>
    <mergeCell ref="B14:C14"/>
    <mergeCell ref="D14:F14"/>
    <mergeCell ref="B15:C15"/>
    <mergeCell ref="D15:F15"/>
    <mergeCell ref="C46:F46"/>
    <mergeCell ref="B33:F33"/>
    <mergeCell ref="B20:F20"/>
    <mergeCell ref="B21:F21"/>
    <mergeCell ref="B22:F22"/>
    <mergeCell ref="B23:F23"/>
    <mergeCell ref="B25:F25"/>
    <mergeCell ref="B26:F26"/>
    <mergeCell ref="B28:F28"/>
    <mergeCell ref="B29:F29"/>
    <mergeCell ref="B30:F30"/>
    <mergeCell ref="B31:F31"/>
    <mergeCell ref="B32:F32"/>
    <mergeCell ref="B40:F40"/>
    <mergeCell ref="B42:F42"/>
    <mergeCell ref="C43:F43"/>
    <mergeCell ref="C44:F44"/>
    <mergeCell ref="C45:F45"/>
    <mergeCell ref="B34:F34"/>
    <mergeCell ref="B35:F35"/>
    <mergeCell ref="B36:F36"/>
    <mergeCell ref="B37:F37"/>
    <mergeCell ref="B39:F39"/>
    <mergeCell ref="B52:F52"/>
    <mergeCell ref="B53:F53"/>
    <mergeCell ref="B49:F49"/>
    <mergeCell ref="B50:F50"/>
    <mergeCell ref="C47:F47"/>
  </mergeCells>
  <dataValidations count="1">
    <dataValidation type="list" allowBlank="1" showInputMessage="1" showErrorMessage="1" sqref="C6">
      <formula1>"Mise à jour à partir du plan d'études, Nouvelle création"</formula1>
    </dataValidation>
  </dataValidations>
  <hyperlinks>
    <hyperlink ref="B1" location="'Schéma d''enseignement'!G26"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rgb="FFFF8080"/>
  </sheetPr>
  <dimension ref="B1:I53"/>
  <sheetViews>
    <sheetView zoomScaleNormal="100" zoomScaleSheetLayoutView="83" workbookViewId="0">
      <selection activeCell="B1" sqref="B1"/>
    </sheetView>
  </sheetViews>
  <sheetFormatPr baseColWidth="10" defaultColWidth="10.85546875" defaultRowHeight="15" x14ac:dyDescent="0.25"/>
  <cols>
    <col min="1" max="1" width="2.5703125" style="1" customWidth="1"/>
    <col min="2" max="2" width="27.85546875" customWidth="1"/>
    <col min="3" max="5" width="12.140625" customWidth="1"/>
    <col min="6" max="6" width="24.85546875" customWidth="1"/>
    <col min="9" max="256" width="10.85546875" style="1"/>
    <col min="257" max="257" width="2.5703125" style="1" customWidth="1"/>
    <col min="258" max="258" width="27.85546875" style="1" customWidth="1"/>
    <col min="259" max="261" width="12.140625" style="1" customWidth="1"/>
    <col min="262" max="262" width="24.85546875" style="1" customWidth="1"/>
    <col min="263" max="512" width="10.85546875" style="1"/>
    <col min="513" max="513" width="2.5703125" style="1" customWidth="1"/>
    <col min="514" max="514" width="27.85546875" style="1" customWidth="1"/>
    <col min="515" max="517" width="12.140625" style="1" customWidth="1"/>
    <col min="518" max="518" width="24.85546875" style="1" customWidth="1"/>
    <col min="519" max="768" width="10.85546875" style="1"/>
    <col min="769" max="769" width="2.5703125" style="1" customWidth="1"/>
    <col min="770" max="770" width="27.85546875" style="1" customWidth="1"/>
    <col min="771" max="773" width="12.140625" style="1" customWidth="1"/>
    <col min="774" max="774" width="24.85546875" style="1" customWidth="1"/>
    <col min="775" max="1024" width="10.85546875" style="1"/>
    <col min="1025" max="1025" width="2.5703125" style="1" customWidth="1"/>
    <col min="1026" max="1026" width="27.85546875" style="1" customWidth="1"/>
    <col min="1027" max="1029" width="12.140625" style="1" customWidth="1"/>
    <col min="1030" max="1030" width="24.85546875" style="1" customWidth="1"/>
    <col min="1031" max="1280" width="10.85546875" style="1"/>
    <col min="1281" max="1281" width="2.5703125" style="1" customWidth="1"/>
    <col min="1282" max="1282" width="27.85546875" style="1" customWidth="1"/>
    <col min="1283" max="1285" width="12.140625" style="1" customWidth="1"/>
    <col min="1286" max="1286" width="24.85546875" style="1" customWidth="1"/>
    <col min="1287" max="1536" width="10.85546875" style="1"/>
    <col min="1537" max="1537" width="2.5703125" style="1" customWidth="1"/>
    <col min="1538" max="1538" width="27.85546875" style="1" customWidth="1"/>
    <col min="1539" max="1541" width="12.140625" style="1" customWidth="1"/>
    <col min="1542" max="1542" width="24.85546875" style="1" customWidth="1"/>
    <col min="1543" max="1792" width="10.85546875" style="1"/>
    <col min="1793" max="1793" width="2.5703125" style="1" customWidth="1"/>
    <col min="1794" max="1794" width="27.85546875" style="1" customWidth="1"/>
    <col min="1795" max="1797" width="12.140625" style="1" customWidth="1"/>
    <col min="1798" max="1798" width="24.85546875" style="1" customWidth="1"/>
    <col min="1799" max="2048" width="10.85546875" style="1"/>
    <col min="2049" max="2049" width="2.5703125" style="1" customWidth="1"/>
    <col min="2050" max="2050" width="27.85546875" style="1" customWidth="1"/>
    <col min="2051" max="2053" width="12.140625" style="1" customWidth="1"/>
    <col min="2054" max="2054" width="24.85546875" style="1" customWidth="1"/>
    <col min="2055" max="2304" width="10.85546875" style="1"/>
    <col min="2305" max="2305" width="2.5703125" style="1" customWidth="1"/>
    <col min="2306" max="2306" width="27.85546875" style="1" customWidth="1"/>
    <col min="2307" max="2309" width="12.140625" style="1" customWidth="1"/>
    <col min="2310" max="2310" width="24.85546875" style="1" customWidth="1"/>
    <col min="2311" max="2560" width="10.85546875" style="1"/>
    <col min="2561" max="2561" width="2.5703125" style="1" customWidth="1"/>
    <col min="2562" max="2562" width="27.85546875" style="1" customWidth="1"/>
    <col min="2563" max="2565" width="12.140625" style="1" customWidth="1"/>
    <col min="2566" max="2566" width="24.85546875" style="1" customWidth="1"/>
    <col min="2567" max="2816" width="10.85546875" style="1"/>
    <col min="2817" max="2817" width="2.5703125" style="1" customWidth="1"/>
    <col min="2818" max="2818" width="27.85546875" style="1" customWidth="1"/>
    <col min="2819" max="2821" width="12.140625" style="1" customWidth="1"/>
    <col min="2822" max="2822" width="24.85546875" style="1" customWidth="1"/>
    <col min="2823" max="3072" width="10.85546875" style="1"/>
    <col min="3073" max="3073" width="2.5703125" style="1" customWidth="1"/>
    <col min="3074" max="3074" width="27.85546875" style="1" customWidth="1"/>
    <col min="3075" max="3077" width="12.140625" style="1" customWidth="1"/>
    <col min="3078" max="3078" width="24.85546875" style="1" customWidth="1"/>
    <col min="3079" max="3328" width="10.85546875" style="1"/>
    <col min="3329" max="3329" width="2.5703125" style="1" customWidth="1"/>
    <col min="3330" max="3330" width="27.85546875" style="1" customWidth="1"/>
    <col min="3331" max="3333" width="12.140625" style="1" customWidth="1"/>
    <col min="3334" max="3334" width="24.85546875" style="1" customWidth="1"/>
    <col min="3335" max="3584" width="10.85546875" style="1"/>
    <col min="3585" max="3585" width="2.5703125" style="1" customWidth="1"/>
    <col min="3586" max="3586" width="27.85546875" style="1" customWidth="1"/>
    <col min="3587" max="3589" width="12.140625" style="1" customWidth="1"/>
    <col min="3590" max="3590" width="24.85546875" style="1" customWidth="1"/>
    <col min="3591" max="3840" width="10.85546875" style="1"/>
    <col min="3841" max="3841" width="2.5703125" style="1" customWidth="1"/>
    <col min="3842" max="3842" width="27.85546875" style="1" customWidth="1"/>
    <col min="3843" max="3845" width="12.140625" style="1" customWidth="1"/>
    <col min="3846" max="3846" width="24.85546875" style="1" customWidth="1"/>
    <col min="3847" max="4096" width="10.85546875" style="1"/>
    <col min="4097" max="4097" width="2.5703125" style="1" customWidth="1"/>
    <col min="4098" max="4098" width="27.85546875" style="1" customWidth="1"/>
    <col min="4099" max="4101" width="12.140625" style="1" customWidth="1"/>
    <col min="4102" max="4102" width="24.85546875" style="1" customWidth="1"/>
    <col min="4103" max="4352" width="10.85546875" style="1"/>
    <col min="4353" max="4353" width="2.5703125" style="1" customWidth="1"/>
    <col min="4354" max="4354" width="27.85546875" style="1" customWidth="1"/>
    <col min="4355" max="4357" width="12.140625" style="1" customWidth="1"/>
    <col min="4358" max="4358" width="24.85546875" style="1" customWidth="1"/>
    <col min="4359" max="4608" width="10.85546875" style="1"/>
    <col min="4609" max="4609" width="2.5703125" style="1" customWidth="1"/>
    <col min="4610" max="4610" width="27.85546875" style="1" customWidth="1"/>
    <col min="4611" max="4613" width="12.140625" style="1" customWidth="1"/>
    <col min="4614" max="4614" width="24.85546875" style="1" customWidth="1"/>
    <col min="4615" max="4864" width="10.85546875" style="1"/>
    <col min="4865" max="4865" width="2.5703125" style="1" customWidth="1"/>
    <col min="4866" max="4866" width="27.85546875" style="1" customWidth="1"/>
    <col min="4867" max="4869" width="12.140625" style="1" customWidth="1"/>
    <col min="4870" max="4870" width="24.85546875" style="1" customWidth="1"/>
    <col min="4871" max="5120" width="10.85546875" style="1"/>
    <col min="5121" max="5121" width="2.5703125" style="1" customWidth="1"/>
    <col min="5122" max="5122" width="27.85546875" style="1" customWidth="1"/>
    <col min="5123" max="5125" width="12.140625" style="1" customWidth="1"/>
    <col min="5126" max="5126" width="24.85546875" style="1" customWidth="1"/>
    <col min="5127" max="5376" width="10.85546875" style="1"/>
    <col min="5377" max="5377" width="2.5703125" style="1" customWidth="1"/>
    <col min="5378" max="5378" width="27.85546875" style="1" customWidth="1"/>
    <col min="5379" max="5381" width="12.140625" style="1" customWidth="1"/>
    <col min="5382" max="5382" width="24.85546875" style="1" customWidth="1"/>
    <col min="5383" max="5632" width="10.85546875" style="1"/>
    <col min="5633" max="5633" width="2.5703125" style="1" customWidth="1"/>
    <col min="5634" max="5634" width="27.85546875" style="1" customWidth="1"/>
    <col min="5635" max="5637" width="12.140625" style="1" customWidth="1"/>
    <col min="5638" max="5638" width="24.85546875" style="1" customWidth="1"/>
    <col min="5639" max="5888" width="10.85546875" style="1"/>
    <col min="5889" max="5889" width="2.5703125" style="1" customWidth="1"/>
    <col min="5890" max="5890" width="27.85546875" style="1" customWidth="1"/>
    <col min="5891" max="5893" width="12.140625" style="1" customWidth="1"/>
    <col min="5894" max="5894" width="24.85546875" style="1" customWidth="1"/>
    <col min="5895" max="6144" width="10.85546875" style="1"/>
    <col min="6145" max="6145" width="2.5703125" style="1" customWidth="1"/>
    <col min="6146" max="6146" width="27.85546875" style="1" customWidth="1"/>
    <col min="6147" max="6149" width="12.140625" style="1" customWidth="1"/>
    <col min="6150" max="6150" width="24.85546875" style="1" customWidth="1"/>
    <col min="6151" max="6400" width="10.85546875" style="1"/>
    <col min="6401" max="6401" width="2.5703125" style="1" customWidth="1"/>
    <col min="6402" max="6402" width="27.85546875" style="1" customWidth="1"/>
    <col min="6403" max="6405" width="12.140625" style="1" customWidth="1"/>
    <col min="6406" max="6406" width="24.85546875" style="1" customWidth="1"/>
    <col min="6407" max="6656" width="10.85546875" style="1"/>
    <col min="6657" max="6657" width="2.5703125" style="1" customWidth="1"/>
    <col min="6658" max="6658" width="27.85546875" style="1" customWidth="1"/>
    <col min="6659" max="6661" width="12.140625" style="1" customWidth="1"/>
    <col min="6662" max="6662" width="24.85546875" style="1" customWidth="1"/>
    <col min="6663" max="6912" width="10.85546875" style="1"/>
    <col min="6913" max="6913" width="2.5703125" style="1" customWidth="1"/>
    <col min="6914" max="6914" width="27.85546875" style="1" customWidth="1"/>
    <col min="6915" max="6917" width="12.140625" style="1" customWidth="1"/>
    <col min="6918" max="6918" width="24.85546875" style="1" customWidth="1"/>
    <col min="6919" max="7168" width="10.85546875" style="1"/>
    <col min="7169" max="7169" width="2.5703125" style="1" customWidth="1"/>
    <col min="7170" max="7170" width="27.85546875" style="1" customWidth="1"/>
    <col min="7171" max="7173" width="12.140625" style="1" customWidth="1"/>
    <col min="7174" max="7174" width="24.85546875" style="1" customWidth="1"/>
    <col min="7175" max="7424" width="10.85546875" style="1"/>
    <col min="7425" max="7425" width="2.5703125" style="1" customWidth="1"/>
    <col min="7426" max="7426" width="27.85546875" style="1" customWidth="1"/>
    <col min="7427" max="7429" width="12.140625" style="1" customWidth="1"/>
    <col min="7430" max="7430" width="24.85546875" style="1" customWidth="1"/>
    <col min="7431" max="7680" width="10.85546875" style="1"/>
    <col min="7681" max="7681" width="2.5703125" style="1" customWidth="1"/>
    <col min="7682" max="7682" width="27.85546875" style="1" customWidth="1"/>
    <col min="7683" max="7685" width="12.140625" style="1" customWidth="1"/>
    <col min="7686" max="7686" width="24.85546875" style="1" customWidth="1"/>
    <col min="7687" max="7936" width="10.85546875" style="1"/>
    <col min="7937" max="7937" width="2.5703125" style="1" customWidth="1"/>
    <col min="7938" max="7938" width="27.85546875" style="1" customWidth="1"/>
    <col min="7939" max="7941" width="12.140625" style="1" customWidth="1"/>
    <col min="7942" max="7942" width="24.85546875" style="1" customWidth="1"/>
    <col min="7943" max="8192" width="10.85546875" style="1"/>
    <col min="8193" max="8193" width="2.5703125" style="1" customWidth="1"/>
    <col min="8194" max="8194" width="27.85546875" style="1" customWidth="1"/>
    <col min="8195" max="8197" width="12.140625" style="1" customWidth="1"/>
    <col min="8198" max="8198" width="24.85546875" style="1" customWidth="1"/>
    <col min="8199" max="8448" width="10.85546875" style="1"/>
    <col min="8449" max="8449" width="2.5703125" style="1" customWidth="1"/>
    <col min="8450" max="8450" width="27.85546875" style="1" customWidth="1"/>
    <col min="8451" max="8453" width="12.140625" style="1" customWidth="1"/>
    <col min="8454" max="8454" width="24.85546875" style="1" customWidth="1"/>
    <col min="8455" max="8704" width="10.85546875" style="1"/>
    <col min="8705" max="8705" width="2.5703125" style="1" customWidth="1"/>
    <col min="8706" max="8706" width="27.85546875" style="1" customWidth="1"/>
    <col min="8707" max="8709" width="12.140625" style="1" customWidth="1"/>
    <col min="8710" max="8710" width="24.85546875" style="1" customWidth="1"/>
    <col min="8711" max="8960" width="10.85546875" style="1"/>
    <col min="8961" max="8961" width="2.5703125" style="1" customWidth="1"/>
    <col min="8962" max="8962" width="27.85546875" style="1" customWidth="1"/>
    <col min="8963" max="8965" width="12.140625" style="1" customWidth="1"/>
    <col min="8966" max="8966" width="24.85546875" style="1" customWidth="1"/>
    <col min="8967" max="9216" width="10.85546875" style="1"/>
    <col min="9217" max="9217" width="2.5703125" style="1" customWidth="1"/>
    <col min="9218" max="9218" width="27.85546875" style="1" customWidth="1"/>
    <col min="9219" max="9221" width="12.140625" style="1" customWidth="1"/>
    <col min="9222" max="9222" width="24.85546875" style="1" customWidth="1"/>
    <col min="9223" max="9472" width="10.85546875" style="1"/>
    <col min="9473" max="9473" width="2.5703125" style="1" customWidth="1"/>
    <col min="9474" max="9474" width="27.85546875" style="1" customWidth="1"/>
    <col min="9475" max="9477" width="12.140625" style="1" customWidth="1"/>
    <col min="9478" max="9478" width="24.85546875" style="1" customWidth="1"/>
    <col min="9479" max="9728" width="10.85546875" style="1"/>
    <col min="9729" max="9729" width="2.5703125" style="1" customWidth="1"/>
    <col min="9730" max="9730" width="27.85546875" style="1" customWidth="1"/>
    <col min="9731" max="9733" width="12.140625" style="1" customWidth="1"/>
    <col min="9734" max="9734" width="24.85546875" style="1" customWidth="1"/>
    <col min="9735" max="9984" width="10.85546875" style="1"/>
    <col min="9985" max="9985" width="2.5703125" style="1" customWidth="1"/>
    <col min="9986" max="9986" width="27.85546875" style="1" customWidth="1"/>
    <col min="9987" max="9989" width="12.140625" style="1" customWidth="1"/>
    <col min="9990" max="9990" width="24.85546875" style="1" customWidth="1"/>
    <col min="9991" max="10240" width="10.85546875" style="1"/>
    <col min="10241" max="10241" width="2.5703125" style="1" customWidth="1"/>
    <col min="10242" max="10242" width="27.85546875" style="1" customWidth="1"/>
    <col min="10243" max="10245" width="12.140625" style="1" customWidth="1"/>
    <col min="10246" max="10246" width="24.85546875" style="1" customWidth="1"/>
    <col min="10247" max="10496" width="10.85546875" style="1"/>
    <col min="10497" max="10497" width="2.5703125" style="1" customWidth="1"/>
    <col min="10498" max="10498" width="27.85546875" style="1" customWidth="1"/>
    <col min="10499" max="10501" width="12.140625" style="1" customWidth="1"/>
    <col min="10502" max="10502" width="24.85546875" style="1" customWidth="1"/>
    <col min="10503" max="10752" width="10.85546875" style="1"/>
    <col min="10753" max="10753" width="2.5703125" style="1" customWidth="1"/>
    <col min="10754" max="10754" width="27.85546875" style="1" customWidth="1"/>
    <col min="10755" max="10757" width="12.140625" style="1" customWidth="1"/>
    <col min="10758" max="10758" width="24.85546875" style="1" customWidth="1"/>
    <col min="10759" max="11008" width="10.85546875" style="1"/>
    <col min="11009" max="11009" width="2.5703125" style="1" customWidth="1"/>
    <col min="11010" max="11010" width="27.85546875" style="1" customWidth="1"/>
    <col min="11011" max="11013" width="12.140625" style="1" customWidth="1"/>
    <col min="11014" max="11014" width="24.85546875" style="1" customWidth="1"/>
    <col min="11015" max="11264" width="10.85546875" style="1"/>
    <col min="11265" max="11265" width="2.5703125" style="1" customWidth="1"/>
    <col min="11266" max="11266" width="27.85546875" style="1" customWidth="1"/>
    <col min="11267" max="11269" width="12.140625" style="1" customWidth="1"/>
    <col min="11270" max="11270" width="24.85546875" style="1" customWidth="1"/>
    <col min="11271" max="11520" width="10.85546875" style="1"/>
    <col min="11521" max="11521" width="2.5703125" style="1" customWidth="1"/>
    <col min="11522" max="11522" width="27.85546875" style="1" customWidth="1"/>
    <col min="11523" max="11525" width="12.140625" style="1" customWidth="1"/>
    <col min="11526" max="11526" width="24.85546875" style="1" customWidth="1"/>
    <col min="11527" max="11776" width="10.85546875" style="1"/>
    <col min="11777" max="11777" width="2.5703125" style="1" customWidth="1"/>
    <col min="11778" max="11778" width="27.85546875" style="1" customWidth="1"/>
    <col min="11779" max="11781" width="12.140625" style="1" customWidth="1"/>
    <col min="11782" max="11782" width="24.85546875" style="1" customWidth="1"/>
    <col min="11783" max="12032" width="10.85546875" style="1"/>
    <col min="12033" max="12033" width="2.5703125" style="1" customWidth="1"/>
    <col min="12034" max="12034" width="27.85546875" style="1" customWidth="1"/>
    <col min="12035" max="12037" width="12.140625" style="1" customWidth="1"/>
    <col min="12038" max="12038" width="24.85546875" style="1" customWidth="1"/>
    <col min="12039" max="12288" width="10.85546875" style="1"/>
    <col min="12289" max="12289" width="2.5703125" style="1" customWidth="1"/>
    <col min="12290" max="12290" width="27.85546875" style="1" customWidth="1"/>
    <col min="12291" max="12293" width="12.140625" style="1" customWidth="1"/>
    <col min="12294" max="12294" width="24.85546875" style="1" customWidth="1"/>
    <col min="12295" max="12544" width="10.85546875" style="1"/>
    <col min="12545" max="12545" width="2.5703125" style="1" customWidth="1"/>
    <col min="12546" max="12546" width="27.85546875" style="1" customWidth="1"/>
    <col min="12547" max="12549" width="12.140625" style="1" customWidth="1"/>
    <col min="12550" max="12550" width="24.85546875" style="1" customWidth="1"/>
    <col min="12551" max="12800" width="10.85546875" style="1"/>
    <col min="12801" max="12801" width="2.5703125" style="1" customWidth="1"/>
    <col min="12802" max="12802" width="27.85546875" style="1" customWidth="1"/>
    <col min="12803" max="12805" width="12.140625" style="1" customWidth="1"/>
    <col min="12806" max="12806" width="24.85546875" style="1" customWidth="1"/>
    <col min="12807" max="13056" width="10.85546875" style="1"/>
    <col min="13057" max="13057" width="2.5703125" style="1" customWidth="1"/>
    <col min="13058" max="13058" width="27.85546875" style="1" customWidth="1"/>
    <col min="13059" max="13061" width="12.140625" style="1" customWidth="1"/>
    <col min="13062" max="13062" width="24.85546875" style="1" customWidth="1"/>
    <col min="13063" max="13312" width="10.85546875" style="1"/>
    <col min="13313" max="13313" width="2.5703125" style="1" customWidth="1"/>
    <col min="13314" max="13314" width="27.85546875" style="1" customWidth="1"/>
    <col min="13315" max="13317" width="12.140625" style="1" customWidth="1"/>
    <col min="13318" max="13318" width="24.85546875" style="1" customWidth="1"/>
    <col min="13319" max="13568" width="10.85546875" style="1"/>
    <col min="13569" max="13569" width="2.5703125" style="1" customWidth="1"/>
    <col min="13570" max="13570" width="27.85546875" style="1" customWidth="1"/>
    <col min="13571" max="13573" width="12.140625" style="1" customWidth="1"/>
    <col min="13574" max="13574" width="24.85546875" style="1" customWidth="1"/>
    <col min="13575" max="13824" width="10.85546875" style="1"/>
    <col min="13825" max="13825" width="2.5703125" style="1" customWidth="1"/>
    <col min="13826" max="13826" width="27.85546875" style="1" customWidth="1"/>
    <col min="13827" max="13829" width="12.140625" style="1" customWidth="1"/>
    <col min="13830" max="13830" width="24.85546875" style="1" customWidth="1"/>
    <col min="13831" max="14080" width="10.85546875" style="1"/>
    <col min="14081" max="14081" width="2.5703125" style="1" customWidth="1"/>
    <col min="14082" max="14082" width="27.85546875" style="1" customWidth="1"/>
    <col min="14083" max="14085" width="12.140625" style="1" customWidth="1"/>
    <col min="14086" max="14086" width="24.85546875" style="1" customWidth="1"/>
    <col min="14087" max="14336" width="10.85546875" style="1"/>
    <col min="14337" max="14337" width="2.5703125" style="1" customWidth="1"/>
    <col min="14338" max="14338" width="27.85546875" style="1" customWidth="1"/>
    <col min="14339" max="14341" width="12.140625" style="1" customWidth="1"/>
    <col min="14342" max="14342" width="24.85546875" style="1" customWidth="1"/>
    <col min="14343" max="14592" width="10.85546875" style="1"/>
    <col min="14593" max="14593" width="2.5703125" style="1" customWidth="1"/>
    <col min="14594" max="14594" width="27.85546875" style="1" customWidth="1"/>
    <col min="14595" max="14597" width="12.140625" style="1" customWidth="1"/>
    <col min="14598" max="14598" width="24.85546875" style="1" customWidth="1"/>
    <col min="14599" max="14848" width="10.85546875" style="1"/>
    <col min="14849" max="14849" width="2.5703125" style="1" customWidth="1"/>
    <col min="14850" max="14850" width="27.85546875" style="1" customWidth="1"/>
    <col min="14851" max="14853" width="12.140625" style="1" customWidth="1"/>
    <col min="14854" max="14854" width="24.85546875" style="1" customWidth="1"/>
    <col min="14855" max="15104" width="10.85546875" style="1"/>
    <col min="15105" max="15105" width="2.5703125" style="1" customWidth="1"/>
    <col min="15106" max="15106" width="27.85546875" style="1" customWidth="1"/>
    <col min="15107" max="15109" width="12.140625" style="1" customWidth="1"/>
    <col min="15110" max="15110" width="24.85546875" style="1" customWidth="1"/>
    <col min="15111" max="15360" width="10.85546875" style="1"/>
    <col min="15361" max="15361" width="2.5703125" style="1" customWidth="1"/>
    <col min="15362" max="15362" width="27.85546875" style="1" customWidth="1"/>
    <col min="15363" max="15365" width="12.140625" style="1" customWidth="1"/>
    <col min="15366" max="15366" width="24.85546875" style="1" customWidth="1"/>
    <col min="15367" max="15616" width="10.85546875" style="1"/>
    <col min="15617" max="15617" width="2.5703125" style="1" customWidth="1"/>
    <col min="15618" max="15618" width="27.85546875" style="1" customWidth="1"/>
    <col min="15619" max="15621" width="12.140625" style="1" customWidth="1"/>
    <col min="15622" max="15622" width="24.85546875" style="1" customWidth="1"/>
    <col min="15623" max="15872" width="10.85546875" style="1"/>
    <col min="15873" max="15873" width="2.5703125" style="1" customWidth="1"/>
    <col min="15874" max="15874" width="27.85546875" style="1" customWidth="1"/>
    <col min="15875" max="15877" width="12.140625" style="1" customWidth="1"/>
    <col min="15878" max="15878" width="24.85546875" style="1" customWidth="1"/>
    <col min="15879" max="16128" width="10.85546875" style="1"/>
    <col min="16129" max="16129" width="2.5703125" style="1" customWidth="1"/>
    <col min="16130" max="16130" width="27.85546875" style="1" customWidth="1"/>
    <col min="16131" max="16133" width="12.140625" style="1" customWidth="1"/>
    <col min="16134" max="16134" width="24.85546875" style="1" customWidth="1"/>
    <col min="16135" max="16384" width="10.85546875" style="1"/>
  </cols>
  <sheetData>
    <row r="1" spans="2:9" x14ac:dyDescent="0.25">
      <c r="B1" s="309" t="s">
        <v>857</v>
      </c>
      <c r="C1" s="1"/>
      <c r="D1" s="1"/>
      <c r="E1" s="1"/>
      <c r="F1" s="1"/>
      <c r="G1" s="1"/>
      <c r="H1" s="1"/>
    </row>
    <row r="2" spans="2:9" ht="15.75" x14ac:dyDescent="0.25">
      <c r="B2" s="172"/>
      <c r="C2" s="172"/>
      <c r="D2" s="172"/>
      <c r="E2" s="172"/>
      <c r="F2" s="172"/>
      <c r="G2" s="172"/>
      <c r="H2" s="172"/>
      <c r="I2" s="172"/>
    </row>
    <row r="3" spans="2:9" ht="15.75" x14ac:dyDescent="0.25">
      <c r="B3" s="173" t="s">
        <v>482</v>
      </c>
      <c r="C3" s="174"/>
      <c r="D3" s="174"/>
      <c r="E3" s="174"/>
      <c r="F3" s="174"/>
      <c r="G3" s="175"/>
      <c r="H3" s="172"/>
      <c r="I3" s="172"/>
    </row>
    <row r="4" spans="2:9" ht="15.75" x14ac:dyDescent="0.25">
      <c r="B4" s="176"/>
      <c r="C4" s="176"/>
      <c r="D4" s="176"/>
      <c r="E4" s="176"/>
      <c r="F4" s="176"/>
      <c r="G4" s="176"/>
      <c r="H4" s="176"/>
      <c r="I4" s="176"/>
    </row>
    <row r="5" spans="2:9" ht="15.75" x14ac:dyDescent="0.25">
      <c r="B5" s="115" t="s">
        <v>87</v>
      </c>
      <c r="C5" s="457" t="s">
        <v>465</v>
      </c>
      <c r="D5" s="457"/>
      <c r="E5" s="457"/>
      <c r="F5" s="457"/>
      <c r="G5" s="177"/>
      <c r="H5" s="176"/>
      <c r="I5" s="176"/>
    </row>
    <row r="6" spans="2:9" ht="15.75" x14ac:dyDescent="0.25">
      <c r="B6" s="115" t="s">
        <v>88</v>
      </c>
      <c r="C6" s="458" t="s">
        <v>483</v>
      </c>
      <c r="D6" s="458"/>
      <c r="E6" s="458"/>
      <c r="F6" s="458"/>
      <c r="G6" s="120"/>
      <c r="H6" s="176"/>
      <c r="I6" s="176"/>
    </row>
    <row r="7" spans="2:9" ht="15.75" x14ac:dyDescent="0.25">
      <c r="B7" s="115" t="s">
        <v>89</v>
      </c>
      <c r="C7" s="457" t="s">
        <v>484</v>
      </c>
      <c r="D7" s="457"/>
      <c r="E7" s="457"/>
      <c r="F7" s="457"/>
      <c r="G7" s="177"/>
      <c r="H7" s="176"/>
      <c r="I7" s="176"/>
    </row>
    <row r="8" spans="2:9" ht="15.75" x14ac:dyDescent="0.25">
      <c r="B8" s="115" t="s">
        <v>90</v>
      </c>
      <c r="C8" s="457" t="s">
        <v>485</v>
      </c>
      <c r="D8" s="457"/>
      <c r="E8" s="457"/>
      <c r="F8" s="457"/>
      <c r="G8" s="177"/>
      <c r="H8" s="176"/>
      <c r="I8" s="176"/>
    </row>
    <row r="9" spans="2:9" ht="15.75" x14ac:dyDescent="0.25">
      <c r="B9" s="115" t="s">
        <v>225</v>
      </c>
      <c r="C9" s="457" t="s">
        <v>469</v>
      </c>
      <c r="D9" s="457"/>
      <c r="E9" s="457"/>
      <c r="F9" s="457"/>
      <c r="G9" s="177"/>
      <c r="H9" s="176"/>
      <c r="I9" s="176"/>
    </row>
    <row r="10" spans="2:9" ht="15.75" x14ac:dyDescent="0.25">
      <c r="B10" s="115" t="s">
        <v>91</v>
      </c>
      <c r="C10" s="457" t="s">
        <v>301</v>
      </c>
      <c r="D10" s="457"/>
      <c r="E10" s="457"/>
      <c r="F10" s="457"/>
      <c r="G10" s="177"/>
      <c r="H10" s="176"/>
      <c r="I10" s="176"/>
    </row>
    <row r="11" spans="2:9" ht="15.75" x14ac:dyDescent="0.25">
      <c r="B11" s="176"/>
      <c r="C11" s="176"/>
      <c r="D11" s="176"/>
      <c r="E11" s="176"/>
      <c r="F11" s="176"/>
      <c r="G11" s="176"/>
      <c r="H11" s="176"/>
      <c r="I11" s="176"/>
    </row>
    <row r="12" spans="2:9" ht="15.75" x14ac:dyDescent="0.25">
      <c r="B12" s="459" t="s">
        <v>92</v>
      </c>
      <c r="C12" s="459"/>
      <c r="D12" s="459"/>
      <c r="E12" s="459"/>
      <c r="F12" s="459"/>
      <c r="G12" s="178"/>
      <c r="H12" s="176"/>
      <c r="I12" s="176"/>
    </row>
    <row r="13" spans="2:9" ht="15.75" x14ac:dyDescent="0.25">
      <c r="B13" s="460" t="s">
        <v>93</v>
      </c>
      <c r="C13" s="461"/>
      <c r="D13" s="459" t="s">
        <v>94</v>
      </c>
      <c r="E13" s="459"/>
      <c r="F13" s="459"/>
      <c r="G13" s="178"/>
      <c r="H13" s="176"/>
      <c r="I13" s="176"/>
    </row>
    <row r="14" spans="2:9" ht="15.75" x14ac:dyDescent="0.25">
      <c r="B14" s="462">
        <v>43205</v>
      </c>
      <c r="C14" s="463"/>
      <c r="D14" s="457" t="s">
        <v>465</v>
      </c>
      <c r="E14" s="457"/>
      <c r="F14" s="457"/>
      <c r="G14" s="177"/>
      <c r="H14" s="176"/>
      <c r="I14" s="176"/>
    </row>
    <row r="15" spans="2:9" ht="15.75" x14ac:dyDescent="0.25">
      <c r="B15" s="176"/>
      <c r="C15" s="176"/>
      <c r="D15" s="176"/>
      <c r="E15" s="176"/>
      <c r="F15" s="176"/>
      <c r="G15" s="176"/>
      <c r="H15" s="176"/>
      <c r="I15" s="176"/>
    </row>
    <row r="16" spans="2:9" ht="33" customHeight="1" x14ac:dyDescent="0.25">
      <c r="B16" s="179" t="s">
        <v>95</v>
      </c>
      <c r="C16" s="179" t="s">
        <v>96</v>
      </c>
      <c r="D16" s="179" t="s">
        <v>97</v>
      </c>
      <c r="E16" s="179" t="s">
        <v>98</v>
      </c>
      <c r="F16" s="179" t="s">
        <v>99</v>
      </c>
      <c r="G16" s="178"/>
      <c r="H16" s="176"/>
      <c r="I16" s="176"/>
    </row>
    <row r="17" spans="2:9" ht="31.5" x14ac:dyDescent="0.25">
      <c r="B17" s="119" t="s">
        <v>486</v>
      </c>
      <c r="C17" s="119" t="s">
        <v>862</v>
      </c>
      <c r="D17" s="119">
        <v>2</v>
      </c>
      <c r="E17" s="119">
        <v>2</v>
      </c>
      <c r="F17" s="119" t="s">
        <v>864</v>
      </c>
      <c r="G17" s="120"/>
      <c r="H17" s="176"/>
      <c r="I17" s="176"/>
    </row>
    <row r="18" spans="2:9" ht="15.75" x14ac:dyDescent="0.25">
      <c r="B18" s="120"/>
      <c r="C18" s="120"/>
      <c r="D18" s="120"/>
      <c r="E18" s="120"/>
      <c r="F18" s="120"/>
      <c r="G18" s="120"/>
      <c r="H18" s="176"/>
      <c r="I18" s="176"/>
    </row>
    <row r="19" spans="2:9" ht="15.75" x14ac:dyDescent="0.25">
      <c r="B19" s="447" t="s">
        <v>100</v>
      </c>
      <c r="C19" s="448"/>
      <c r="D19" s="448"/>
      <c r="E19" s="448"/>
      <c r="F19" s="449"/>
      <c r="G19" s="180"/>
      <c r="H19" s="176"/>
      <c r="I19" s="176"/>
    </row>
    <row r="20" spans="2:9" ht="36.950000000000003" customHeight="1" x14ac:dyDescent="0.25">
      <c r="B20" s="382" t="s">
        <v>487</v>
      </c>
      <c r="C20" s="393"/>
      <c r="D20" s="393"/>
      <c r="E20" s="393"/>
      <c r="F20" s="394"/>
      <c r="G20" s="181"/>
      <c r="H20" s="176"/>
      <c r="I20" s="176"/>
    </row>
    <row r="21" spans="2:9" ht="15.75" x14ac:dyDescent="0.25">
      <c r="B21" s="447" t="s">
        <v>101</v>
      </c>
      <c r="C21" s="448"/>
      <c r="D21" s="448"/>
      <c r="E21" s="448"/>
      <c r="F21" s="449"/>
      <c r="G21" s="180"/>
      <c r="H21" s="176"/>
      <c r="I21" s="176"/>
    </row>
    <row r="22" spans="2:9" ht="77.45" customHeight="1" x14ac:dyDescent="0.25">
      <c r="B22" s="453" t="s">
        <v>488</v>
      </c>
      <c r="C22" s="454"/>
      <c r="D22" s="454"/>
      <c r="E22" s="454"/>
      <c r="F22" s="455"/>
      <c r="G22" s="183"/>
      <c r="H22" s="176"/>
      <c r="I22" s="176"/>
    </row>
    <row r="23" spans="2:9" ht="15.75" x14ac:dyDescent="0.25">
      <c r="B23" s="176"/>
      <c r="C23" s="176"/>
      <c r="D23" s="176"/>
      <c r="E23" s="176"/>
      <c r="F23" s="176"/>
      <c r="G23" s="176"/>
      <c r="H23" s="176"/>
      <c r="I23" s="176"/>
    </row>
    <row r="24" spans="2:9" ht="15.75" x14ac:dyDescent="0.25">
      <c r="B24" s="447" t="s">
        <v>102</v>
      </c>
      <c r="C24" s="448"/>
      <c r="D24" s="448"/>
      <c r="E24" s="448"/>
      <c r="F24" s="449"/>
      <c r="G24" s="180"/>
      <c r="H24" s="176"/>
      <c r="I24" s="176"/>
    </row>
    <row r="25" spans="2:9" ht="63" customHeight="1" x14ac:dyDescent="0.25">
      <c r="B25" s="143" t="s">
        <v>489</v>
      </c>
      <c r="C25" s="184"/>
      <c r="D25" s="184"/>
      <c r="E25" s="184"/>
      <c r="F25" s="185"/>
      <c r="G25" s="181"/>
      <c r="H25" s="176"/>
      <c r="I25" s="176"/>
    </row>
    <row r="26" spans="2:9" ht="15.75" x14ac:dyDescent="0.25">
      <c r="B26" s="176"/>
      <c r="C26" s="176"/>
      <c r="D26" s="176"/>
      <c r="E26" s="176"/>
      <c r="F26" s="176"/>
      <c r="G26" s="176"/>
      <c r="H26" s="176"/>
      <c r="I26" s="176"/>
    </row>
    <row r="27" spans="2:9" ht="15.75" x14ac:dyDescent="0.25">
      <c r="B27" s="447" t="s">
        <v>103</v>
      </c>
      <c r="C27" s="448"/>
      <c r="D27" s="448"/>
      <c r="E27" s="448"/>
      <c r="F27" s="449"/>
      <c r="G27" s="178"/>
      <c r="H27" s="176"/>
      <c r="I27" s="176"/>
    </row>
    <row r="28" spans="2:9" ht="15.75" x14ac:dyDescent="0.25">
      <c r="B28" s="456" t="s">
        <v>490</v>
      </c>
      <c r="C28" s="456"/>
      <c r="D28" s="456"/>
      <c r="E28" s="456"/>
      <c r="F28" s="456"/>
      <c r="G28" s="187"/>
      <c r="H28" s="176"/>
      <c r="I28" s="176"/>
    </row>
    <row r="29" spans="2:9" ht="15.75" x14ac:dyDescent="0.25">
      <c r="B29" s="456" t="s">
        <v>491</v>
      </c>
      <c r="C29" s="456"/>
      <c r="D29" s="456"/>
      <c r="E29" s="456"/>
      <c r="F29" s="456"/>
      <c r="G29" s="187"/>
      <c r="H29" s="176"/>
      <c r="I29" s="176"/>
    </row>
    <row r="30" spans="2:9" ht="15.75" x14ac:dyDescent="0.25">
      <c r="B30" s="456" t="s">
        <v>492</v>
      </c>
      <c r="C30" s="456"/>
      <c r="D30" s="456"/>
      <c r="E30" s="456"/>
      <c r="F30" s="456"/>
      <c r="G30" s="187"/>
      <c r="H30" s="176"/>
      <c r="I30" s="176"/>
    </row>
    <row r="31" spans="2:9" ht="15.75" x14ac:dyDescent="0.25">
      <c r="B31" s="456" t="s">
        <v>493</v>
      </c>
      <c r="C31" s="456"/>
      <c r="D31" s="456"/>
      <c r="E31" s="456"/>
      <c r="F31" s="456"/>
      <c r="G31" s="187"/>
      <c r="H31" s="176"/>
      <c r="I31" s="176"/>
    </row>
    <row r="32" spans="2:9" ht="15.75" x14ac:dyDescent="0.25">
      <c r="B32" s="176"/>
      <c r="C32" s="176"/>
      <c r="D32" s="176"/>
      <c r="E32" s="176"/>
      <c r="F32" s="176"/>
      <c r="G32" s="176"/>
      <c r="H32" s="176"/>
      <c r="I32" s="176"/>
    </row>
    <row r="33" spans="2:9" ht="15.75" x14ac:dyDescent="0.25">
      <c r="B33" s="447" t="s">
        <v>105</v>
      </c>
      <c r="C33" s="448"/>
      <c r="D33" s="448"/>
      <c r="E33" s="448"/>
      <c r="F33" s="449"/>
      <c r="G33" s="180"/>
      <c r="H33" s="176"/>
      <c r="I33" s="176"/>
    </row>
    <row r="34" spans="2:9" ht="111.95" customHeight="1" x14ac:dyDescent="0.25">
      <c r="B34" s="382" t="s">
        <v>494</v>
      </c>
      <c r="C34" s="393"/>
      <c r="D34" s="393"/>
      <c r="E34" s="393"/>
      <c r="F34" s="394"/>
      <c r="G34" s="183"/>
      <c r="H34" s="176"/>
      <c r="I34" s="176"/>
    </row>
    <row r="35" spans="2:9" ht="15.75" x14ac:dyDescent="0.25">
      <c r="B35" s="125"/>
      <c r="C35" s="125"/>
      <c r="D35" s="125"/>
      <c r="E35" s="125"/>
      <c r="F35" s="125"/>
      <c r="G35" s="125"/>
      <c r="H35" s="176"/>
      <c r="I35" s="176"/>
    </row>
    <row r="36" spans="2:9" ht="15.75" x14ac:dyDescent="0.25">
      <c r="B36" s="447" t="s">
        <v>473</v>
      </c>
      <c r="C36" s="448"/>
      <c r="D36" s="448"/>
      <c r="E36" s="448"/>
      <c r="F36" s="449"/>
      <c r="G36" s="180"/>
      <c r="H36" s="176"/>
      <c r="I36" s="176"/>
    </row>
    <row r="37" spans="2:9" ht="15.75" x14ac:dyDescent="0.25">
      <c r="B37" s="135" t="s">
        <v>495</v>
      </c>
      <c r="C37" s="446" t="s">
        <v>496</v>
      </c>
      <c r="D37" s="446"/>
      <c r="E37" s="446"/>
      <c r="F37" s="446"/>
      <c r="G37" s="183"/>
      <c r="H37" s="176"/>
      <c r="I37" s="176"/>
    </row>
    <row r="38" spans="2:9" ht="15.75" x14ac:dyDescent="0.25">
      <c r="B38" s="135" t="s">
        <v>497</v>
      </c>
      <c r="C38" s="446" t="s">
        <v>498</v>
      </c>
      <c r="D38" s="446"/>
      <c r="E38" s="446"/>
      <c r="F38" s="446"/>
      <c r="G38" s="183"/>
      <c r="H38" s="176"/>
      <c r="I38" s="176"/>
    </row>
    <row r="39" spans="2:9" ht="15.75" x14ac:dyDescent="0.25">
      <c r="B39" s="135" t="s">
        <v>499</v>
      </c>
      <c r="C39" s="382"/>
      <c r="D39" s="393"/>
      <c r="E39" s="393"/>
      <c r="F39" s="394"/>
      <c r="G39" s="183"/>
      <c r="H39" s="176"/>
      <c r="I39" s="176"/>
    </row>
    <row r="40" spans="2:9" ht="15.75" x14ac:dyDescent="0.25">
      <c r="B40" s="176"/>
      <c r="C40" s="176"/>
      <c r="D40" s="176"/>
      <c r="E40" s="176"/>
      <c r="F40" s="176"/>
      <c r="G40" s="176"/>
      <c r="H40" s="176"/>
      <c r="I40" s="176"/>
    </row>
    <row r="41" spans="2:9" ht="15.75" x14ac:dyDescent="0.25">
      <c r="B41" s="447" t="s">
        <v>106</v>
      </c>
      <c r="C41" s="448"/>
      <c r="D41" s="448"/>
      <c r="E41" s="448"/>
      <c r="F41" s="449"/>
      <c r="G41" s="180"/>
      <c r="H41" s="176"/>
      <c r="I41" s="176"/>
    </row>
    <row r="42" spans="2:9" ht="15.6" customHeight="1" x14ac:dyDescent="0.25">
      <c r="B42" s="382" t="s">
        <v>500</v>
      </c>
      <c r="C42" s="393"/>
      <c r="D42" s="393"/>
      <c r="E42" s="393"/>
      <c r="F42" s="394"/>
      <c r="G42" s="125"/>
      <c r="H42" s="176"/>
      <c r="I42" s="176"/>
    </row>
    <row r="43" spans="2:9" ht="15.75" x14ac:dyDescent="0.25">
      <c r="B43" s="176"/>
      <c r="C43" s="176"/>
      <c r="D43" s="176"/>
      <c r="E43" s="176"/>
      <c r="F43" s="176"/>
      <c r="G43" s="176"/>
      <c r="H43" s="176"/>
      <c r="I43" s="176"/>
    </row>
    <row r="44" spans="2:9" ht="15.75" x14ac:dyDescent="0.25">
      <c r="B44" s="447" t="s">
        <v>240</v>
      </c>
      <c r="C44" s="448"/>
      <c r="D44" s="448"/>
      <c r="E44" s="448"/>
      <c r="F44" s="449"/>
      <c r="G44" s="180"/>
      <c r="H44" s="176"/>
      <c r="I44" s="176"/>
    </row>
    <row r="45" spans="2:9" ht="15.75" x14ac:dyDescent="0.25">
      <c r="B45" s="188" t="s">
        <v>241</v>
      </c>
      <c r="C45" s="188" t="s">
        <v>242</v>
      </c>
      <c r="D45" s="447" t="s">
        <v>243</v>
      </c>
      <c r="E45" s="448"/>
      <c r="F45" s="449"/>
      <c r="G45" s="180"/>
      <c r="H45" s="176"/>
      <c r="I45" s="176"/>
    </row>
    <row r="46" spans="2:9" ht="31.5" x14ac:dyDescent="0.25">
      <c r="B46" s="135" t="s">
        <v>501</v>
      </c>
      <c r="C46" s="135" t="s">
        <v>281</v>
      </c>
      <c r="D46" s="450" t="s">
        <v>502</v>
      </c>
      <c r="E46" s="451"/>
      <c r="F46" s="452"/>
      <c r="G46" s="189"/>
      <c r="H46" s="176"/>
      <c r="I46" s="176"/>
    </row>
    <row r="47" spans="2:9" ht="15.75" x14ac:dyDescent="0.25">
      <c r="B47" s="176"/>
      <c r="C47" s="176"/>
      <c r="D47" s="176"/>
      <c r="E47" s="176"/>
      <c r="F47" s="176"/>
      <c r="G47" s="176"/>
      <c r="H47" s="176"/>
      <c r="I47" s="176"/>
    </row>
    <row r="48" spans="2:9" ht="15.75" x14ac:dyDescent="0.25">
      <c r="B48" s="447" t="s">
        <v>107</v>
      </c>
      <c r="C48" s="448"/>
      <c r="D48" s="448"/>
      <c r="E48" s="448"/>
      <c r="F48" s="449"/>
      <c r="G48" s="180"/>
      <c r="H48" s="176"/>
      <c r="I48" s="176"/>
    </row>
    <row r="49" spans="2:9" ht="15.75" x14ac:dyDescent="0.25">
      <c r="B49" s="385"/>
      <c r="C49" s="444"/>
      <c r="D49" s="444"/>
      <c r="E49" s="444"/>
      <c r="F49" s="445"/>
      <c r="G49" s="125"/>
      <c r="H49" s="176"/>
      <c r="I49" s="176"/>
    </row>
    <row r="50" spans="2:9" ht="15.75" x14ac:dyDescent="0.25">
      <c r="B50" s="176"/>
      <c r="C50" s="176"/>
      <c r="D50" s="176"/>
      <c r="E50" s="176"/>
      <c r="F50" s="176"/>
      <c r="G50" s="176"/>
      <c r="H50" s="176"/>
      <c r="I50" s="176"/>
    </row>
    <row r="51" spans="2:9" ht="15.75" x14ac:dyDescent="0.25">
      <c r="B51" s="447" t="s">
        <v>108</v>
      </c>
      <c r="C51" s="448"/>
      <c r="D51" s="448"/>
      <c r="E51" s="448"/>
      <c r="F51" s="449"/>
      <c r="G51" s="180"/>
      <c r="H51" s="176"/>
      <c r="I51" s="176"/>
    </row>
    <row r="52" spans="2:9" ht="15.75" x14ac:dyDescent="0.25">
      <c r="B52" s="385"/>
      <c r="C52" s="444"/>
      <c r="D52" s="444"/>
      <c r="E52" s="444"/>
      <c r="F52" s="445"/>
      <c r="G52" s="125"/>
      <c r="H52" s="172"/>
      <c r="I52" s="172"/>
    </row>
    <row r="53" spans="2:9" ht="15.75" x14ac:dyDescent="0.25">
      <c r="B53" s="172"/>
      <c r="C53" s="172"/>
      <c r="D53" s="172"/>
      <c r="E53" s="172"/>
      <c r="F53" s="172"/>
      <c r="G53" s="172"/>
      <c r="H53" s="172"/>
      <c r="I53" s="172"/>
    </row>
  </sheetData>
  <mergeCells count="36">
    <mergeCell ref="B19:F19"/>
    <mergeCell ref="C5:F5"/>
    <mergeCell ref="C6:F6"/>
    <mergeCell ref="C7:F7"/>
    <mergeCell ref="C8:F8"/>
    <mergeCell ref="C9:F9"/>
    <mergeCell ref="C10:F10"/>
    <mergeCell ref="B12:F12"/>
    <mergeCell ref="B13:C13"/>
    <mergeCell ref="D13:F13"/>
    <mergeCell ref="B14:C14"/>
    <mergeCell ref="D14:F14"/>
    <mergeCell ref="B36:F36"/>
    <mergeCell ref="B20:F20"/>
    <mergeCell ref="B21:F21"/>
    <mergeCell ref="B22:F22"/>
    <mergeCell ref="B24:F24"/>
    <mergeCell ref="B27:F27"/>
    <mergeCell ref="B28:F28"/>
    <mergeCell ref="B29:F29"/>
    <mergeCell ref="B30:F30"/>
    <mergeCell ref="B31:F31"/>
    <mergeCell ref="B33:F33"/>
    <mergeCell ref="B34:F34"/>
    <mergeCell ref="B52:F52"/>
    <mergeCell ref="C37:F37"/>
    <mergeCell ref="C38:F38"/>
    <mergeCell ref="C39:F39"/>
    <mergeCell ref="B41:F41"/>
    <mergeCell ref="B42:F42"/>
    <mergeCell ref="B44:F44"/>
    <mergeCell ref="D45:F45"/>
    <mergeCell ref="D46:F46"/>
    <mergeCell ref="B48:F48"/>
    <mergeCell ref="B49:F49"/>
    <mergeCell ref="B51:F51"/>
  </mergeCells>
  <dataValidations count="2">
    <dataValidation type="list" allowBlank="1" showInputMessage="1" showErrorMessage="1" sqref="C46 IY46 SU46 ACQ46 AMM46 AWI46 BGE46 BQA46 BZW46 CJS46 CTO46 DDK46 DNG46 DXC46 EGY46 EQU46 FAQ46 FKM46 FUI46 GEE46 GOA46 GXW46 HHS46 HRO46 IBK46 ILG46 IVC46 JEY46 JOU46 JYQ46 KIM46 KSI46 LCE46 LMA46 LVW46 MFS46 MPO46 MZK46 NJG46 NTC46 OCY46 OMU46 OWQ46 PGM46 PQI46 QAE46 QKA46 QTW46 RDS46 RNO46 RXK46 SHG46 SRC46 TAY46 TKU46 TUQ46 UEM46 UOI46 UYE46 VIA46 VRW46 WBS46 WLO46 WVK46 C65582 IY65582 SU65582 ACQ65582 AMM65582 AWI65582 BGE65582 BQA65582 BZW65582 CJS65582 CTO65582 DDK65582 DNG65582 DXC65582 EGY65582 EQU65582 FAQ65582 FKM65582 FUI65582 GEE65582 GOA65582 GXW65582 HHS65582 HRO65582 IBK65582 ILG65582 IVC65582 JEY65582 JOU65582 JYQ65582 KIM65582 KSI65582 LCE65582 LMA65582 LVW65582 MFS65582 MPO65582 MZK65582 NJG65582 NTC65582 OCY65582 OMU65582 OWQ65582 PGM65582 PQI65582 QAE65582 QKA65582 QTW65582 RDS65582 RNO65582 RXK65582 SHG65582 SRC65582 TAY65582 TKU65582 TUQ65582 UEM65582 UOI65582 UYE65582 VIA65582 VRW65582 WBS65582 WLO65582 WVK65582 C131118 IY131118 SU131118 ACQ131118 AMM131118 AWI131118 BGE131118 BQA131118 BZW131118 CJS131118 CTO131118 DDK131118 DNG131118 DXC131118 EGY131118 EQU131118 FAQ131118 FKM131118 FUI131118 GEE131118 GOA131118 GXW131118 HHS131118 HRO131118 IBK131118 ILG131118 IVC131118 JEY131118 JOU131118 JYQ131118 KIM131118 KSI131118 LCE131118 LMA131118 LVW131118 MFS131118 MPO131118 MZK131118 NJG131118 NTC131118 OCY131118 OMU131118 OWQ131118 PGM131118 PQI131118 QAE131118 QKA131118 QTW131118 RDS131118 RNO131118 RXK131118 SHG131118 SRC131118 TAY131118 TKU131118 TUQ131118 UEM131118 UOI131118 UYE131118 VIA131118 VRW131118 WBS131118 WLO131118 WVK131118 C196654 IY196654 SU196654 ACQ196654 AMM196654 AWI196654 BGE196654 BQA196654 BZW196654 CJS196654 CTO196654 DDK196654 DNG196654 DXC196654 EGY196654 EQU196654 FAQ196654 FKM196654 FUI196654 GEE196654 GOA196654 GXW196654 HHS196654 HRO196654 IBK196654 ILG196654 IVC196654 JEY196654 JOU196654 JYQ196654 KIM196654 KSI196654 LCE196654 LMA196654 LVW196654 MFS196654 MPO196654 MZK196654 NJG196654 NTC196654 OCY196654 OMU196654 OWQ196654 PGM196654 PQI196654 QAE196654 QKA196654 QTW196654 RDS196654 RNO196654 RXK196654 SHG196654 SRC196654 TAY196654 TKU196654 TUQ196654 UEM196654 UOI196654 UYE196654 VIA196654 VRW196654 WBS196654 WLO196654 WVK196654 C262190 IY262190 SU262190 ACQ262190 AMM262190 AWI262190 BGE262190 BQA262190 BZW262190 CJS262190 CTO262190 DDK262190 DNG262190 DXC262190 EGY262190 EQU262190 FAQ262190 FKM262190 FUI262190 GEE262190 GOA262190 GXW262190 HHS262190 HRO262190 IBK262190 ILG262190 IVC262190 JEY262190 JOU262190 JYQ262190 KIM262190 KSI262190 LCE262190 LMA262190 LVW262190 MFS262190 MPO262190 MZK262190 NJG262190 NTC262190 OCY262190 OMU262190 OWQ262190 PGM262190 PQI262190 QAE262190 QKA262190 QTW262190 RDS262190 RNO262190 RXK262190 SHG262190 SRC262190 TAY262190 TKU262190 TUQ262190 UEM262190 UOI262190 UYE262190 VIA262190 VRW262190 WBS262190 WLO262190 WVK262190 C327726 IY327726 SU327726 ACQ327726 AMM327726 AWI327726 BGE327726 BQA327726 BZW327726 CJS327726 CTO327726 DDK327726 DNG327726 DXC327726 EGY327726 EQU327726 FAQ327726 FKM327726 FUI327726 GEE327726 GOA327726 GXW327726 HHS327726 HRO327726 IBK327726 ILG327726 IVC327726 JEY327726 JOU327726 JYQ327726 KIM327726 KSI327726 LCE327726 LMA327726 LVW327726 MFS327726 MPO327726 MZK327726 NJG327726 NTC327726 OCY327726 OMU327726 OWQ327726 PGM327726 PQI327726 QAE327726 QKA327726 QTW327726 RDS327726 RNO327726 RXK327726 SHG327726 SRC327726 TAY327726 TKU327726 TUQ327726 UEM327726 UOI327726 UYE327726 VIA327726 VRW327726 WBS327726 WLO327726 WVK327726 C393262 IY393262 SU393262 ACQ393262 AMM393262 AWI393262 BGE393262 BQA393262 BZW393262 CJS393262 CTO393262 DDK393262 DNG393262 DXC393262 EGY393262 EQU393262 FAQ393262 FKM393262 FUI393262 GEE393262 GOA393262 GXW393262 HHS393262 HRO393262 IBK393262 ILG393262 IVC393262 JEY393262 JOU393262 JYQ393262 KIM393262 KSI393262 LCE393262 LMA393262 LVW393262 MFS393262 MPO393262 MZK393262 NJG393262 NTC393262 OCY393262 OMU393262 OWQ393262 PGM393262 PQI393262 QAE393262 QKA393262 QTW393262 RDS393262 RNO393262 RXK393262 SHG393262 SRC393262 TAY393262 TKU393262 TUQ393262 UEM393262 UOI393262 UYE393262 VIA393262 VRW393262 WBS393262 WLO393262 WVK393262 C458798 IY458798 SU458798 ACQ458798 AMM458798 AWI458798 BGE458798 BQA458798 BZW458798 CJS458798 CTO458798 DDK458798 DNG458798 DXC458798 EGY458798 EQU458798 FAQ458798 FKM458798 FUI458798 GEE458798 GOA458798 GXW458798 HHS458798 HRO458798 IBK458798 ILG458798 IVC458798 JEY458798 JOU458798 JYQ458798 KIM458798 KSI458798 LCE458798 LMA458798 LVW458798 MFS458798 MPO458798 MZK458798 NJG458798 NTC458798 OCY458798 OMU458798 OWQ458798 PGM458798 PQI458798 QAE458798 QKA458798 QTW458798 RDS458798 RNO458798 RXK458798 SHG458798 SRC458798 TAY458798 TKU458798 TUQ458798 UEM458798 UOI458798 UYE458798 VIA458798 VRW458798 WBS458798 WLO458798 WVK458798 C524334 IY524334 SU524334 ACQ524334 AMM524334 AWI524334 BGE524334 BQA524334 BZW524334 CJS524334 CTO524334 DDK524334 DNG524334 DXC524334 EGY524334 EQU524334 FAQ524334 FKM524334 FUI524334 GEE524334 GOA524334 GXW524334 HHS524334 HRO524334 IBK524334 ILG524334 IVC524334 JEY524334 JOU524334 JYQ524334 KIM524334 KSI524334 LCE524334 LMA524334 LVW524334 MFS524334 MPO524334 MZK524334 NJG524334 NTC524334 OCY524334 OMU524334 OWQ524334 PGM524334 PQI524334 QAE524334 QKA524334 QTW524334 RDS524334 RNO524334 RXK524334 SHG524334 SRC524334 TAY524334 TKU524334 TUQ524334 UEM524334 UOI524334 UYE524334 VIA524334 VRW524334 WBS524334 WLO524334 WVK524334 C589870 IY589870 SU589870 ACQ589870 AMM589870 AWI589870 BGE589870 BQA589870 BZW589870 CJS589870 CTO589870 DDK589870 DNG589870 DXC589870 EGY589870 EQU589870 FAQ589870 FKM589870 FUI589870 GEE589870 GOA589870 GXW589870 HHS589870 HRO589870 IBK589870 ILG589870 IVC589870 JEY589870 JOU589870 JYQ589870 KIM589870 KSI589870 LCE589870 LMA589870 LVW589870 MFS589870 MPO589870 MZK589870 NJG589870 NTC589870 OCY589870 OMU589870 OWQ589870 PGM589870 PQI589870 QAE589870 QKA589870 QTW589870 RDS589870 RNO589870 RXK589870 SHG589870 SRC589870 TAY589870 TKU589870 TUQ589870 UEM589870 UOI589870 UYE589870 VIA589870 VRW589870 WBS589870 WLO589870 WVK589870 C655406 IY655406 SU655406 ACQ655406 AMM655406 AWI655406 BGE655406 BQA655406 BZW655406 CJS655406 CTO655406 DDK655406 DNG655406 DXC655406 EGY655406 EQU655406 FAQ655406 FKM655406 FUI655406 GEE655406 GOA655406 GXW655406 HHS655406 HRO655406 IBK655406 ILG655406 IVC655406 JEY655406 JOU655406 JYQ655406 KIM655406 KSI655406 LCE655406 LMA655406 LVW655406 MFS655406 MPO655406 MZK655406 NJG655406 NTC655406 OCY655406 OMU655406 OWQ655406 PGM655406 PQI655406 QAE655406 QKA655406 QTW655406 RDS655406 RNO655406 RXK655406 SHG655406 SRC655406 TAY655406 TKU655406 TUQ655406 UEM655406 UOI655406 UYE655406 VIA655406 VRW655406 WBS655406 WLO655406 WVK655406 C720942 IY720942 SU720942 ACQ720942 AMM720942 AWI720942 BGE720942 BQA720942 BZW720942 CJS720942 CTO720942 DDK720942 DNG720942 DXC720942 EGY720942 EQU720942 FAQ720942 FKM720942 FUI720942 GEE720942 GOA720942 GXW720942 HHS720942 HRO720942 IBK720942 ILG720942 IVC720942 JEY720942 JOU720942 JYQ720942 KIM720942 KSI720942 LCE720942 LMA720942 LVW720942 MFS720942 MPO720942 MZK720942 NJG720942 NTC720942 OCY720942 OMU720942 OWQ720942 PGM720942 PQI720942 QAE720942 QKA720942 QTW720942 RDS720942 RNO720942 RXK720942 SHG720942 SRC720942 TAY720942 TKU720942 TUQ720942 UEM720942 UOI720942 UYE720942 VIA720942 VRW720942 WBS720942 WLO720942 WVK720942 C786478 IY786478 SU786478 ACQ786478 AMM786478 AWI786478 BGE786478 BQA786478 BZW786478 CJS786478 CTO786478 DDK786478 DNG786478 DXC786478 EGY786478 EQU786478 FAQ786478 FKM786478 FUI786478 GEE786478 GOA786478 GXW786478 HHS786478 HRO786478 IBK786478 ILG786478 IVC786478 JEY786478 JOU786478 JYQ786478 KIM786478 KSI786478 LCE786478 LMA786478 LVW786478 MFS786478 MPO786478 MZK786478 NJG786478 NTC786478 OCY786478 OMU786478 OWQ786478 PGM786478 PQI786478 QAE786478 QKA786478 QTW786478 RDS786478 RNO786478 RXK786478 SHG786478 SRC786478 TAY786478 TKU786478 TUQ786478 UEM786478 UOI786478 UYE786478 VIA786478 VRW786478 WBS786478 WLO786478 WVK786478 C852014 IY852014 SU852014 ACQ852014 AMM852014 AWI852014 BGE852014 BQA852014 BZW852014 CJS852014 CTO852014 DDK852014 DNG852014 DXC852014 EGY852014 EQU852014 FAQ852014 FKM852014 FUI852014 GEE852014 GOA852014 GXW852014 HHS852014 HRO852014 IBK852014 ILG852014 IVC852014 JEY852014 JOU852014 JYQ852014 KIM852014 KSI852014 LCE852014 LMA852014 LVW852014 MFS852014 MPO852014 MZK852014 NJG852014 NTC852014 OCY852014 OMU852014 OWQ852014 PGM852014 PQI852014 QAE852014 QKA852014 QTW852014 RDS852014 RNO852014 RXK852014 SHG852014 SRC852014 TAY852014 TKU852014 TUQ852014 UEM852014 UOI852014 UYE852014 VIA852014 VRW852014 WBS852014 WLO852014 WVK852014 C917550 IY917550 SU917550 ACQ917550 AMM917550 AWI917550 BGE917550 BQA917550 BZW917550 CJS917550 CTO917550 DDK917550 DNG917550 DXC917550 EGY917550 EQU917550 FAQ917550 FKM917550 FUI917550 GEE917550 GOA917550 GXW917550 HHS917550 HRO917550 IBK917550 ILG917550 IVC917550 JEY917550 JOU917550 JYQ917550 KIM917550 KSI917550 LCE917550 LMA917550 LVW917550 MFS917550 MPO917550 MZK917550 NJG917550 NTC917550 OCY917550 OMU917550 OWQ917550 PGM917550 PQI917550 QAE917550 QKA917550 QTW917550 RDS917550 RNO917550 RXK917550 SHG917550 SRC917550 TAY917550 TKU917550 TUQ917550 UEM917550 UOI917550 UYE917550 VIA917550 VRW917550 WBS917550 WLO917550 WVK917550 C983086 IY983086 SU983086 ACQ983086 AMM983086 AWI983086 BGE983086 BQA983086 BZW983086 CJS983086 CTO983086 DDK983086 DNG983086 DXC983086 EGY983086 EQU983086 FAQ983086 FKM983086 FUI983086 GEE983086 GOA983086 GXW983086 HHS983086 HRO983086 IBK983086 ILG983086 IVC983086 JEY983086 JOU983086 JYQ983086 KIM983086 KSI983086 LCE983086 LMA983086 LVW983086 MFS983086 MPO983086 MZK983086 NJG983086 NTC983086 OCY983086 OMU983086 OWQ983086 PGM983086 PQI983086 QAE983086 QKA983086 QTW983086 RDS983086 RNO983086 RXK983086 SHG983086 SRC983086 TAY983086 TKU983086 TUQ983086 UEM983086 UOI983086 UYE983086 VIA983086 VRW983086 WBS983086 WLO983086 WVK983086">
      <formula1>"Académique, Professionnel, Associatif, Autre"</formula1>
    </dataValidation>
    <dataValidation type="list" allowBlank="1" showInputMessage="1" showErrorMessage="1" sqref="C5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41 IY65541 SU65541 ACQ65541 AMM65541 AWI65541 BGE65541 BQA65541 BZW65541 CJS65541 CTO65541 DDK65541 DNG65541 DXC65541 EGY65541 EQU65541 FAQ65541 FKM65541 FUI65541 GEE65541 GOA65541 GXW65541 HHS65541 HRO65541 IBK65541 ILG65541 IVC65541 JEY65541 JOU65541 JYQ65541 KIM65541 KSI65541 LCE65541 LMA65541 LVW65541 MFS65541 MPO65541 MZK65541 NJG65541 NTC65541 OCY65541 OMU65541 OWQ65541 PGM65541 PQI65541 QAE65541 QKA65541 QTW65541 RDS65541 RNO65541 RXK65541 SHG65541 SRC65541 TAY65541 TKU65541 TUQ65541 UEM65541 UOI65541 UYE65541 VIA65541 VRW65541 WBS65541 WLO65541 WVK65541 C131077 IY131077 SU131077 ACQ131077 AMM131077 AWI131077 BGE131077 BQA131077 BZW131077 CJS131077 CTO131077 DDK131077 DNG131077 DXC131077 EGY131077 EQU131077 FAQ131077 FKM131077 FUI131077 GEE131077 GOA131077 GXW131077 HHS131077 HRO131077 IBK131077 ILG131077 IVC131077 JEY131077 JOU131077 JYQ131077 KIM131077 KSI131077 LCE131077 LMA131077 LVW131077 MFS131077 MPO131077 MZK131077 NJG131077 NTC131077 OCY131077 OMU131077 OWQ131077 PGM131077 PQI131077 QAE131077 QKA131077 QTW131077 RDS131077 RNO131077 RXK131077 SHG131077 SRC131077 TAY131077 TKU131077 TUQ131077 UEM131077 UOI131077 UYE131077 VIA131077 VRW131077 WBS131077 WLO131077 WVK131077 C196613 IY196613 SU196613 ACQ196613 AMM196613 AWI196613 BGE196613 BQA196613 BZW196613 CJS196613 CTO196613 DDK196613 DNG196613 DXC196613 EGY196613 EQU196613 FAQ196613 FKM196613 FUI196613 GEE196613 GOA196613 GXW196613 HHS196613 HRO196613 IBK196613 ILG196613 IVC196613 JEY196613 JOU196613 JYQ196613 KIM196613 KSI196613 LCE196613 LMA196613 LVW196613 MFS196613 MPO196613 MZK196613 NJG196613 NTC196613 OCY196613 OMU196613 OWQ196613 PGM196613 PQI196613 QAE196613 QKA196613 QTW196613 RDS196613 RNO196613 RXK196613 SHG196613 SRC196613 TAY196613 TKU196613 TUQ196613 UEM196613 UOI196613 UYE196613 VIA196613 VRW196613 WBS196613 WLO196613 WVK196613 C262149 IY262149 SU262149 ACQ262149 AMM262149 AWI262149 BGE262149 BQA262149 BZW262149 CJS262149 CTO262149 DDK262149 DNG262149 DXC262149 EGY262149 EQU262149 FAQ262149 FKM262149 FUI262149 GEE262149 GOA262149 GXW262149 HHS262149 HRO262149 IBK262149 ILG262149 IVC262149 JEY262149 JOU262149 JYQ262149 KIM262149 KSI262149 LCE262149 LMA262149 LVW262149 MFS262149 MPO262149 MZK262149 NJG262149 NTC262149 OCY262149 OMU262149 OWQ262149 PGM262149 PQI262149 QAE262149 QKA262149 QTW262149 RDS262149 RNO262149 RXK262149 SHG262149 SRC262149 TAY262149 TKU262149 TUQ262149 UEM262149 UOI262149 UYE262149 VIA262149 VRW262149 WBS262149 WLO262149 WVK262149 C327685 IY327685 SU327685 ACQ327685 AMM327685 AWI327685 BGE327685 BQA327685 BZW327685 CJS327685 CTO327685 DDK327685 DNG327685 DXC327685 EGY327685 EQU327685 FAQ327685 FKM327685 FUI327685 GEE327685 GOA327685 GXW327685 HHS327685 HRO327685 IBK327685 ILG327685 IVC327685 JEY327685 JOU327685 JYQ327685 KIM327685 KSI327685 LCE327685 LMA327685 LVW327685 MFS327685 MPO327685 MZK327685 NJG327685 NTC327685 OCY327685 OMU327685 OWQ327685 PGM327685 PQI327685 QAE327685 QKA327685 QTW327685 RDS327685 RNO327685 RXK327685 SHG327685 SRC327685 TAY327685 TKU327685 TUQ327685 UEM327685 UOI327685 UYE327685 VIA327685 VRW327685 WBS327685 WLO327685 WVK327685 C393221 IY393221 SU393221 ACQ393221 AMM393221 AWI393221 BGE393221 BQA393221 BZW393221 CJS393221 CTO393221 DDK393221 DNG393221 DXC393221 EGY393221 EQU393221 FAQ393221 FKM393221 FUI393221 GEE393221 GOA393221 GXW393221 HHS393221 HRO393221 IBK393221 ILG393221 IVC393221 JEY393221 JOU393221 JYQ393221 KIM393221 KSI393221 LCE393221 LMA393221 LVW393221 MFS393221 MPO393221 MZK393221 NJG393221 NTC393221 OCY393221 OMU393221 OWQ393221 PGM393221 PQI393221 QAE393221 QKA393221 QTW393221 RDS393221 RNO393221 RXK393221 SHG393221 SRC393221 TAY393221 TKU393221 TUQ393221 UEM393221 UOI393221 UYE393221 VIA393221 VRW393221 WBS393221 WLO393221 WVK393221 C458757 IY458757 SU458757 ACQ458757 AMM458757 AWI458757 BGE458757 BQA458757 BZW458757 CJS458757 CTO458757 DDK458757 DNG458757 DXC458757 EGY458757 EQU458757 FAQ458757 FKM458757 FUI458757 GEE458757 GOA458757 GXW458757 HHS458757 HRO458757 IBK458757 ILG458757 IVC458757 JEY458757 JOU458757 JYQ458757 KIM458757 KSI458757 LCE458757 LMA458757 LVW458757 MFS458757 MPO458757 MZK458757 NJG458757 NTC458757 OCY458757 OMU458757 OWQ458757 PGM458757 PQI458757 QAE458757 QKA458757 QTW458757 RDS458757 RNO458757 RXK458757 SHG458757 SRC458757 TAY458757 TKU458757 TUQ458757 UEM458757 UOI458757 UYE458757 VIA458757 VRW458757 WBS458757 WLO458757 WVK458757 C524293 IY524293 SU524293 ACQ524293 AMM524293 AWI524293 BGE524293 BQA524293 BZW524293 CJS524293 CTO524293 DDK524293 DNG524293 DXC524293 EGY524293 EQU524293 FAQ524293 FKM524293 FUI524293 GEE524293 GOA524293 GXW524293 HHS524293 HRO524293 IBK524293 ILG524293 IVC524293 JEY524293 JOU524293 JYQ524293 KIM524293 KSI524293 LCE524293 LMA524293 LVW524293 MFS524293 MPO524293 MZK524293 NJG524293 NTC524293 OCY524293 OMU524293 OWQ524293 PGM524293 PQI524293 QAE524293 QKA524293 QTW524293 RDS524293 RNO524293 RXK524293 SHG524293 SRC524293 TAY524293 TKU524293 TUQ524293 UEM524293 UOI524293 UYE524293 VIA524293 VRW524293 WBS524293 WLO524293 WVK524293 C589829 IY589829 SU589829 ACQ589829 AMM589829 AWI589829 BGE589829 BQA589829 BZW589829 CJS589829 CTO589829 DDK589829 DNG589829 DXC589829 EGY589829 EQU589829 FAQ589829 FKM589829 FUI589829 GEE589829 GOA589829 GXW589829 HHS589829 HRO589829 IBK589829 ILG589829 IVC589829 JEY589829 JOU589829 JYQ589829 KIM589829 KSI589829 LCE589829 LMA589829 LVW589829 MFS589829 MPO589829 MZK589829 NJG589829 NTC589829 OCY589829 OMU589829 OWQ589829 PGM589829 PQI589829 QAE589829 QKA589829 QTW589829 RDS589829 RNO589829 RXK589829 SHG589829 SRC589829 TAY589829 TKU589829 TUQ589829 UEM589829 UOI589829 UYE589829 VIA589829 VRW589829 WBS589829 WLO589829 WVK589829 C655365 IY655365 SU655365 ACQ655365 AMM655365 AWI655365 BGE655365 BQA655365 BZW655365 CJS655365 CTO655365 DDK655365 DNG655365 DXC655365 EGY655365 EQU655365 FAQ655365 FKM655365 FUI655365 GEE655365 GOA655365 GXW655365 HHS655365 HRO655365 IBK655365 ILG655365 IVC655365 JEY655365 JOU655365 JYQ655365 KIM655365 KSI655365 LCE655365 LMA655365 LVW655365 MFS655365 MPO655365 MZK655365 NJG655365 NTC655365 OCY655365 OMU655365 OWQ655365 PGM655365 PQI655365 QAE655365 QKA655365 QTW655365 RDS655365 RNO655365 RXK655365 SHG655365 SRC655365 TAY655365 TKU655365 TUQ655365 UEM655365 UOI655365 UYE655365 VIA655365 VRW655365 WBS655365 WLO655365 WVK655365 C720901 IY720901 SU720901 ACQ720901 AMM720901 AWI720901 BGE720901 BQA720901 BZW720901 CJS720901 CTO720901 DDK720901 DNG720901 DXC720901 EGY720901 EQU720901 FAQ720901 FKM720901 FUI720901 GEE720901 GOA720901 GXW720901 HHS720901 HRO720901 IBK720901 ILG720901 IVC720901 JEY720901 JOU720901 JYQ720901 KIM720901 KSI720901 LCE720901 LMA720901 LVW720901 MFS720901 MPO720901 MZK720901 NJG720901 NTC720901 OCY720901 OMU720901 OWQ720901 PGM720901 PQI720901 QAE720901 QKA720901 QTW720901 RDS720901 RNO720901 RXK720901 SHG720901 SRC720901 TAY720901 TKU720901 TUQ720901 UEM720901 UOI720901 UYE720901 VIA720901 VRW720901 WBS720901 WLO720901 WVK720901 C786437 IY786437 SU786437 ACQ786437 AMM786437 AWI786437 BGE786437 BQA786437 BZW786437 CJS786437 CTO786437 DDK786437 DNG786437 DXC786437 EGY786437 EQU786437 FAQ786437 FKM786437 FUI786437 GEE786437 GOA786437 GXW786437 HHS786437 HRO786437 IBK786437 ILG786437 IVC786437 JEY786437 JOU786437 JYQ786437 KIM786437 KSI786437 LCE786437 LMA786437 LVW786437 MFS786437 MPO786437 MZK786437 NJG786437 NTC786437 OCY786437 OMU786437 OWQ786437 PGM786437 PQI786437 QAE786437 QKA786437 QTW786437 RDS786437 RNO786437 RXK786437 SHG786437 SRC786437 TAY786437 TKU786437 TUQ786437 UEM786437 UOI786437 UYE786437 VIA786437 VRW786437 WBS786437 WLO786437 WVK786437 C851973 IY851973 SU851973 ACQ851973 AMM851973 AWI851973 BGE851973 BQA851973 BZW851973 CJS851973 CTO851973 DDK851973 DNG851973 DXC851973 EGY851973 EQU851973 FAQ851973 FKM851973 FUI851973 GEE851973 GOA851973 GXW851973 HHS851973 HRO851973 IBK851973 ILG851973 IVC851973 JEY851973 JOU851973 JYQ851973 KIM851973 KSI851973 LCE851973 LMA851973 LVW851973 MFS851973 MPO851973 MZK851973 NJG851973 NTC851973 OCY851973 OMU851973 OWQ851973 PGM851973 PQI851973 QAE851973 QKA851973 QTW851973 RDS851973 RNO851973 RXK851973 SHG851973 SRC851973 TAY851973 TKU851973 TUQ851973 UEM851973 UOI851973 UYE851973 VIA851973 VRW851973 WBS851973 WLO851973 WVK851973 C917509 IY917509 SU917509 ACQ917509 AMM917509 AWI917509 BGE917509 BQA917509 BZW917509 CJS917509 CTO917509 DDK917509 DNG917509 DXC917509 EGY917509 EQU917509 FAQ917509 FKM917509 FUI917509 GEE917509 GOA917509 GXW917509 HHS917509 HRO917509 IBK917509 ILG917509 IVC917509 JEY917509 JOU917509 JYQ917509 KIM917509 KSI917509 LCE917509 LMA917509 LVW917509 MFS917509 MPO917509 MZK917509 NJG917509 NTC917509 OCY917509 OMU917509 OWQ917509 PGM917509 PQI917509 QAE917509 QKA917509 QTW917509 RDS917509 RNO917509 RXK917509 SHG917509 SRC917509 TAY917509 TKU917509 TUQ917509 UEM917509 UOI917509 UYE917509 VIA917509 VRW917509 WBS917509 WLO917509 WVK917509 C983045 IY983045 SU983045 ACQ983045 AMM983045 AWI983045 BGE983045 BQA983045 BZW983045 CJS983045 CTO983045 DDK983045 DNG983045 DXC983045 EGY983045 EQU983045 FAQ983045 FKM983045 FUI983045 GEE983045 GOA983045 GXW983045 HHS983045 HRO983045 IBK983045 ILG983045 IVC983045 JEY983045 JOU983045 JYQ983045 KIM983045 KSI983045 LCE983045 LMA983045 LVW983045 MFS983045 MPO983045 MZK983045 NJG983045 NTC983045 OCY983045 OMU983045 OWQ983045 PGM983045 PQI983045 QAE983045 QKA983045 QTW983045 RDS983045 RNO983045 RXK983045 SHG983045 SRC983045 TAY983045 TKU983045 TUQ983045 UEM983045 UOI983045 UYE983045 VIA983045 VRW983045 WBS983045 WLO983045 WVK983045">
      <formula1>"Mise à jour à partir du plan d'études, Nouvelle création"</formula1>
    </dataValidation>
  </dataValidations>
  <hyperlinks>
    <hyperlink ref="B1" location="'Schéma d''enseignement'!G28" display="Shéma d'enseignement"/>
  </hyperlinks>
  <pageMargins left="0.7" right="0.7" top="0.75" bottom="0.75" header="0.3" footer="0.3"/>
  <pageSetup orientation="portrait"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J62"/>
  <sheetViews>
    <sheetView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31.140625" style="108" customWidth="1"/>
    <col min="6" max="6" width="32.5703125" style="108" customWidth="1"/>
    <col min="7" max="7" width="8.140625" style="108" customWidth="1"/>
    <col min="8" max="8" width="20.140625" style="108" customWidth="1"/>
    <col min="9" max="9" width="119.85546875" style="108" customWidth="1"/>
    <col min="10" max="10" width="11.5703125" style="108" customWidth="1"/>
    <col min="11" max="11" width="128.140625" style="108" customWidth="1"/>
    <col min="12" max="256" width="11.5703125" style="108" customWidth="1"/>
    <col min="257" max="16384" width="8.85546875" style="108"/>
  </cols>
  <sheetData>
    <row r="1" spans="2:10" x14ac:dyDescent="0.25">
      <c r="B1" s="309" t="s">
        <v>857</v>
      </c>
    </row>
    <row r="2" spans="2:10" x14ac:dyDescent="0.25">
      <c r="B2" s="401" t="s">
        <v>464</v>
      </c>
      <c r="C2" s="402"/>
      <c r="D2" s="402"/>
      <c r="E2" s="402"/>
      <c r="F2" s="402"/>
      <c r="G2" s="402"/>
      <c r="H2" s="402"/>
      <c r="I2" s="403"/>
      <c r="J2" s="107"/>
    </row>
    <row r="4" spans="2:10" x14ac:dyDescent="0.25">
      <c r="B4" s="109" t="s">
        <v>86</v>
      </c>
      <c r="C4" s="110"/>
      <c r="D4" s="110"/>
      <c r="E4" s="110"/>
      <c r="F4" s="110"/>
      <c r="G4" s="111"/>
    </row>
    <row r="5" spans="2:10" s="112" customFormat="1" x14ac:dyDescent="0.25"/>
    <row r="6" spans="2:10" s="112" customFormat="1" x14ac:dyDescent="0.25">
      <c r="B6" s="113" t="s">
        <v>87</v>
      </c>
      <c r="C6" s="395" t="s">
        <v>465</v>
      </c>
      <c r="D6" s="395"/>
      <c r="E6" s="395"/>
      <c r="F6" s="395"/>
      <c r="G6" s="114"/>
    </row>
    <row r="7" spans="2:10" s="112" customFormat="1" x14ac:dyDescent="0.25">
      <c r="B7" s="115" t="s">
        <v>88</v>
      </c>
      <c r="C7" s="404" t="s">
        <v>833</v>
      </c>
      <c r="D7" s="404"/>
      <c r="E7" s="404"/>
      <c r="F7" s="404"/>
      <c r="G7" s="116"/>
    </row>
    <row r="8" spans="2:10" s="112" customFormat="1" x14ac:dyDescent="0.25">
      <c r="B8" s="113" t="s">
        <v>89</v>
      </c>
      <c r="C8" s="395" t="s">
        <v>467</v>
      </c>
      <c r="D8" s="395"/>
      <c r="E8" s="395"/>
      <c r="F8" s="395"/>
      <c r="G8" s="114"/>
    </row>
    <row r="9" spans="2:10" s="112" customFormat="1" x14ac:dyDescent="0.25">
      <c r="B9" s="113" t="s">
        <v>90</v>
      </c>
      <c r="C9" s="395" t="s">
        <v>821</v>
      </c>
      <c r="D9" s="395"/>
      <c r="E9" s="395"/>
      <c r="F9" s="395"/>
      <c r="G9" s="114"/>
    </row>
    <row r="10" spans="2:10" s="112" customFormat="1" x14ac:dyDescent="0.25">
      <c r="B10" s="113" t="s">
        <v>225</v>
      </c>
      <c r="C10" s="395" t="s">
        <v>469</v>
      </c>
      <c r="D10" s="395"/>
      <c r="E10" s="395"/>
      <c r="F10" s="395"/>
      <c r="G10" s="114"/>
    </row>
    <row r="11" spans="2:10" s="112" customFormat="1" x14ac:dyDescent="0.25">
      <c r="B11" s="113" t="s">
        <v>91</v>
      </c>
      <c r="C11" s="395">
        <v>4</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c r="C15" s="400"/>
      <c r="D15" s="395"/>
      <c r="E15" s="395"/>
      <c r="F15" s="395"/>
      <c r="G15" s="114"/>
    </row>
    <row r="16" spans="2:10" s="112" customFormat="1" x14ac:dyDescent="0.25"/>
    <row r="17" spans="2:7" s="112" customFormat="1" x14ac:dyDescent="0.25">
      <c r="B17" s="277" t="s">
        <v>95</v>
      </c>
      <c r="C17" s="277" t="s">
        <v>96</v>
      </c>
      <c r="D17" s="277" t="s">
        <v>97</v>
      </c>
      <c r="E17" s="277" t="s">
        <v>98</v>
      </c>
      <c r="F17" s="277" t="s">
        <v>99</v>
      </c>
      <c r="G17" s="117"/>
    </row>
    <row r="18" spans="2:7" s="112" customFormat="1" x14ac:dyDescent="0.25">
      <c r="B18" s="273" t="s">
        <v>833</v>
      </c>
      <c r="C18" s="23">
        <v>21</v>
      </c>
      <c r="D18" s="23">
        <v>2</v>
      </c>
      <c r="E18" s="23">
        <v>2</v>
      </c>
      <c r="F18" s="23" t="s">
        <v>228</v>
      </c>
      <c r="G18" s="116"/>
    </row>
    <row r="19" spans="2:7" s="112" customFormat="1" x14ac:dyDescent="0.25">
      <c r="B19" s="120"/>
      <c r="C19" s="116"/>
      <c r="D19" s="116"/>
      <c r="E19" s="116"/>
      <c r="F19" s="116"/>
      <c r="G19" s="116"/>
    </row>
    <row r="20" spans="2:7" s="112" customFormat="1" x14ac:dyDescent="0.25">
      <c r="B20" s="379" t="s">
        <v>100</v>
      </c>
      <c r="C20" s="380"/>
      <c r="D20" s="380"/>
      <c r="E20" s="380"/>
      <c r="F20" s="381"/>
      <c r="G20" s="121"/>
    </row>
    <row r="21" spans="2:7" s="112" customFormat="1" x14ac:dyDescent="0.25">
      <c r="B21" s="382" t="s">
        <v>832</v>
      </c>
      <c r="C21" s="415"/>
      <c r="D21" s="415"/>
      <c r="E21" s="415"/>
      <c r="F21" s="416"/>
      <c r="G21" s="122"/>
    </row>
    <row r="22" spans="2:7" s="112" customFormat="1" x14ac:dyDescent="0.25">
      <c r="B22" s="379" t="s">
        <v>101</v>
      </c>
      <c r="C22" s="380"/>
      <c r="D22" s="380"/>
      <c r="E22" s="380"/>
      <c r="F22" s="381"/>
      <c r="G22" s="121"/>
    </row>
    <row r="23" spans="2:7" s="112" customFormat="1" x14ac:dyDescent="0.25">
      <c r="B23" s="382" t="s">
        <v>831</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x14ac:dyDescent="0.25">
      <c r="B26" s="392" t="s">
        <v>830</v>
      </c>
      <c r="C26" s="415"/>
      <c r="D26" s="415"/>
      <c r="E26" s="415"/>
      <c r="F26" s="416"/>
      <c r="G26" s="122"/>
    </row>
    <row r="27" spans="2:7" s="112" customFormat="1" x14ac:dyDescent="0.25"/>
    <row r="28" spans="2:7" s="112" customFormat="1" x14ac:dyDescent="0.25">
      <c r="B28" s="379" t="s">
        <v>103</v>
      </c>
      <c r="C28" s="380"/>
      <c r="D28" s="380"/>
      <c r="E28" s="380"/>
      <c r="F28" s="381"/>
      <c r="G28" s="117"/>
    </row>
    <row r="29" spans="2:7" s="112" customFormat="1" x14ac:dyDescent="0.25">
      <c r="B29" s="389" t="s">
        <v>826</v>
      </c>
      <c r="C29" s="390"/>
      <c r="D29" s="390"/>
      <c r="E29" s="390"/>
      <c r="F29" s="391"/>
      <c r="G29" s="124"/>
    </row>
    <row r="30" spans="2:7" s="112" customFormat="1" x14ac:dyDescent="0.25">
      <c r="B30" s="389" t="s">
        <v>827</v>
      </c>
      <c r="C30" s="390"/>
      <c r="D30" s="390"/>
      <c r="E30" s="390"/>
      <c r="F30" s="391"/>
      <c r="G30" s="124"/>
    </row>
    <row r="31" spans="2:7" s="112" customFormat="1" x14ac:dyDescent="0.25">
      <c r="B31" s="389" t="s">
        <v>828</v>
      </c>
      <c r="C31" s="390"/>
      <c r="D31" s="390"/>
      <c r="E31" s="390"/>
      <c r="F31" s="391"/>
      <c r="G31" s="124"/>
    </row>
    <row r="32" spans="2:7" s="112" customFormat="1" x14ac:dyDescent="0.25">
      <c r="G32" s="124"/>
    </row>
    <row r="33" spans="2:7" s="112" customFormat="1" x14ac:dyDescent="0.25">
      <c r="B33" s="389"/>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277.35000000000002" customHeight="1" x14ac:dyDescent="0.25">
      <c r="B40" s="464" t="s">
        <v>829</v>
      </c>
      <c r="C40" s="421"/>
      <c r="D40" s="421"/>
      <c r="E40" s="421"/>
      <c r="F40" s="422"/>
      <c r="G40" s="123"/>
    </row>
    <row r="41" spans="2:7" s="112" customFormat="1" x14ac:dyDescent="0.25">
      <c r="B41" s="125"/>
      <c r="C41" s="276"/>
      <c r="D41" s="276"/>
      <c r="E41" s="276"/>
      <c r="F41" s="276"/>
      <c r="G41" s="276"/>
    </row>
    <row r="42" spans="2:7" s="112" customFormat="1" x14ac:dyDescent="0.25">
      <c r="B42" s="379" t="s">
        <v>473</v>
      </c>
      <c r="C42" s="380"/>
      <c r="D42" s="380"/>
      <c r="E42" s="380"/>
      <c r="F42" s="381"/>
      <c r="G42" s="121"/>
    </row>
    <row r="43" spans="2:7" s="112" customFormat="1" x14ac:dyDescent="0.25">
      <c r="B43" s="274" t="s">
        <v>474</v>
      </c>
      <c r="C43" s="388"/>
      <c r="D43" s="388"/>
      <c r="E43" s="388"/>
      <c r="F43" s="388"/>
      <c r="G43" s="123"/>
    </row>
    <row r="44" spans="2:7" s="112" customFormat="1" x14ac:dyDescent="0.25">
      <c r="B44" s="274" t="s">
        <v>476</v>
      </c>
      <c r="C44" s="388"/>
      <c r="D44" s="388"/>
      <c r="E44" s="388"/>
      <c r="F44" s="388"/>
      <c r="G44" s="123"/>
    </row>
    <row r="45" spans="2:7" s="112" customFormat="1" x14ac:dyDescent="0.25">
      <c r="B45" s="274" t="s">
        <v>478</v>
      </c>
      <c r="C45" s="392"/>
      <c r="D45" s="383"/>
      <c r="E45" s="383"/>
      <c r="F45" s="384"/>
      <c r="G45" s="123"/>
    </row>
    <row r="46" spans="2:7" s="112" customFormat="1" x14ac:dyDescent="0.25">
      <c r="B46" s="274"/>
      <c r="C46" s="388"/>
      <c r="D46" s="388"/>
      <c r="E46" s="388"/>
      <c r="F46" s="388"/>
      <c r="G46" s="123"/>
    </row>
    <row r="47" spans="2:7" s="112" customFormat="1" x14ac:dyDescent="0.25">
      <c r="B47" s="274"/>
      <c r="C47" s="388"/>
      <c r="D47" s="388"/>
      <c r="E47" s="388"/>
      <c r="F47" s="388"/>
      <c r="G47" s="123"/>
    </row>
    <row r="48" spans="2:7" s="112" customFormat="1" x14ac:dyDescent="0.25"/>
    <row r="49" spans="1:7" s="112" customFormat="1" x14ac:dyDescent="0.25">
      <c r="B49" s="379" t="s">
        <v>106</v>
      </c>
      <c r="C49" s="380"/>
      <c r="D49" s="380"/>
      <c r="E49" s="380"/>
      <c r="F49" s="381"/>
      <c r="G49" s="121"/>
    </row>
    <row r="50" spans="1:7" s="112" customFormat="1" x14ac:dyDescent="0.25">
      <c r="B50" s="392"/>
      <c r="C50" s="383"/>
      <c r="D50" s="383"/>
      <c r="E50" s="383"/>
      <c r="F50" s="384"/>
      <c r="G50" s="276"/>
    </row>
    <row r="51" spans="1:7" s="112" customFormat="1" x14ac:dyDescent="0.25"/>
    <row r="52" spans="1:7" s="112" customFormat="1" x14ac:dyDescent="0.25">
      <c r="B52" s="379" t="s">
        <v>240</v>
      </c>
      <c r="C52" s="380"/>
      <c r="D52" s="380"/>
      <c r="E52" s="380"/>
      <c r="F52" s="381"/>
      <c r="G52" s="121"/>
    </row>
    <row r="53" spans="1:7" s="112" customFormat="1" x14ac:dyDescent="0.25">
      <c r="B53" s="128" t="s">
        <v>241</v>
      </c>
      <c r="C53" s="128" t="s">
        <v>242</v>
      </c>
      <c r="D53" s="379" t="s">
        <v>243</v>
      </c>
      <c r="E53" s="380"/>
      <c r="F53" s="381"/>
      <c r="G53" s="121"/>
    </row>
    <row r="54" spans="1:7" s="112" customFormat="1" x14ac:dyDescent="0.25">
      <c r="A54" s="170"/>
      <c r="B54" s="274"/>
      <c r="C54" s="274"/>
      <c r="D54" s="443"/>
      <c r="E54" s="406"/>
      <c r="F54" s="407"/>
      <c r="G54" s="275"/>
    </row>
    <row r="55" spans="1:7" s="112" customFormat="1" x14ac:dyDescent="0.25">
      <c r="B55" s="129"/>
      <c r="C55" s="129"/>
      <c r="D55" s="405"/>
      <c r="E55" s="406"/>
      <c r="F55" s="407"/>
      <c r="G55" s="275"/>
    </row>
    <row r="56" spans="1:7" s="112" customFormat="1" x14ac:dyDescent="0.25">
      <c r="B56" s="131"/>
      <c r="C56" s="131"/>
      <c r="D56" s="405"/>
      <c r="E56" s="406"/>
      <c r="F56" s="407"/>
      <c r="G56" s="275"/>
    </row>
    <row r="57" spans="1:7" s="112" customFormat="1" x14ac:dyDescent="0.25"/>
    <row r="58" spans="1:7" s="112" customFormat="1" x14ac:dyDescent="0.25">
      <c r="B58" s="379" t="s">
        <v>107</v>
      </c>
      <c r="C58" s="380"/>
      <c r="D58" s="380"/>
      <c r="E58" s="380"/>
      <c r="F58" s="381"/>
      <c r="G58" s="121"/>
    </row>
    <row r="59" spans="1:7" s="112" customFormat="1" x14ac:dyDescent="0.25">
      <c r="B59" s="385"/>
      <c r="C59" s="386"/>
      <c r="D59" s="386"/>
      <c r="E59" s="386"/>
      <c r="F59" s="387"/>
      <c r="G59" s="276"/>
    </row>
    <row r="60" spans="1:7" s="112" customFormat="1" x14ac:dyDescent="0.25"/>
    <row r="61" spans="1:7" s="112" customFormat="1" x14ac:dyDescent="0.25">
      <c r="B61" s="379" t="s">
        <v>108</v>
      </c>
      <c r="C61" s="380"/>
      <c r="D61" s="380"/>
      <c r="E61" s="380"/>
      <c r="F61" s="381"/>
      <c r="G61" s="121"/>
    </row>
    <row r="62" spans="1:7" x14ac:dyDescent="0.25">
      <c r="B62" s="385"/>
      <c r="C62" s="386"/>
      <c r="D62" s="386"/>
      <c r="E62" s="386"/>
      <c r="F62" s="387"/>
      <c r="G62" s="276"/>
    </row>
  </sheetData>
  <mergeCells count="46">
    <mergeCell ref="B58:F58"/>
    <mergeCell ref="B59:F59"/>
    <mergeCell ref="B61:F61"/>
    <mergeCell ref="B62:F62"/>
    <mergeCell ref="B50:F50"/>
    <mergeCell ref="B52:F52"/>
    <mergeCell ref="D53:F53"/>
    <mergeCell ref="D54:F54"/>
    <mergeCell ref="D55:F55"/>
    <mergeCell ref="D56:F56"/>
    <mergeCell ref="B49:F49"/>
    <mergeCell ref="B35:F35"/>
    <mergeCell ref="B36:F36"/>
    <mergeCell ref="B37:F37"/>
    <mergeCell ref="B39:F39"/>
    <mergeCell ref="B40:F40"/>
    <mergeCell ref="B42:F42"/>
    <mergeCell ref="C43:F43"/>
    <mergeCell ref="C44:F44"/>
    <mergeCell ref="C45:F45"/>
    <mergeCell ref="C46:F46"/>
    <mergeCell ref="C47:F47"/>
    <mergeCell ref="B34:F34"/>
    <mergeCell ref="B20:F20"/>
    <mergeCell ref="B21:F21"/>
    <mergeCell ref="B22:F22"/>
    <mergeCell ref="B23:F23"/>
    <mergeCell ref="B25:F25"/>
    <mergeCell ref="B26:F26"/>
    <mergeCell ref="B28:F28"/>
    <mergeCell ref="B29:F29"/>
    <mergeCell ref="B30:F30"/>
    <mergeCell ref="B31:F31"/>
    <mergeCell ref="B33:F33"/>
    <mergeCell ref="C11:F11"/>
    <mergeCell ref="B13:F13"/>
    <mergeCell ref="B14:C14"/>
    <mergeCell ref="D14:F14"/>
    <mergeCell ref="B15:C15"/>
    <mergeCell ref="D15:F15"/>
    <mergeCell ref="C10:F10"/>
    <mergeCell ref="B2:I2"/>
    <mergeCell ref="C6:F6"/>
    <mergeCell ref="C7:F7"/>
    <mergeCell ref="C8:F8"/>
    <mergeCell ref="C9:F9"/>
  </mergeCells>
  <dataValidations count="2">
    <dataValidation type="list" allowBlank="1" showInputMessage="1" showErrorMessage="1"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formula1>"Mise à jour à partir du plan d'études, Nouvelle création"</formula1>
    </dataValidation>
    <dataValidation type="list" allowBlank="1" showInputMessage="1" showErrorMessage="1" sqref="C54:C56 IY54:IY56 SU54:SU56 ACQ54:ACQ56 AMM54:AMM56 AWI54:AWI56 BGE54:BGE56 BQA54:BQA56 BZW54:BZW56 CJS54:CJS56 CTO54:CTO56 DDK54:DDK56 DNG54:DNG56 DXC54:DXC56 EGY54:EGY56 EQU54:EQU56 FAQ54:FAQ56 FKM54:FKM56 FUI54:FUI56 GEE54:GEE56 GOA54:GOA56 GXW54:GXW56 HHS54:HHS56 HRO54:HRO56 IBK54:IBK56 ILG54:ILG56 IVC54:IVC56 JEY54:JEY56 JOU54:JOU56 JYQ54:JYQ56 KIM54:KIM56 KSI54:KSI56 LCE54:LCE56 LMA54:LMA56 LVW54:LVW56 MFS54:MFS56 MPO54:MPO56 MZK54:MZK56 NJG54:NJG56 NTC54:NTC56 OCY54:OCY56 OMU54:OMU56 OWQ54:OWQ56 PGM54:PGM56 PQI54:PQI56 QAE54:QAE56 QKA54:QKA56 QTW54:QTW56 RDS54:RDS56 RNO54:RNO56 RXK54:RXK56 SHG54:SHG56 SRC54:SRC56 TAY54:TAY56 TKU54:TKU56 TUQ54:TUQ56 UEM54:UEM56 UOI54:UOI56 UYE54:UYE56 VIA54:VIA56 VRW54:VRW56 WBS54:WBS56 WLO54:WLO56 WVK54:WVK56 C65590:C65592 IY65590:IY65592 SU65590:SU65592 ACQ65590:ACQ65592 AMM65590:AMM65592 AWI65590:AWI65592 BGE65590:BGE65592 BQA65590:BQA65592 BZW65590:BZW65592 CJS65590:CJS65592 CTO65590:CTO65592 DDK65590:DDK65592 DNG65590:DNG65592 DXC65590:DXC65592 EGY65590:EGY65592 EQU65590:EQU65592 FAQ65590:FAQ65592 FKM65590:FKM65592 FUI65590:FUI65592 GEE65590:GEE65592 GOA65590:GOA65592 GXW65590:GXW65592 HHS65590:HHS65592 HRO65590:HRO65592 IBK65590:IBK65592 ILG65590:ILG65592 IVC65590:IVC65592 JEY65590:JEY65592 JOU65590:JOU65592 JYQ65590:JYQ65592 KIM65590:KIM65592 KSI65590:KSI65592 LCE65590:LCE65592 LMA65590:LMA65592 LVW65590:LVW65592 MFS65590:MFS65592 MPO65590:MPO65592 MZK65590:MZK65592 NJG65590:NJG65592 NTC65590:NTC65592 OCY65590:OCY65592 OMU65590:OMU65592 OWQ65590:OWQ65592 PGM65590:PGM65592 PQI65590:PQI65592 QAE65590:QAE65592 QKA65590:QKA65592 QTW65590:QTW65592 RDS65590:RDS65592 RNO65590:RNO65592 RXK65590:RXK65592 SHG65590:SHG65592 SRC65590:SRC65592 TAY65590:TAY65592 TKU65590:TKU65592 TUQ65590:TUQ65592 UEM65590:UEM65592 UOI65590:UOI65592 UYE65590:UYE65592 VIA65590:VIA65592 VRW65590:VRW65592 WBS65590:WBS65592 WLO65590:WLO65592 WVK65590:WVK65592 C131126:C131128 IY131126:IY131128 SU131126:SU131128 ACQ131126:ACQ131128 AMM131126:AMM131128 AWI131126:AWI131128 BGE131126:BGE131128 BQA131126:BQA131128 BZW131126:BZW131128 CJS131126:CJS131128 CTO131126:CTO131128 DDK131126:DDK131128 DNG131126:DNG131128 DXC131126:DXC131128 EGY131126:EGY131128 EQU131126:EQU131128 FAQ131126:FAQ131128 FKM131126:FKM131128 FUI131126:FUI131128 GEE131126:GEE131128 GOA131126:GOA131128 GXW131126:GXW131128 HHS131126:HHS131128 HRO131126:HRO131128 IBK131126:IBK131128 ILG131126:ILG131128 IVC131126:IVC131128 JEY131126:JEY131128 JOU131126:JOU131128 JYQ131126:JYQ131128 KIM131126:KIM131128 KSI131126:KSI131128 LCE131126:LCE131128 LMA131126:LMA131128 LVW131126:LVW131128 MFS131126:MFS131128 MPO131126:MPO131128 MZK131126:MZK131128 NJG131126:NJG131128 NTC131126:NTC131128 OCY131126:OCY131128 OMU131126:OMU131128 OWQ131126:OWQ131128 PGM131126:PGM131128 PQI131126:PQI131128 QAE131126:QAE131128 QKA131126:QKA131128 QTW131126:QTW131128 RDS131126:RDS131128 RNO131126:RNO131128 RXK131126:RXK131128 SHG131126:SHG131128 SRC131126:SRC131128 TAY131126:TAY131128 TKU131126:TKU131128 TUQ131126:TUQ131128 UEM131126:UEM131128 UOI131126:UOI131128 UYE131126:UYE131128 VIA131126:VIA131128 VRW131126:VRW131128 WBS131126:WBS131128 WLO131126:WLO131128 WVK131126:WVK131128 C196662:C196664 IY196662:IY196664 SU196662:SU196664 ACQ196662:ACQ196664 AMM196662:AMM196664 AWI196662:AWI196664 BGE196662:BGE196664 BQA196662:BQA196664 BZW196662:BZW196664 CJS196662:CJS196664 CTO196662:CTO196664 DDK196662:DDK196664 DNG196662:DNG196664 DXC196662:DXC196664 EGY196662:EGY196664 EQU196662:EQU196664 FAQ196662:FAQ196664 FKM196662:FKM196664 FUI196662:FUI196664 GEE196662:GEE196664 GOA196662:GOA196664 GXW196662:GXW196664 HHS196662:HHS196664 HRO196662:HRO196664 IBK196662:IBK196664 ILG196662:ILG196664 IVC196662:IVC196664 JEY196662:JEY196664 JOU196662:JOU196664 JYQ196662:JYQ196664 KIM196662:KIM196664 KSI196662:KSI196664 LCE196662:LCE196664 LMA196662:LMA196664 LVW196662:LVW196664 MFS196662:MFS196664 MPO196662:MPO196664 MZK196662:MZK196664 NJG196662:NJG196664 NTC196662:NTC196664 OCY196662:OCY196664 OMU196662:OMU196664 OWQ196662:OWQ196664 PGM196662:PGM196664 PQI196662:PQI196664 QAE196662:QAE196664 QKA196662:QKA196664 QTW196662:QTW196664 RDS196662:RDS196664 RNO196662:RNO196664 RXK196662:RXK196664 SHG196662:SHG196664 SRC196662:SRC196664 TAY196662:TAY196664 TKU196662:TKU196664 TUQ196662:TUQ196664 UEM196662:UEM196664 UOI196662:UOI196664 UYE196662:UYE196664 VIA196662:VIA196664 VRW196662:VRW196664 WBS196662:WBS196664 WLO196662:WLO196664 WVK196662:WVK196664 C262198:C262200 IY262198:IY262200 SU262198:SU262200 ACQ262198:ACQ262200 AMM262198:AMM262200 AWI262198:AWI262200 BGE262198:BGE262200 BQA262198:BQA262200 BZW262198:BZW262200 CJS262198:CJS262200 CTO262198:CTO262200 DDK262198:DDK262200 DNG262198:DNG262200 DXC262198:DXC262200 EGY262198:EGY262200 EQU262198:EQU262200 FAQ262198:FAQ262200 FKM262198:FKM262200 FUI262198:FUI262200 GEE262198:GEE262200 GOA262198:GOA262200 GXW262198:GXW262200 HHS262198:HHS262200 HRO262198:HRO262200 IBK262198:IBK262200 ILG262198:ILG262200 IVC262198:IVC262200 JEY262198:JEY262200 JOU262198:JOU262200 JYQ262198:JYQ262200 KIM262198:KIM262200 KSI262198:KSI262200 LCE262198:LCE262200 LMA262198:LMA262200 LVW262198:LVW262200 MFS262198:MFS262200 MPO262198:MPO262200 MZK262198:MZK262200 NJG262198:NJG262200 NTC262198:NTC262200 OCY262198:OCY262200 OMU262198:OMU262200 OWQ262198:OWQ262200 PGM262198:PGM262200 PQI262198:PQI262200 QAE262198:QAE262200 QKA262198:QKA262200 QTW262198:QTW262200 RDS262198:RDS262200 RNO262198:RNO262200 RXK262198:RXK262200 SHG262198:SHG262200 SRC262198:SRC262200 TAY262198:TAY262200 TKU262198:TKU262200 TUQ262198:TUQ262200 UEM262198:UEM262200 UOI262198:UOI262200 UYE262198:UYE262200 VIA262198:VIA262200 VRW262198:VRW262200 WBS262198:WBS262200 WLO262198:WLO262200 WVK262198:WVK262200 C327734:C327736 IY327734:IY327736 SU327734:SU327736 ACQ327734:ACQ327736 AMM327734:AMM327736 AWI327734:AWI327736 BGE327734:BGE327736 BQA327734:BQA327736 BZW327734:BZW327736 CJS327734:CJS327736 CTO327734:CTO327736 DDK327734:DDK327736 DNG327734:DNG327736 DXC327734:DXC327736 EGY327734:EGY327736 EQU327734:EQU327736 FAQ327734:FAQ327736 FKM327734:FKM327736 FUI327734:FUI327736 GEE327734:GEE327736 GOA327734:GOA327736 GXW327734:GXW327736 HHS327734:HHS327736 HRO327734:HRO327736 IBK327734:IBK327736 ILG327734:ILG327736 IVC327734:IVC327736 JEY327734:JEY327736 JOU327734:JOU327736 JYQ327734:JYQ327736 KIM327734:KIM327736 KSI327734:KSI327736 LCE327734:LCE327736 LMA327734:LMA327736 LVW327734:LVW327736 MFS327734:MFS327736 MPO327734:MPO327736 MZK327734:MZK327736 NJG327734:NJG327736 NTC327734:NTC327736 OCY327734:OCY327736 OMU327734:OMU327736 OWQ327734:OWQ327736 PGM327734:PGM327736 PQI327734:PQI327736 QAE327734:QAE327736 QKA327734:QKA327736 QTW327734:QTW327736 RDS327734:RDS327736 RNO327734:RNO327736 RXK327734:RXK327736 SHG327734:SHG327736 SRC327734:SRC327736 TAY327734:TAY327736 TKU327734:TKU327736 TUQ327734:TUQ327736 UEM327734:UEM327736 UOI327734:UOI327736 UYE327734:UYE327736 VIA327734:VIA327736 VRW327734:VRW327736 WBS327734:WBS327736 WLO327734:WLO327736 WVK327734:WVK327736 C393270:C393272 IY393270:IY393272 SU393270:SU393272 ACQ393270:ACQ393272 AMM393270:AMM393272 AWI393270:AWI393272 BGE393270:BGE393272 BQA393270:BQA393272 BZW393270:BZW393272 CJS393270:CJS393272 CTO393270:CTO393272 DDK393270:DDK393272 DNG393270:DNG393272 DXC393270:DXC393272 EGY393270:EGY393272 EQU393270:EQU393272 FAQ393270:FAQ393272 FKM393270:FKM393272 FUI393270:FUI393272 GEE393270:GEE393272 GOA393270:GOA393272 GXW393270:GXW393272 HHS393270:HHS393272 HRO393270:HRO393272 IBK393270:IBK393272 ILG393270:ILG393272 IVC393270:IVC393272 JEY393270:JEY393272 JOU393270:JOU393272 JYQ393270:JYQ393272 KIM393270:KIM393272 KSI393270:KSI393272 LCE393270:LCE393272 LMA393270:LMA393272 LVW393270:LVW393272 MFS393270:MFS393272 MPO393270:MPO393272 MZK393270:MZK393272 NJG393270:NJG393272 NTC393270:NTC393272 OCY393270:OCY393272 OMU393270:OMU393272 OWQ393270:OWQ393272 PGM393270:PGM393272 PQI393270:PQI393272 QAE393270:QAE393272 QKA393270:QKA393272 QTW393270:QTW393272 RDS393270:RDS393272 RNO393270:RNO393272 RXK393270:RXK393272 SHG393270:SHG393272 SRC393270:SRC393272 TAY393270:TAY393272 TKU393270:TKU393272 TUQ393270:TUQ393272 UEM393270:UEM393272 UOI393270:UOI393272 UYE393270:UYE393272 VIA393270:VIA393272 VRW393270:VRW393272 WBS393270:WBS393272 WLO393270:WLO393272 WVK393270:WVK393272 C458806:C458808 IY458806:IY458808 SU458806:SU458808 ACQ458806:ACQ458808 AMM458806:AMM458808 AWI458806:AWI458808 BGE458806:BGE458808 BQA458806:BQA458808 BZW458806:BZW458808 CJS458806:CJS458808 CTO458806:CTO458808 DDK458806:DDK458808 DNG458806:DNG458808 DXC458806:DXC458808 EGY458806:EGY458808 EQU458806:EQU458808 FAQ458806:FAQ458808 FKM458806:FKM458808 FUI458806:FUI458808 GEE458806:GEE458808 GOA458806:GOA458808 GXW458806:GXW458808 HHS458806:HHS458808 HRO458806:HRO458808 IBK458806:IBK458808 ILG458806:ILG458808 IVC458806:IVC458808 JEY458806:JEY458808 JOU458806:JOU458808 JYQ458806:JYQ458808 KIM458806:KIM458808 KSI458806:KSI458808 LCE458806:LCE458808 LMA458806:LMA458808 LVW458806:LVW458808 MFS458806:MFS458808 MPO458806:MPO458808 MZK458806:MZK458808 NJG458806:NJG458808 NTC458806:NTC458808 OCY458806:OCY458808 OMU458806:OMU458808 OWQ458806:OWQ458808 PGM458806:PGM458808 PQI458806:PQI458808 QAE458806:QAE458808 QKA458806:QKA458808 QTW458806:QTW458808 RDS458806:RDS458808 RNO458806:RNO458808 RXK458806:RXK458808 SHG458806:SHG458808 SRC458806:SRC458808 TAY458806:TAY458808 TKU458806:TKU458808 TUQ458806:TUQ458808 UEM458806:UEM458808 UOI458806:UOI458808 UYE458806:UYE458808 VIA458806:VIA458808 VRW458806:VRW458808 WBS458806:WBS458808 WLO458806:WLO458808 WVK458806:WVK458808 C524342:C524344 IY524342:IY524344 SU524342:SU524344 ACQ524342:ACQ524344 AMM524342:AMM524344 AWI524342:AWI524344 BGE524342:BGE524344 BQA524342:BQA524344 BZW524342:BZW524344 CJS524342:CJS524344 CTO524342:CTO524344 DDK524342:DDK524344 DNG524342:DNG524344 DXC524342:DXC524344 EGY524342:EGY524344 EQU524342:EQU524344 FAQ524342:FAQ524344 FKM524342:FKM524344 FUI524342:FUI524344 GEE524342:GEE524344 GOA524342:GOA524344 GXW524342:GXW524344 HHS524342:HHS524344 HRO524342:HRO524344 IBK524342:IBK524344 ILG524342:ILG524344 IVC524342:IVC524344 JEY524342:JEY524344 JOU524342:JOU524344 JYQ524342:JYQ524344 KIM524342:KIM524344 KSI524342:KSI524344 LCE524342:LCE524344 LMA524342:LMA524344 LVW524342:LVW524344 MFS524342:MFS524344 MPO524342:MPO524344 MZK524342:MZK524344 NJG524342:NJG524344 NTC524342:NTC524344 OCY524342:OCY524344 OMU524342:OMU524344 OWQ524342:OWQ524344 PGM524342:PGM524344 PQI524342:PQI524344 QAE524342:QAE524344 QKA524342:QKA524344 QTW524342:QTW524344 RDS524342:RDS524344 RNO524342:RNO524344 RXK524342:RXK524344 SHG524342:SHG524344 SRC524342:SRC524344 TAY524342:TAY524344 TKU524342:TKU524344 TUQ524342:TUQ524344 UEM524342:UEM524344 UOI524342:UOI524344 UYE524342:UYE524344 VIA524342:VIA524344 VRW524342:VRW524344 WBS524342:WBS524344 WLO524342:WLO524344 WVK524342:WVK524344 C589878:C589880 IY589878:IY589880 SU589878:SU589880 ACQ589878:ACQ589880 AMM589878:AMM589880 AWI589878:AWI589880 BGE589878:BGE589880 BQA589878:BQA589880 BZW589878:BZW589880 CJS589878:CJS589880 CTO589878:CTO589880 DDK589878:DDK589880 DNG589878:DNG589880 DXC589878:DXC589880 EGY589878:EGY589880 EQU589878:EQU589880 FAQ589878:FAQ589880 FKM589878:FKM589880 FUI589878:FUI589880 GEE589878:GEE589880 GOA589878:GOA589880 GXW589878:GXW589880 HHS589878:HHS589880 HRO589878:HRO589880 IBK589878:IBK589880 ILG589878:ILG589880 IVC589878:IVC589880 JEY589878:JEY589880 JOU589878:JOU589880 JYQ589878:JYQ589880 KIM589878:KIM589880 KSI589878:KSI589880 LCE589878:LCE589880 LMA589878:LMA589880 LVW589878:LVW589880 MFS589878:MFS589880 MPO589878:MPO589880 MZK589878:MZK589880 NJG589878:NJG589880 NTC589878:NTC589880 OCY589878:OCY589880 OMU589878:OMU589880 OWQ589878:OWQ589880 PGM589878:PGM589880 PQI589878:PQI589880 QAE589878:QAE589880 QKA589878:QKA589880 QTW589878:QTW589880 RDS589878:RDS589880 RNO589878:RNO589880 RXK589878:RXK589880 SHG589878:SHG589880 SRC589878:SRC589880 TAY589878:TAY589880 TKU589878:TKU589880 TUQ589878:TUQ589880 UEM589878:UEM589880 UOI589878:UOI589880 UYE589878:UYE589880 VIA589878:VIA589880 VRW589878:VRW589880 WBS589878:WBS589880 WLO589878:WLO589880 WVK589878:WVK589880 C655414:C655416 IY655414:IY655416 SU655414:SU655416 ACQ655414:ACQ655416 AMM655414:AMM655416 AWI655414:AWI655416 BGE655414:BGE655416 BQA655414:BQA655416 BZW655414:BZW655416 CJS655414:CJS655416 CTO655414:CTO655416 DDK655414:DDK655416 DNG655414:DNG655416 DXC655414:DXC655416 EGY655414:EGY655416 EQU655414:EQU655416 FAQ655414:FAQ655416 FKM655414:FKM655416 FUI655414:FUI655416 GEE655414:GEE655416 GOA655414:GOA655416 GXW655414:GXW655416 HHS655414:HHS655416 HRO655414:HRO655416 IBK655414:IBK655416 ILG655414:ILG655416 IVC655414:IVC655416 JEY655414:JEY655416 JOU655414:JOU655416 JYQ655414:JYQ655416 KIM655414:KIM655416 KSI655414:KSI655416 LCE655414:LCE655416 LMA655414:LMA655416 LVW655414:LVW655416 MFS655414:MFS655416 MPO655414:MPO655416 MZK655414:MZK655416 NJG655414:NJG655416 NTC655414:NTC655416 OCY655414:OCY655416 OMU655414:OMU655416 OWQ655414:OWQ655416 PGM655414:PGM655416 PQI655414:PQI655416 QAE655414:QAE655416 QKA655414:QKA655416 QTW655414:QTW655416 RDS655414:RDS655416 RNO655414:RNO655416 RXK655414:RXK655416 SHG655414:SHG655416 SRC655414:SRC655416 TAY655414:TAY655416 TKU655414:TKU655416 TUQ655414:TUQ655416 UEM655414:UEM655416 UOI655414:UOI655416 UYE655414:UYE655416 VIA655414:VIA655416 VRW655414:VRW655416 WBS655414:WBS655416 WLO655414:WLO655416 WVK655414:WVK655416 C720950:C720952 IY720950:IY720952 SU720950:SU720952 ACQ720950:ACQ720952 AMM720950:AMM720952 AWI720950:AWI720952 BGE720950:BGE720952 BQA720950:BQA720952 BZW720950:BZW720952 CJS720950:CJS720952 CTO720950:CTO720952 DDK720950:DDK720952 DNG720950:DNG720952 DXC720950:DXC720952 EGY720950:EGY720952 EQU720950:EQU720952 FAQ720950:FAQ720952 FKM720950:FKM720952 FUI720950:FUI720952 GEE720950:GEE720952 GOA720950:GOA720952 GXW720950:GXW720952 HHS720950:HHS720952 HRO720950:HRO720952 IBK720950:IBK720952 ILG720950:ILG720952 IVC720950:IVC720952 JEY720950:JEY720952 JOU720950:JOU720952 JYQ720950:JYQ720952 KIM720950:KIM720952 KSI720950:KSI720952 LCE720950:LCE720952 LMA720950:LMA720952 LVW720950:LVW720952 MFS720950:MFS720952 MPO720950:MPO720952 MZK720950:MZK720952 NJG720950:NJG720952 NTC720950:NTC720952 OCY720950:OCY720952 OMU720950:OMU720952 OWQ720950:OWQ720952 PGM720950:PGM720952 PQI720950:PQI720952 QAE720950:QAE720952 QKA720950:QKA720952 QTW720950:QTW720952 RDS720950:RDS720952 RNO720950:RNO720952 RXK720950:RXK720952 SHG720950:SHG720952 SRC720950:SRC720952 TAY720950:TAY720952 TKU720950:TKU720952 TUQ720950:TUQ720952 UEM720950:UEM720952 UOI720950:UOI720952 UYE720950:UYE720952 VIA720950:VIA720952 VRW720950:VRW720952 WBS720950:WBS720952 WLO720950:WLO720952 WVK720950:WVK720952 C786486:C786488 IY786486:IY786488 SU786486:SU786488 ACQ786486:ACQ786488 AMM786486:AMM786488 AWI786486:AWI786488 BGE786486:BGE786488 BQA786486:BQA786488 BZW786486:BZW786488 CJS786486:CJS786488 CTO786486:CTO786488 DDK786486:DDK786488 DNG786486:DNG786488 DXC786486:DXC786488 EGY786486:EGY786488 EQU786486:EQU786488 FAQ786486:FAQ786488 FKM786486:FKM786488 FUI786486:FUI786488 GEE786486:GEE786488 GOA786486:GOA786488 GXW786486:GXW786488 HHS786486:HHS786488 HRO786486:HRO786488 IBK786486:IBK786488 ILG786486:ILG786488 IVC786486:IVC786488 JEY786486:JEY786488 JOU786486:JOU786488 JYQ786486:JYQ786488 KIM786486:KIM786488 KSI786486:KSI786488 LCE786486:LCE786488 LMA786486:LMA786488 LVW786486:LVW786488 MFS786486:MFS786488 MPO786486:MPO786488 MZK786486:MZK786488 NJG786486:NJG786488 NTC786486:NTC786488 OCY786486:OCY786488 OMU786486:OMU786488 OWQ786486:OWQ786488 PGM786486:PGM786488 PQI786486:PQI786488 QAE786486:QAE786488 QKA786486:QKA786488 QTW786486:QTW786488 RDS786486:RDS786488 RNO786486:RNO786488 RXK786486:RXK786488 SHG786486:SHG786488 SRC786486:SRC786488 TAY786486:TAY786488 TKU786486:TKU786488 TUQ786486:TUQ786488 UEM786486:UEM786488 UOI786486:UOI786488 UYE786486:UYE786488 VIA786486:VIA786488 VRW786486:VRW786488 WBS786486:WBS786488 WLO786486:WLO786488 WVK786486:WVK786488 C852022:C852024 IY852022:IY852024 SU852022:SU852024 ACQ852022:ACQ852024 AMM852022:AMM852024 AWI852022:AWI852024 BGE852022:BGE852024 BQA852022:BQA852024 BZW852022:BZW852024 CJS852022:CJS852024 CTO852022:CTO852024 DDK852022:DDK852024 DNG852022:DNG852024 DXC852022:DXC852024 EGY852022:EGY852024 EQU852022:EQU852024 FAQ852022:FAQ852024 FKM852022:FKM852024 FUI852022:FUI852024 GEE852022:GEE852024 GOA852022:GOA852024 GXW852022:GXW852024 HHS852022:HHS852024 HRO852022:HRO852024 IBK852022:IBK852024 ILG852022:ILG852024 IVC852022:IVC852024 JEY852022:JEY852024 JOU852022:JOU852024 JYQ852022:JYQ852024 KIM852022:KIM852024 KSI852022:KSI852024 LCE852022:LCE852024 LMA852022:LMA852024 LVW852022:LVW852024 MFS852022:MFS852024 MPO852022:MPO852024 MZK852022:MZK852024 NJG852022:NJG852024 NTC852022:NTC852024 OCY852022:OCY852024 OMU852022:OMU852024 OWQ852022:OWQ852024 PGM852022:PGM852024 PQI852022:PQI852024 QAE852022:QAE852024 QKA852022:QKA852024 QTW852022:QTW852024 RDS852022:RDS852024 RNO852022:RNO852024 RXK852022:RXK852024 SHG852022:SHG852024 SRC852022:SRC852024 TAY852022:TAY852024 TKU852022:TKU852024 TUQ852022:TUQ852024 UEM852022:UEM852024 UOI852022:UOI852024 UYE852022:UYE852024 VIA852022:VIA852024 VRW852022:VRW852024 WBS852022:WBS852024 WLO852022:WLO852024 WVK852022:WVK852024 C917558:C917560 IY917558:IY917560 SU917558:SU917560 ACQ917558:ACQ917560 AMM917558:AMM917560 AWI917558:AWI917560 BGE917558:BGE917560 BQA917558:BQA917560 BZW917558:BZW917560 CJS917558:CJS917560 CTO917558:CTO917560 DDK917558:DDK917560 DNG917558:DNG917560 DXC917558:DXC917560 EGY917558:EGY917560 EQU917558:EQU917560 FAQ917558:FAQ917560 FKM917558:FKM917560 FUI917558:FUI917560 GEE917558:GEE917560 GOA917558:GOA917560 GXW917558:GXW917560 HHS917558:HHS917560 HRO917558:HRO917560 IBK917558:IBK917560 ILG917558:ILG917560 IVC917558:IVC917560 JEY917558:JEY917560 JOU917558:JOU917560 JYQ917558:JYQ917560 KIM917558:KIM917560 KSI917558:KSI917560 LCE917558:LCE917560 LMA917558:LMA917560 LVW917558:LVW917560 MFS917558:MFS917560 MPO917558:MPO917560 MZK917558:MZK917560 NJG917558:NJG917560 NTC917558:NTC917560 OCY917558:OCY917560 OMU917558:OMU917560 OWQ917558:OWQ917560 PGM917558:PGM917560 PQI917558:PQI917560 QAE917558:QAE917560 QKA917558:QKA917560 QTW917558:QTW917560 RDS917558:RDS917560 RNO917558:RNO917560 RXK917558:RXK917560 SHG917558:SHG917560 SRC917558:SRC917560 TAY917558:TAY917560 TKU917558:TKU917560 TUQ917558:TUQ917560 UEM917558:UEM917560 UOI917558:UOI917560 UYE917558:UYE917560 VIA917558:VIA917560 VRW917558:VRW917560 WBS917558:WBS917560 WLO917558:WLO917560 WVK917558:WVK917560 C983094:C983096 IY983094:IY983096 SU983094:SU983096 ACQ983094:ACQ983096 AMM983094:AMM983096 AWI983094:AWI983096 BGE983094:BGE983096 BQA983094:BQA983096 BZW983094:BZW983096 CJS983094:CJS983096 CTO983094:CTO983096 DDK983094:DDK983096 DNG983094:DNG983096 DXC983094:DXC983096 EGY983094:EGY983096 EQU983094:EQU983096 FAQ983094:FAQ983096 FKM983094:FKM983096 FUI983094:FUI983096 GEE983094:GEE983096 GOA983094:GOA983096 GXW983094:GXW983096 HHS983094:HHS983096 HRO983094:HRO983096 IBK983094:IBK983096 ILG983094:ILG983096 IVC983094:IVC983096 JEY983094:JEY983096 JOU983094:JOU983096 JYQ983094:JYQ983096 KIM983094:KIM983096 KSI983094:KSI983096 LCE983094:LCE983096 LMA983094:LMA983096 LVW983094:LVW983096 MFS983094:MFS983096 MPO983094:MPO983096 MZK983094:MZK983096 NJG983094:NJG983096 NTC983094:NTC983096 OCY983094:OCY983096 OMU983094:OMU983096 OWQ983094:OWQ983096 PGM983094:PGM983096 PQI983094:PQI983096 QAE983094:QAE983096 QKA983094:QKA983096 QTW983094:QTW983096 RDS983094:RDS983096 RNO983094:RNO983096 RXK983094:RXK983096 SHG983094:SHG983096 SRC983094:SRC983096 TAY983094:TAY983096 TKU983094:TKU983096 TUQ983094:TUQ983096 UEM983094:UEM983096 UOI983094:UOI983096 UYE983094:UYE983096 VIA983094:VIA983096 VRW983094:VRW983096 WBS983094:WBS983096 WLO983094:WLO983096 WVK983094:WVK983096">
      <formula1>"Académique, Professionnel, Associatif, Autre"</formula1>
    </dataValidation>
  </dataValidations>
  <hyperlinks>
    <hyperlink ref="B1" location="'Schéma d''enseignement'!G27" display="Shéma d'enseignement"/>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rgb="FF00B050"/>
  </sheetPr>
  <dimension ref="A1:G114"/>
  <sheetViews>
    <sheetView view="pageBreakPreview" zoomScaleNormal="100" zoomScaleSheetLayoutView="100" zoomScalePageLayoutView="40" workbookViewId="0">
      <selection activeCell="B1" sqref="B1"/>
    </sheetView>
  </sheetViews>
  <sheetFormatPr baseColWidth="10" defaultColWidth="8.85546875" defaultRowHeight="15.75" x14ac:dyDescent="0.25"/>
  <cols>
    <col min="1" max="1" width="1.140625" style="203" customWidth="1"/>
    <col min="2" max="2" width="23.85546875" style="203" customWidth="1"/>
    <col min="3" max="3" width="18.5703125" style="203" customWidth="1"/>
    <col min="4" max="4" width="11.85546875" style="203" customWidth="1"/>
    <col min="5" max="5" width="8" style="203" customWidth="1"/>
    <col min="6" max="6" width="24.140625" style="203" customWidth="1"/>
    <col min="7" max="7" width="2.42578125" style="108" hidden="1" customWidth="1"/>
    <col min="8" max="8" width="14.85546875" style="108" customWidth="1"/>
    <col min="9" max="16384" width="8.85546875" style="108"/>
  </cols>
  <sheetData>
    <row r="1" spans="1:6" x14ac:dyDescent="0.25">
      <c r="A1" s="108"/>
      <c r="B1" s="309" t="s">
        <v>857</v>
      </c>
      <c r="C1" s="108"/>
      <c r="D1" s="108"/>
      <c r="E1" s="108"/>
      <c r="F1" s="108"/>
    </row>
    <row r="2" spans="1:6" ht="22.35" customHeight="1" x14ac:dyDescent="0.25">
      <c r="A2" s="108"/>
      <c r="B2" s="109" t="s">
        <v>592</v>
      </c>
      <c r="C2" s="110"/>
      <c r="D2" s="110"/>
      <c r="E2" s="110"/>
      <c r="F2" s="110"/>
    </row>
    <row r="3" spans="1:6" s="112" customFormat="1" x14ac:dyDescent="0.25">
      <c r="A3" s="170"/>
      <c r="B3" s="170"/>
      <c r="C3" s="170"/>
      <c r="D3" s="170"/>
      <c r="E3" s="170"/>
      <c r="F3" s="170"/>
    </row>
    <row r="4" spans="1:6" s="112" customFormat="1" x14ac:dyDescent="0.25">
      <c r="A4" s="170"/>
      <c r="B4" s="205" t="s">
        <v>87</v>
      </c>
      <c r="C4" s="395" t="s">
        <v>591</v>
      </c>
      <c r="D4" s="395"/>
      <c r="E4" s="395"/>
      <c r="F4" s="395"/>
    </row>
    <row r="5" spans="1:6" s="112" customFormat="1" x14ac:dyDescent="0.25">
      <c r="A5" s="170"/>
      <c r="B5" s="206" t="s">
        <v>88</v>
      </c>
      <c r="C5" s="395" t="s">
        <v>466</v>
      </c>
      <c r="D5" s="395"/>
      <c r="E5" s="395"/>
      <c r="F5" s="395"/>
    </row>
    <row r="6" spans="1:6" s="112" customFormat="1" x14ac:dyDescent="0.25">
      <c r="A6" s="170"/>
      <c r="B6" s="205" t="s">
        <v>89</v>
      </c>
      <c r="C6" s="395" t="s">
        <v>590</v>
      </c>
      <c r="D6" s="395"/>
      <c r="E6" s="395"/>
      <c r="F6" s="395"/>
    </row>
    <row r="7" spans="1:6" s="112" customFormat="1" x14ac:dyDescent="0.25">
      <c r="A7" s="170"/>
      <c r="B7" s="205" t="s">
        <v>90</v>
      </c>
      <c r="C7" s="395" t="s">
        <v>589</v>
      </c>
      <c r="D7" s="395"/>
      <c r="E7" s="395"/>
      <c r="F7" s="395"/>
    </row>
    <row r="8" spans="1:6" s="112" customFormat="1" x14ac:dyDescent="0.25">
      <c r="A8" s="170"/>
      <c r="B8" s="205" t="s">
        <v>588</v>
      </c>
      <c r="C8" s="395" t="s">
        <v>576</v>
      </c>
      <c r="D8" s="395"/>
      <c r="E8" s="395"/>
      <c r="F8" s="395"/>
    </row>
    <row r="9" spans="1:6" s="112" customFormat="1" x14ac:dyDescent="0.25">
      <c r="A9" s="170"/>
      <c r="B9" s="205" t="s">
        <v>91</v>
      </c>
      <c r="C9" s="395">
        <v>4</v>
      </c>
      <c r="D9" s="395"/>
      <c r="E9" s="395"/>
      <c r="F9" s="395"/>
    </row>
    <row r="10" spans="1:6" s="112" customFormat="1" x14ac:dyDescent="0.25">
      <c r="A10" s="170"/>
      <c r="B10" s="170"/>
      <c r="C10" s="170"/>
      <c r="D10" s="170"/>
      <c r="E10" s="170"/>
      <c r="F10" s="170"/>
    </row>
    <row r="11" spans="1:6" s="112" customFormat="1" x14ac:dyDescent="0.25">
      <c r="A11" s="170"/>
      <c r="B11" s="492" t="s">
        <v>587</v>
      </c>
      <c r="C11" s="492"/>
      <c r="D11" s="492"/>
      <c r="E11" s="492"/>
      <c r="F11" s="492"/>
    </row>
    <row r="12" spans="1:6" s="112" customFormat="1" x14ac:dyDescent="0.25">
      <c r="A12" s="170"/>
      <c r="B12" s="492" t="s">
        <v>93</v>
      </c>
      <c r="C12" s="492"/>
      <c r="D12" s="492" t="s">
        <v>94</v>
      </c>
      <c r="E12" s="492"/>
      <c r="F12" s="492"/>
    </row>
    <row r="13" spans="1:6" s="112" customFormat="1" ht="88.5" customHeight="1" x14ac:dyDescent="0.25">
      <c r="A13" s="170"/>
      <c r="B13" s="493">
        <v>42765</v>
      </c>
      <c r="C13" s="493"/>
      <c r="D13" s="458" t="s">
        <v>586</v>
      </c>
      <c r="E13" s="458"/>
      <c r="F13" s="458"/>
    </row>
    <row r="14" spans="1:6" s="112" customFormat="1" x14ac:dyDescent="0.25">
      <c r="A14" s="207"/>
      <c r="B14" s="492" t="s">
        <v>585</v>
      </c>
      <c r="C14" s="492"/>
      <c r="D14" s="492" t="s">
        <v>584</v>
      </c>
      <c r="E14" s="492"/>
      <c r="F14" s="492"/>
    </row>
    <row r="15" spans="1:6" s="112" customFormat="1" x14ac:dyDescent="0.25">
      <c r="A15" s="170"/>
      <c r="B15" s="395"/>
      <c r="C15" s="395"/>
      <c r="D15" s="395"/>
      <c r="E15" s="395"/>
      <c r="F15" s="395"/>
    </row>
    <row r="16" spans="1:6" s="112" customFormat="1" x14ac:dyDescent="0.25">
      <c r="A16" s="170"/>
      <c r="B16" s="170"/>
      <c r="C16" s="170"/>
      <c r="D16" s="170"/>
      <c r="E16" s="170"/>
      <c r="F16" s="170"/>
    </row>
    <row r="17" spans="1:6" s="112" customFormat="1" x14ac:dyDescent="0.25">
      <c r="A17" s="170"/>
      <c r="B17" s="492" t="s">
        <v>583</v>
      </c>
      <c r="C17" s="492"/>
      <c r="D17" s="492"/>
      <c r="E17" s="492"/>
      <c r="F17" s="492"/>
    </row>
    <row r="18" spans="1:6" s="112" customFormat="1" x14ac:dyDescent="0.25">
      <c r="A18" s="170"/>
      <c r="B18" s="492" t="s">
        <v>582</v>
      </c>
      <c r="C18" s="492"/>
      <c r="D18" s="492"/>
      <c r="E18" s="492" t="s">
        <v>93</v>
      </c>
      <c r="F18" s="492"/>
    </row>
    <row r="19" spans="1:6" s="112" customFormat="1" x14ac:dyDescent="0.25">
      <c r="A19" s="170"/>
      <c r="B19" s="395" t="s">
        <v>581</v>
      </c>
      <c r="C19" s="395"/>
      <c r="D19" s="395"/>
      <c r="E19" s="491">
        <v>42765</v>
      </c>
      <c r="F19" s="395"/>
    </row>
    <row r="20" spans="1:6" s="112" customFormat="1" x14ac:dyDescent="0.25">
      <c r="A20" s="170"/>
      <c r="B20" s="395" t="s">
        <v>580</v>
      </c>
      <c r="C20" s="395"/>
      <c r="D20" s="395"/>
      <c r="E20" s="491">
        <v>42765</v>
      </c>
      <c r="F20" s="395"/>
    </row>
    <row r="21" spans="1:6" s="112" customFormat="1" x14ac:dyDescent="0.25">
      <c r="A21" s="170"/>
      <c r="B21" s="395" t="s">
        <v>579</v>
      </c>
      <c r="C21" s="395"/>
      <c r="D21" s="395"/>
      <c r="E21" s="491">
        <v>42765</v>
      </c>
      <c r="F21" s="395"/>
    </row>
    <row r="22" spans="1:6" s="112" customFormat="1" x14ac:dyDescent="0.25">
      <c r="A22" s="170"/>
      <c r="B22" s="395" t="s">
        <v>578</v>
      </c>
      <c r="C22" s="395"/>
      <c r="D22" s="395"/>
      <c r="E22" s="491">
        <v>42765</v>
      </c>
      <c r="F22" s="395"/>
    </row>
    <row r="23" spans="1:6" s="112" customFormat="1" x14ac:dyDescent="0.25">
      <c r="A23" s="170"/>
      <c r="B23" s="395" t="s">
        <v>577</v>
      </c>
      <c r="C23" s="395"/>
      <c r="D23" s="395"/>
      <c r="E23" s="491">
        <v>42765</v>
      </c>
      <c r="F23" s="395"/>
    </row>
    <row r="24" spans="1:6" s="112" customFormat="1" x14ac:dyDescent="0.25">
      <c r="A24" s="170"/>
      <c r="B24" s="208" t="s">
        <v>95</v>
      </c>
      <c r="C24" s="208" t="s">
        <v>96</v>
      </c>
      <c r="D24" s="208" t="s">
        <v>97</v>
      </c>
      <c r="E24" s="208" t="s">
        <v>98</v>
      </c>
      <c r="F24" s="208" t="s">
        <v>99</v>
      </c>
    </row>
    <row r="25" spans="1:6" s="112" customFormat="1" x14ac:dyDescent="0.25">
      <c r="A25" s="170"/>
      <c r="B25" s="171" t="s">
        <v>576</v>
      </c>
      <c r="C25" s="147">
        <v>21</v>
      </c>
      <c r="D25" s="147">
        <v>2</v>
      </c>
      <c r="E25" s="147">
        <v>2</v>
      </c>
      <c r="F25" s="147" t="s">
        <v>238</v>
      </c>
    </row>
    <row r="26" spans="1:6" s="112" customFormat="1" ht="24.75" customHeight="1" x14ac:dyDescent="0.25">
      <c r="A26" s="170"/>
      <c r="B26" s="170"/>
      <c r="C26" s="170"/>
      <c r="D26" s="170"/>
      <c r="E26" s="170"/>
      <c r="F26" s="170"/>
    </row>
    <row r="27" spans="1:6" s="112" customFormat="1" x14ac:dyDescent="0.25">
      <c r="A27" s="170"/>
      <c r="B27" s="470" t="s">
        <v>100</v>
      </c>
      <c r="C27" s="471"/>
      <c r="D27" s="471"/>
      <c r="E27" s="471"/>
      <c r="F27" s="472"/>
    </row>
    <row r="28" spans="1:6" s="112" customFormat="1" ht="52.35" customHeight="1" x14ac:dyDescent="0.25">
      <c r="A28" s="170"/>
      <c r="B28" s="485" t="s">
        <v>575</v>
      </c>
      <c r="C28" s="486"/>
      <c r="D28" s="486"/>
      <c r="E28" s="486"/>
      <c r="F28" s="487"/>
    </row>
    <row r="29" spans="1:6" s="112" customFormat="1" x14ac:dyDescent="0.25">
      <c r="A29" s="170"/>
      <c r="B29" s="470" t="s">
        <v>101</v>
      </c>
      <c r="C29" s="471"/>
      <c r="D29" s="471"/>
      <c r="E29" s="471"/>
      <c r="F29" s="472"/>
    </row>
    <row r="30" spans="1:6" s="112" customFormat="1" ht="120" customHeight="1" x14ac:dyDescent="0.25">
      <c r="A30" s="170"/>
      <c r="B30" s="485" t="s">
        <v>574</v>
      </c>
      <c r="C30" s="486"/>
      <c r="D30" s="486"/>
      <c r="E30" s="486"/>
      <c r="F30" s="487"/>
    </row>
    <row r="31" spans="1:6" s="112" customFormat="1" ht="60" customHeight="1" x14ac:dyDescent="0.25">
      <c r="A31" s="170"/>
      <c r="B31" s="170"/>
      <c r="C31" s="170"/>
      <c r="D31" s="170"/>
      <c r="E31" s="170"/>
      <c r="F31" s="170"/>
    </row>
    <row r="32" spans="1:6" s="112" customFormat="1" ht="17.25" customHeight="1" x14ac:dyDescent="0.25">
      <c r="A32" s="170"/>
      <c r="B32" s="470" t="s">
        <v>573</v>
      </c>
      <c r="C32" s="471"/>
      <c r="D32" s="471"/>
      <c r="E32" s="471"/>
      <c r="F32" s="472"/>
    </row>
    <row r="33" spans="1:6" s="112" customFormat="1" ht="36.75" customHeight="1" x14ac:dyDescent="0.25">
      <c r="A33" s="170"/>
      <c r="B33" s="382" t="s">
        <v>572</v>
      </c>
      <c r="C33" s="393"/>
      <c r="D33" s="393"/>
      <c r="E33" s="393"/>
      <c r="F33" s="394"/>
    </row>
    <row r="34" spans="1:6" s="112" customFormat="1" ht="15.75" customHeight="1" x14ac:dyDescent="0.25">
      <c r="A34" s="170"/>
      <c r="B34" s="170"/>
      <c r="C34" s="170"/>
      <c r="D34" s="170"/>
      <c r="E34" s="170"/>
      <c r="F34" s="170"/>
    </row>
    <row r="35" spans="1:6" s="112" customFormat="1" ht="22.5" customHeight="1" x14ac:dyDescent="0.25">
      <c r="A35" s="170"/>
      <c r="B35" s="470" t="s">
        <v>571</v>
      </c>
      <c r="C35" s="471"/>
      <c r="D35" s="471"/>
      <c r="E35" s="471"/>
      <c r="F35" s="472"/>
    </row>
    <row r="36" spans="1:6" s="112" customFormat="1" x14ac:dyDescent="0.25">
      <c r="A36" s="170"/>
      <c r="B36" s="382" t="s">
        <v>570</v>
      </c>
      <c r="C36" s="393"/>
      <c r="D36" s="393"/>
      <c r="E36" s="393"/>
      <c r="F36" s="394"/>
    </row>
    <row r="37" spans="1:6" s="112" customFormat="1" ht="15.75" customHeight="1" x14ac:dyDescent="0.25">
      <c r="A37" s="170"/>
      <c r="B37" s="170"/>
      <c r="C37" s="170"/>
      <c r="D37" s="170"/>
      <c r="E37" s="170"/>
      <c r="F37" s="170"/>
    </row>
    <row r="38" spans="1:6" s="112" customFormat="1" ht="36.75" customHeight="1" x14ac:dyDescent="0.25">
      <c r="A38" s="170"/>
      <c r="B38" s="488" t="s">
        <v>569</v>
      </c>
      <c r="C38" s="489"/>
      <c r="D38" s="489"/>
      <c r="E38" s="489"/>
      <c r="F38" s="490"/>
    </row>
    <row r="39" spans="1:6" s="112" customFormat="1" x14ac:dyDescent="0.25">
      <c r="A39" s="170"/>
      <c r="B39" s="209" t="s">
        <v>568</v>
      </c>
      <c r="C39" s="484" t="s">
        <v>567</v>
      </c>
      <c r="D39" s="484"/>
      <c r="E39" s="484"/>
      <c r="F39" s="484"/>
    </row>
    <row r="40" spans="1:6" s="112" customFormat="1" x14ac:dyDescent="0.25">
      <c r="A40" s="170"/>
      <c r="B40" s="135" t="s">
        <v>555</v>
      </c>
      <c r="C40" s="388"/>
      <c r="D40" s="388"/>
      <c r="E40" s="388"/>
      <c r="F40" s="388"/>
    </row>
    <row r="41" spans="1:6" s="112" customFormat="1" ht="33.75" customHeight="1" x14ac:dyDescent="0.25">
      <c r="A41" s="170"/>
      <c r="B41" s="135" t="s">
        <v>558</v>
      </c>
      <c r="C41" s="446" t="s">
        <v>566</v>
      </c>
      <c r="D41" s="446"/>
      <c r="E41" s="446"/>
      <c r="F41" s="446"/>
    </row>
    <row r="42" spans="1:6" s="112" customFormat="1" x14ac:dyDescent="0.25">
      <c r="A42" s="170"/>
      <c r="B42" s="135" t="s">
        <v>557</v>
      </c>
      <c r="C42" s="392" t="s">
        <v>565</v>
      </c>
      <c r="D42" s="383"/>
      <c r="E42" s="383"/>
      <c r="F42" s="384"/>
    </row>
    <row r="43" spans="1:6" s="112" customFormat="1" x14ac:dyDescent="0.25">
      <c r="A43" s="170"/>
      <c r="B43" s="135" t="s">
        <v>142</v>
      </c>
      <c r="C43" s="388" t="s">
        <v>564</v>
      </c>
      <c r="D43" s="388"/>
      <c r="E43" s="388"/>
      <c r="F43" s="388"/>
    </row>
    <row r="44" spans="1:6" s="112" customFormat="1" x14ac:dyDescent="0.25">
      <c r="A44" s="170"/>
      <c r="B44" s="135" t="s">
        <v>554</v>
      </c>
      <c r="C44" s="145" t="s">
        <v>563</v>
      </c>
      <c r="D44" s="145"/>
      <c r="E44" s="145"/>
      <c r="F44" s="146"/>
    </row>
    <row r="45" spans="1:6" s="112" customFormat="1" ht="36.75" customHeight="1" x14ac:dyDescent="0.25">
      <c r="A45" s="170"/>
      <c r="B45" s="135" t="s">
        <v>551</v>
      </c>
      <c r="C45" s="485" t="s">
        <v>562</v>
      </c>
      <c r="D45" s="486"/>
      <c r="E45" s="486"/>
      <c r="F45" s="487"/>
    </row>
    <row r="46" spans="1:6" s="112" customFormat="1" x14ac:dyDescent="0.25">
      <c r="A46" s="170"/>
      <c r="B46" s="182"/>
      <c r="C46" s="145"/>
      <c r="D46" s="145"/>
      <c r="E46" s="145"/>
      <c r="F46" s="146"/>
    </row>
    <row r="47" spans="1:6" s="112" customFormat="1" x14ac:dyDescent="0.25">
      <c r="A47" s="170"/>
      <c r="B47" s="470" t="s">
        <v>561</v>
      </c>
      <c r="C47" s="471"/>
      <c r="D47" s="471"/>
      <c r="E47" s="471"/>
      <c r="F47" s="472"/>
    </row>
    <row r="48" spans="1:6" s="112" customFormat="1" x14ac:dyDescent="0.25">
      <c r="A48" s="170"/>
      <c r="B48" s="209" t="s">
        <v>560</v>
      </c>
      <c r="C48" s="484" t="s">
        <v>559</v>
      </c>
      <c r="D48" s="484"/>
      <c r="E48" s="484"/>
      <c r="F48" s="484"/>
    </row>
    <row r="49" spans="1:6" s="112" customFormat="1" x14ac:dyDescent="0.25">
      <c r="A49" s="170"/>
      <c r="B49" s="477" t="s">
        <v>558</v>
      </c>
      <c r="C49" s="388" t="s">
        <v>12</v>
      </c>
      <c r="D49" s="388"/>
      <c r="E49" s="388"/>
      <c r="F49" s="388"/>
    </row>
    <row r="50" spans="1:6" s="112" customFormat="1" x14ac:dyDescent="0.25">
      <c r="A50" s="170"/>
      <c r="B50" s="478"/>
      <c r="C50" s="388" t="s">
        <v>15</v>
      </c>
      <c r="D50" s="388"/>
      <c r="E50" s="388"/>
      <c r="F50" s="388"/>
    </row>
    <row r="51" spans="1:6" s="112" customFormat="1" x14ac:dyDescent="0.25">
      <c r="A51" s="170"/>
      <c r="B51" s="478"/>
      <c r="C51" s="392" t="s">
        <v>472</v>
      </c>
      <c r="D51" s="383"/>
      <c r="E51" s="383"/>
      <c r="F51" s="384"/>
    </row>
    <row r="52" spans="1:6" s="112" customFormat="1" x14ac:dyDescent="0.25">
      <c r="A52" s="170"/>
      <c r="B52" s="478"/>
      <c r="C52" s="392" t="s">
        <v>506</v>
      </c>
      <c r="D52" s="383"/>
      <c r="E52" s="383"/>
      <c r="F52" s="384"/>
    </row>
    <row r="53" spans="1:6" s="112" customFormat="1" x14ac:dyDescent="0.25">
      <c r="A53" s="170"/>
      <c r="B53" s="479"/>
      <c r="C53" s="388" t="s">
        <v>528</v>
      </c>
      <c r="D53" s="388"/>
      <c r="E53" s="388"/>
      <c r="F53" s="388"/>
    </row>
    <row r="54" spans="1:6" s="112" customFormat="1" x14ac:dyDescent="0.25">
      <c r="A54" s="170"/>
      <c r="B54" s="481" t="s">
        <v>557</v>
      </c>
      <c r="C54" s="388" t="s">
        <v>553</v>
      </c>
      <c r="D54" s="388"/>
      <c r="E54" s="388"/>
      <c r="F54" s="388"/>
    </row>
    <row r="55" spans="1:6" s="112" customFormat="1" x14ac:dyDescent="0.25">
      <c r="A55" s="170"/>
      <c r="B55" s="482"/>
      <c r="C55" s="388" t="s">
        <v>556</v>
      </c>
      <c r="D55" s="388"/>
      <c r="E55" s="388"/>
      <c r="F55" s="388"/>
    </row>
    <row r="56" spans="1:6" s="112" customFormat="1" x14ac:dyDescent="0.25">
      <c r="A56" s="170"/>
      <c r="B56" s="482"/>
      <c r="C56" s="388" t="s">
        <v>506</v>
      </c>
      <c r="D56" s="388"/>
      <c r="E56" s="388"/>
      <c r="F56" s="388"/>
    </row>
    <row r="57" spans="1:6" s="112" customFormat="1" x14ac:dyDescent="0.25">
      <c r="A57" s="170"/>
      <c r="B57" s="482"/>
      <c r="C57" s="392" t="s">
        <v>472</v>
      </c>
      <c r="D57" s="383"/>
      <c r="E57" s="383"/>
      <c r="F57" s="384"/>
    </row>
    <row r="58" spans="1:6" s="112" customFormat="1" x14ac:dyDescent="0.25">
      <c r="A58" s="170"/>
      <c r="B58" s="483"/>
      <c r="C58" s="388" t="s">
        <v>550</v>
      </c>
      <c r="D58" s="388"/>
      <c r="E58" s="388"/>
      <c r="F58" s="388"/>
    </row>
    <row r="59" spans="1:6" s="112" customFormat="1" x14ac:dyDescent="0.25">
      <c r="A59" s="170"/>
      <c r="B59" s="477" t="s">
        <v>555</v>
      </c>
      <c r="C59" s="384" t="s">
        <v>15</v>
      </c>
      <c r="D59" s="388"/>
      <c r="E59" s="388"/>
      <c r="F59" s="388"/>
    </row>
    <row r="60" spans="1:6" s="112" customFormat="1" x14ac:dyDescent="0.25">
      <c r="A60" s="170"/>
      <c r="B60" s="478"/>
      <c r="C60" s="383" t="s">
        <v>553</v>
      </c>
      <c r="D60" s="383"/>
      <c r="E60" s="383"/>
      <c r="F60" s="384"/>
    </row>
    <row r="61" spans="1:6" s="112" customFormat="1" x14ac:dyDescent="0.25">
      <c r="A61" s="170"/>
      <c r="B61" s="478"/>
      <c r="C61" s="147" t="s">
        <v>528</v>
      </c>
      <c r="D61" s="148"/>
      <c r="E61" s="145"/>
      <c r="F61" s="146"/>
    </row>
    <row r="62" spans="1:6" s="112" customFormat="1" x14ac:dyDescent="0.25">
      <c r="A62" s="170"/>
      <c r="B62" s="478"/>
      <c r="C62" s="148" t="s">
        <v>506</v>
      </c>
      <c r="D62" s="145"/>
      <c r="E62" s="145"/>
      <c r="F62" s="146"/>
    </row>
    <row r="63" spans="1:6" s="112" customFormat="1" x14ac:dyDescent="0.25">
      <c r="A63" s="170"/>
      <c r="B63" s="478"/>
      <c r="C63" s="148" t="s">
        <v>550</v>
      </c>
      <c r="D63" s="145"/>
      <c r="E63" s="145"/>
      <c r="F63" s="146"/>
    </row>
    <row r="64" spans="1:6" s="112" customFormat="1" x14ac:dyDescent="0.25">
      <c r="A64" s="170"/>
      <c r="B64" s="479"/>
      <c r="C64" s="148" t="s">
        <v>472</v>
      </c>
      <c r="D64" s="145"/>
      <c r="E64" s="145"/>
      <c r="F64" s="146"/>
    </row>
    <row r="65" spans="1:6" s="112" customFormat="1" x14ac:dyDescent="0.25">
      <c r="A65" s="170"/>
      <c r="B65" s="480" t="s">
        <v>142</v>
      </c>
      <c r="C65" s="388" t="s">
        <v>15</v>
      </c>
      <c r="D65" s="388"/>
      <c r="E65" s="388"/>
      <c r="F65" s="388"/>
    </row>
    <row r="66" spans="1:6" s="112" customFormat="1" x14ac:dyDescent="0.25">
      <c r="A66" s="170"/>
      <c r="B66" s="480"/>
      <c r="C66" s="476" t="s">
        <v>528</v>
      </c>
      <c r="D66" s="476"/>
      <c r="E66" s="476"/>
      <c r="F66" s="476"/>
    </row>
    <row r="67" spans="1:6" s="112" customFormat="1" x14ac:dyDescent="0.25">
      <c r="A67" s="170"/>
      <c r="B67" s="480"/>
      <c r="C67" s="476" t="s">
        <v>506</v>
      </c>
      <c r="D67" s="476"/>
      <c r="E67" s="476"/>
      <c r="F67" s="476"/>
    </row>
    <row r="68" spans="1:6" s="112" customFormat="1" x14ac:dyDescent="0.25">
      <c r="A68" s="170"/>
      <c r="B68" s="480"/>
      <c r="C68" s="476" t="s">
        <v>472</v>
      </c>
      <c r="D68" s="476"/>
      <c r="E68" s="476"/>
      <c r="F68" s="476"/>
    </row>
    <row r="69" spans="1:6" s="112" customFormat="1" x14ac:dyDescent="0.25">
      <c r="A69" s="210"/>
      <c r="B69" s="190"/>
      <c r="C69" s="210"/>
      <c r="D69" s="210"/>
      <c r="E69" s="210"/>
      <c r="F69" s="210"/>
    </row>
    <row r="70" spans="1:6" s="112" customFormat="1" x14ac:dyDescent="0.25">
      <c r="A70" s="210"/>
      <c r="B70" s="190"/>
      <c r="C70" s="210"/>
      <c r="D70" s="210"/>
      <c r="E70" s="210"/>
      <c r="F70" s="210"/>
    </row>
    <row r="71" spans="1:6" s="112" customFormat="1" x14ac:dyDescent="0.25">
      <c r="A71" s="210"/>
      <c r="B71" s="190"/>
      <c r="C71" s="210"/>
      <c r="D71" s="210"/>
      <c r="E71" s="210"/>
      <c r="F71" s="210"/>
    </row>
    <row r="72" spans="1:6" s="112" customFormat="1" x14ac:dyDescent="0.25">
      <c r="A72" s="210"/>
      <c r="B72" s="190"/>
      <c r="C72" s="210"/>
      <c r="D72" s="210"/>
      <c r="E72" s="210"/>
      <c r="F72" s="210"/>
    </row>
    <row r="73" spans="1:6" s="112" customFormat="1" x14ac:dyDescent="0.25">
      <c r="A73" s="210"/>
      <c r="B73" s="190"/>
      <c r="C73" s="210"/>
      <c r="D73" s="210"/>
      <c r="E73" s="210"/>
      <c r="F73" s="210"/>
    </row>
    <row r="74" spans="1:6" s="112" customFormat="1" x14ac:dyDescent="0.25">
      <c r="A74" s="170"/>
      <c r="B74" s="476" t="s">
        <v>554</v>
      </c>
      <c r="C74" s="476" t="s">
        <v>11</v>
      </c>
      <c r="D74" s="476"/>
      <c r="E74" s="476"/>
      <c r="F74" s="476"/>
    </row>
    <row r="75" spans="1:6" s="112" customFormat="1" x14ac:dyDescent="0.25">
      <c r="A75" s="170"/>
      <c r="B75" s="476"/>
      <c r="C75" s="476" t="s">
        <v>553</v>
      </c>
      <c r="D75" s="476"/>
      <c r="E75" s="476"/>
      <c r="F75" s="476"/>
    </row>
    <row r="76" spans="1:6" s="112" customFormat="1" x14ac:dyDescent="0.25">
      <c r="A76" s="170"/>
      <c r="B76" s="476"/>
      <c r="C76" s="476" t="s">
        <v>552</v>
      </c>
      <c r="D76" s="476"/>
      <c r="E76" s="476"/>
      <c r="F76" s="476"/>
    </row>
    <row r="77" spans="1:6" s="112" customFormat="1" x14ac:dyDescent="0.25">
      <c r="A77" s="170"/>
      <c r="B77" s="476"/>
      <c r="C77" s="476" t="s">
        <v>472</v>
      </c>
      <c r="D77" s="476"/>
      <c r="E77" s="476"/>
      <c r="F77" s="476"/>
    </row>
    <row r="78" spans="1:6" s="112" customFormat="1" x14ac:dyDescent="0.25">
      <c r="A78" s="170"/>
      <c r="B78" s="476"/>
      <c r="C78" s="476" t="s">
        <v>507</v>
      </c>
      <c r="D78" s="476"/>
      <c r="E78" s="476"/>
      <c r="F78" s="476"/>
    </row>
    <row r="79" spans="1:6" s="112" customFormat="1" x14ac:dyDescent="0.25">
      <c r="A79" s="170"/>
      <c r="B79" s="476"/>
      <c r="C79" s="476" t="s">
        <v>550</v>
      </c>
      <c r="D79" s="476"/>
      <c r="E79" s="476"/>
      <c r="F79" s="476"/>
    </row>
    <row r="80" spans="1:6" s="112" customFormat="1" x14ac:dyDescent="0.25">
      <c r="A80" s="170"/>
      <c r="B80" s="476"/>
      <c r="C80" s="476" t="s">
        <v>506</v>
      </c>
      <c r="D80" s="476"/>
      <c r="E80" s="476"/>
      <c r="F80" s="476"/>
    </row>
    <row r="81" spans="1:6" s="112" customFormat="1" x14ac:dyDescent="0.25">
      <c r="A81" s="170"/>
      <c r="B81" s="475" t="s">
        <v>551</v>
      </c>
      <c r="C81" s="476" t="s">
        <v>12</v>
      </c>
      <c r="D81" s="476"/>
      <c r="E81" s="476"/>
      <c r="F81" s="476"/>
    </row>
    <row r="82" spans="1:6" s="112" customFormat="1" x14ac:dyDescent="0.25">
      <c r="A82" s="170"/>
      <c r="B82" s="475"/>
      <c r="C82" s="476" t="s">
        <v>15</v>
      </c>
      <c r="D82" s="476"/>
      <c r="E82" s="476"/>
      <c r="F82" s="476"/>
    </row>
    <row r="83" spans="1:6" s="112" customFormat="1" x14ac:dyDescent="0.25">
      <c r="A83" s="170"/>
      <c r="B83" s="475"/>
      <c r="C83" s="476" t="s">
        <v>472</v>
      </c>
      <c r="D83" s="476"/>
      <c r="E83" s="476"/>
      <c r="F83" s="476"/>
    </row>
    <row r="84" spans="1:6" s="112" customFormat="1" x14ac:dyDescent="0.25">
      <c r="A84" s="170"/>
      <c r="B84" s="475"/>
      <c r="C84" s="476" t="s">
        <v>550</v>
      </c>
      <c r="D84" s="476"/>
      <c r="E84" s="476"/>
      <c r="F84" s="476"/>
    </row>
    <row r="85" spans="1:6" s="112" customFormat="1" x14ac:dyDescent="0.25">
      <c r="A85" s="170"/>
      <c r="B85" s="475"/>
      <c r="C85" s="476" t="s">
        <v>506</v>
      </c>
      <c r="D85" s="476"/>
      <c r="E85" s="476"/>
      <c r="F85" s="476"/>
    </row>
    <row r="86" spans="1:6" s="112" customFormat="1" x14ac:dyDescent="0.25">
      <c r="A86" s="170"/>
      <c r="B86" s="475"/>
      <c r="C86" s="476" t="s">
        <v>528</v>
      </c>
      <c r="D86" s="476"/>
      <c r="E86" s="476"/>
      <c r="F86" s="476"/>
    </row>
    <row r="87" spans="1:6" s="112" customFormat="1" ht="11.25" customHeight="1" x14ac:dyDescent="0.25">
      <c r="A87" s="170"/>
      <c r="B87" s="210"/>
      <c r="C87" s="210"/>
      <c r="D87" s="210"/>
      <c r="E87" s="210"/>
      <c r="F87" s="210"/>
    </row>
    <row r="88" spans="1:6" s="112" customFormat="1" ht="16.5" customHeight="1" x14ac:dyDescent="0.25">
      <c r="A88" s="170"/>
      <c r="B88" s="473" t="s">
        <v>105</v>
      </c>
      <c r="C88" s="473"/>
      <c r="D88" s="473"/>
      <c r="E88" s="473"/>
      <c r="F88" s="473"/>
    </row>
    <row r="89" spans="1:6" s="112" customFormat="1" ht="126" customHeight="1" x14ac:dyDescent="0.25">
      <c r="A89" s="170"/>
      <c r="B89" s="474" t="s">
        <v>549</v>
      </c>
      <c r="C89" s="393"/>
      <c r="D89" s="393"/>
      <c r="E89" s="393"/>
      <c r="F89" s="394"/>
    </row>
    <row r="90" spans="1:6" s="112" customFormat="1" ht="12" customHeight="1" x14ac:dyDescent="0.25">
      <c r="A90" s="170"/>
      <c r="B90" s="170"/>
      <c r="C90" s="170"/>
      <c r="D90" s="170"/>
      <c r="E90" s="170"/>
      <c r="F90" s="170"/>
    </row>
    <row r="91" spans="1:6" s="112" customFormat="1" x14ac:dyDescent="0.25">
      <c r="A91" s="170"/>
      <c r="B91" s="470" t="s">
        <v>473</v>
      </c>
      <c r="C91" s="471"/>
      <c r="D91" s="471"/>
      <c r="E91" s="471"/>
      <c r="F91" s="472"/>
    </row>
    <row r="92" spans="1:6" s="112" customFormat="1" x14ac:dyDescent="0.25">
      <c r="A92" s="170"/>
      <c r="B92" s="127" t="s">
        <v>548</v>
      </c>
      <c r="C92" s="388"/>
      <c r="D92" s="388"/>
      <c r="E92" s="388"/>
      <c r="F92" s="388"/>
    </row>
    <row r="93" spans="1:6" s="112" customFormat="1" x14ac:dyDescent="0.25">
      <c r="A93" s="170"/>
      <c r="B93" s="127" t="s">
        <v>547</v>
      </c>
      <c r="C93" s="388"/>
      <c r="D93" s="388"/>
      <c r="E93" s="388"/>
      <c r="F93" s="388"/>
    </row>
    <row r="94" spans="1:6" s="112" customFormat="1" x14ac:dyDescent="0.25">
      <c r="A94" s="170"/>
      <c r="B94" s="127" t="s">
        <v>546</v>
      </c>
      <c r="C94" s="388"/>
      <c r="D94" s="388"/>
      <c r="E94" s="388"/>
      <c r="F94" s="388"/>
    </row>
    <row r="95" spans="1:6" s="112" customFormat="1" x14ac:dyDescent="0.25">
      <c r="A95" s="170"/>
      <c r="B95" s="170"/>
      <c r="C95" s="170"/>
      <c r="D95" s="170"/>
      <c r="E95" s="170"/>
      <c r="F95" s="170"/>
    </row>
    <row r="96" spans="1:6" s="112" customFormat="1" x14ac:dyDescent="0.25">
      <c r="A96" s="170"/>
      <c r="B96" s="470" t="s">
        <v>106</v>
      </c>
      <c r="C96" s="471"/>
      <c r="D96" s="471"/>
      <c r="E96" s="471"/>
      <c r="F96" s="472"/>
    </row>
    <row r="97" spans="1:6" s="112" customFormat="1" x14ac:dyDescent="0.25">
      <c r="A97" s="170"/>
      <c r="B97" s="392" t="s">
        <v>545</v>
      </c>
      <c r="C97" s="383"/>
      <c r="D97" s="383"/>
      <c r="E97" s="383"/>
      <c r="F97" s="384"/>
    </row>
    <row r="98" spans="1:6" s="112" customFormat="1" ht="12" customHeight="1" x14ac:dyDescent="0.25">
      <c r="A98" s="170"/>
      <c r="B98" s="170"/>
      <c r="C98" s="170"/>
      <c r="D98" s="170"/>
      <c r="E98" s="170"/>
      <c r="F98" s="170"/>
    </row>
    <row r="99" spans="1:6" s="112" customFormat="1" ht="34.5" customHeight="1" x14ac:dyDescent="0.25">
      <c r="A99" s="170"/>
      <c r="B99" s="467" t="s">
        <v>240</v>
      </c>
      <c r="C99" s="468"/>
      <c r="D99" s="468"/>
      <c r="E99" s="468"/>
      <c r="F99" s="469"/>
    </row>
    <row r="100" spans="1:6" s="112" customFormat="1" x14ac:dyDescent="0.25">
      <c r="A100" s="170"/>
      <c r="B100" s="209" t="s">
        <v>241</v>
      </c>
      <c r="C100" s="209" t="s">
        <v>242</v>
      </c>
      <c r="D100" s="470" t="s">
        <v>243</v>
      </c>
      <c r="E100" s="471"/>
      <c r="F100" s="472"/>
    </row>
    <row r="101" spans="1:6" s="112" customFormat="1" x14ac:dyDescent="0.25">
      <c r="A101" s="170"/>
      <c r="B101" s="127" t="s">
        <v>544</v>
      </c>
      <c r="C101" s="127" t="s">
        <v>281</v>
      </c>
      <c r="D101" s="443"/>
      <c r="E101" s="465"/>
      <c r="F101" s="466"/>
    </row>
    <row r="102" spans="1:6" s="112" customFormat="1" x14ac:dyDescent="0.25">
      <c r="A102" s="170"/>
      <c r="B102" s="127"/>
      <c r="C102" s="127"/>
      <c r="D102" s="443"/>
      <c r="E102" s="465"/>
      <c r="F102" s="466"/>
    </row>
    <row r="103" spans="1:6" s="112" customFormat="1" ht="9" customHeight="1" x14ac:dyDescent="0.25">
      <c r="A103" s="170"/>
      <c r="B103" s="170"/>
      <c r="C103" s="170"/>
      <c r="D103" s="170"/>
      <c r="E103" s="170"/>
      <c r="F103" s="170"/>
    </row>
    <row r="104" spans="1:6" s="112" customFormat="1" ht="33" customHeight="1" x14ac:dyDescent="0.25">
      <c r="A104" s="170"/>
      <c r="B104" s="467" t="s">
        <v>543</v>
      </c>
      <c r="C104" s="468"/>
      <c r="D104" s="468"/>
      <c r="E104" s="468"/>
      <c r="F104" s="469"/>
    </row>
    <row r="105" spans="1:6" s="112" customFormat="1" x14ac:dyDescent="0.25">
      <c r="A105" s="170"/>
      <c r="B105" s="209" t="s">
        <v>542</v>
      </c>
      <c r="C105" s="209" t="s">
        <v>541</v>
      </c>
      <c r="D105" s="470" t="s">
        <v>540</v>
      </c>
      <c r="E105" s="471"/>
      <c r="F105" s="472"/>
    </row>
    <row r="106" spans="1:6" s="112" customFormat="1" x14ac:dyDescent="0.25">
      <c r="A106" s="170"/>
      <c r="B106" s="127"/>
      <c r="C106" s="127" t="s">
        <v>539</v>
      </c>
      <c r="D106" s="443"/>
      <c r="E106" s="465"/>
      <c r="F106" s="466"/>
    </row>
    <row r="107" spans="1:6" s="112" customFormat="1" x14ac:dyDescent="0.25">
      <c r="A107" s="170"/>
      <c r="B107" s="127"/>
      <c r="C107" s="127"/>
      <c r="D107" s="443"/>
      <c r="E107" s="465"/>
      <c r="F107" s="466"/>
    </row>
    <row r="108" spans="1:6" s="112" customFormat="1" x14ac:dyDescent="0.25">
      <c r="A108" s="170"/>
      <c r="B108" s="127"/>
      <c r="C108" s="127"/>
      <c r="D108" s="443"/>
      <c r="E108" s="465"/>
      <c r="F108" s="466"/>
    </row>
    <row r="109" spans="1:6" s="112" customFormat="1" ht="6.75" customHeight="1" x14ac:dyDescent="0.25">
      <c r="A109" s="170"/>
      <c r="B109" s="170"/>
      <c r="C109" s="170"/>
      <c r="D109" s="170"/>
      <c r="E109" s="170"/>
      <c r="F109" s="170"/>
    </row>
    <row r="110" spans="1:6" s="112" customFormat="1" x14ac:dyDescent="0.25">
      <c r="A110" s="170"/>
      <c r="B110" s="470" t="s">
        <v>107</v>
      </c>
      <c r="C110" s="471"/>
      <c r="D110" s="471"/>
      <c r="E110" s="471"/>
      <c r="F110" s="472"/>
    </row>
    <row r="111" spans="1:6" s="112" customFormat="1" ht="54" customHeight="1" x14ac:dyDescent="0.25">
      <c r="A111" s="170"/>
      <c r="B111" s="382" t="s">
        <v>538</v>
      </c>
      <c r="C111" s="383"/>
      <c r="D111" s="383"/>
      <c r="E111" s="383"/>
      <c r="F111" s="384"/>
    </row>
    <row r="112" spans="1:6" s="112" customFormat="1" ht="48" customHeight="1" x14ac:dyDescent="0.25">
      <c r="A112" s="170"/>
      <c r="B112" s="170"/>
      <c r="C112" s="170"/>
      <c r="D112" s="170"/>
      <c r="E112" s="170"/>
      <c r="F112" s="170"/>
    </row>
    <row r="113" spans="1:7" s="112" customFormat="1" x14ac:dyDescent="0.25">
      <c r="A113" s="170"/>
      <c r="B113" s="170"/>
      <c r="C113" s="170"/>
      <c r="D113" s="170"/>
      <c r="E113" s="170"/>
      <c r="F113" s="170"/>
    </row>
    <row r="114" spans="1:7" s="112" customFormat="1" x14ac:dyDescent="0.25">
      <c r="A114" s="170"/>
      <c r="B114" s="203"/>
      <c r="C114" s="203"/>
      <c r="D114" s="203"/>
      <c r="E114" s="203"/>
      <c r="F114" s="203"/>
      <c r="G114" s="108"/>
    </row>
  </sheetData>
  <mergeCells count="99">
    <mergeCell ref="C4:F4"/>
    <mergeCell ref="C5:F5"/>
    <mergeCell ref="C6:F6"/>
    <mergeCell ref="C7:F7"/>
    <mergeCell ref="C8:F8"/>
    <mergeCell ref="C9:F9"/>
    <mergeCell ref="B11:F11"/>
    <mergeCell ref="B12:C12"/>
    <mergeCell ref="D12:F12"/>
    <mergeCell ref="B13:C13"/>
    <mergeCell ref="D13:F13"/>
    <mergeCell ref="B14:C14"/>
    <mergeCell ref="D14:F14"/>
    <mergeCell ref="B15:C15"/>
    <mergeCell ref="D15:F15"/>
    <mergeCell ref="B17:F17"/>
    <mergeCell ref="B18:D18"/>
    <mergeCell ref="E18:F18"/>
    <mergeCell ref="B19:D19"/>
    <mergeCell ref="E19:F19"/>
    <mergeCell ref="B20:D20"/>
    <mergeCell ref="E20:F20"/>
    <mergeCell ref="B21:D21"/>
    <mergeCell ref="E21:F21"/>
    <mergeCell ref="B22:D22"/>
    <mergeCell ref="E22:F22"/>
    <mergeCell ref="B23:D23"/>
    <mergeCell ref="E23:F23"/>
    <mergeCell ref="B27:F27"/>
    <mergeCell ref="B28:F28"/>
    <mergeCell ref="B29:F29"/>
    <mergeCell ref="B30:F30"/>
    <mergeCell ref="B32:F32"/>
    <mergeCell ref="B33:F33"/>
    <mergeCell ref="B35:F35"/>
    <mergeCell ref="B36:F36"/>
    <mergeCell ref="B38:F38"/>
    <mergeCell ref="C39:F39"/>
    <mergeCell ref="C40:F40"/>
    <mergeCell ref="C41:F41"/>
    <mergeCell ref="C42:F42"/>
    <mergeCell ref="C43:F43"/>
    <mergeCell ref="C45:F45"/>
    <mergeCell ref="B47:F47"/>
    <mergeCell ref="C48:F48"/>
    <mergeCell ref="B49:B53"/>
    <mergeCell ref="C49:F49"/>
    <mergeCell ref="C50:F50"/>
    <mergeCell ref="C51:F51"/>
    <mergeCell ref="C52:F52"/>
    <mergeCell ref="C53:F53"/>
    <mergeCell ref="B54:B58"/>
    <mergeCell ref="C54:F54"/>
    <mergeCell ref="C55:F55"/>
    <mergeCell ref="C56:F56"/>
    <mergeCell ref="C57:F57"/>
    <mergeCell ref="C58:F58"/>
    <mergeCell ref="B59:B64"/>
    <mergeCell ref="C59:F59"/>
    <mergeCell ref="C60:F60"/>
    <mergeCell ref="B65:B68"/>
    <mergeCell ref="C65:F65"/>
    <mergeCell ref="C66:F66"/>
    <mergeCell ref="C67:F67"/>
    <mergeCell ref="C68:F68"/>
    <mergeCell ref="B74:B80"/>
    <mergeCell ref="C74:F74"/>
    <mergeCell ref="C75:F75"/>
    <mergeCell ref="C76:F76"/>
    <mergeCell ref="C77:F77"/>
    <mergeCell ref="C78:F78"/>
    <mergeCell ref="C79:F79"/>
    <mergeCell ref="C80:F80"/>
    <mergeCell ref="B81:B86"/>
    <mergeCell ref="C81:F81"/>
    <mergeCell ref="C82:F82"/>
    <mergeCell ref="C83:F83"/>
    <mergeCell ref="C84:F84"/>
    <mergeCell ref="C85:F85"/>
    <mergeCell ref="C86:F86"/>
    <mergeCell ref="B88:F88"/>
    <mergeCell ref="B89:F89"/>
    <mergeCell ref="B91:F91"/>
    <mergeCell ref="C92:F92"/>
    <mergeCell ref="C93:F93"/>
    <mergeCell ref="C94:F94"/>
    <mergeCell ref="B96:F96"/>
    <mergeCell ref="B97:F97"/>
    <mergeCell ref="B99:F99"/>
    <mergeCell ref="D100:F100"/>
    <mergeCell ref="D101:F101"/>
    <mergeCell ref="D102:F102"/>
    <mergeCell ref="B111:F111"/>
    <mergeCell ref="B104:F104"/>
    <mergeCell ref="D105:F105"/>
    <mergeCell ref="D106:F106"/>
    <mergeCell ref="D107:F107"/>
    <mergeCell ref="D108:F108"/>
    <mergeCell ref="B110:F110"/>
  </mergeCells>
  <dataValidations disablePrompts="1" count="3">
    <dataValidation type="list" allowBlank="1" showInputMessage="1" showErrorMessage="1" sqref="C4">
      <formula1>"Mise à jour à partir du plan d'études, Nouvelle création"</formula1>
    </dataValidation>
    <dataValidation type="list" allowBlank="1" showInputMessage="1" showErrorMessage="1" sqref="C101:C102">
      <formula1>"Académique, Professionnel, Associatif, Autre"</formula1>
    </dataValidation>
    <dataValidation type="list" allowBlank="1" showInputMessage="1" showErrorMessage="1" sqref="C106:C108">
      <formula1>"Formation, Certification, Stage / projet, Autre"</formula1>
    </dataValidation>
  </dataValidations>
  <hyperlinks>
    <hyperlink ref="B1" r:id="rId1" location="'Schéma d''enseignement'!A1"/>
  </hyperlinks>
  <pageMargins left="0.7" right="0.7" top="0.75" bottom="0.75" header="0.3" footer="0.3"/>
  <pageSetup paperSize="9" orientation="portrait" horizontalDpi="300" verticalDpi="300"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rgb="FF00B050"/>
  </sheetPr>
  <dimension ref="A1:AMK91"/>
  <sheetViews>
    <sheetView showWhiteSpace="0" view="pageBreakPreview" zoomScale="115" zoomScaleNormal="100" zoomScaleSheetLayoutView="115" workbookViewId="0">
      <selection activeCell="B1" sqref="B1"/>
    </sheetView>
  </sheetViews>
  <sheetFormatPr baseColWidth="10" defaultColWidth="9.140625" defaultRowHeight="15.75" x14ac:dyDescent="0.25"/>
  <cols>
    <col min="1" max="1" width="2.140625" style="235" customWidth="1"/>
    <col min="2" max="2" width="17.42578125" style="235" customWidth="1"/>
    <col min="3" max="3" width="15.42578125" style="235" bestFit="1" customWidth="1"/>
    <col min="4" max="4" width="10.85546875" style="235" bestFit="1" customWidth="1"/>
    <col min="5" max="5" width="6.42578125" style="235" customWidth="1"/>
    <col min="6" max="6" width="24.42578125" style="235" customWidth="1"/>
    <col min="7" max="1025" width="9.140625" style="235"/>
    <col min="1026" max="16384" width="9.140625" style="233"/>
  </cols>
  <sheetData>
    <row r="1" spans="1:1024" s="212" customFormat="1" x14ac:dyDescent="0.25">
      <c r="A1" s="211"/>
      <c r="B1" s="309" t="s">
        <v>857</v>
      </c>
      <c r="C1" s="211"/>
      <c r="D1" s="211"/>
      <c r="E1" s="211"/>
      <c r="F1" s="211"/>
      <c r="G1" s="211"/>
      <c r="H1" s="211"/>
      <c r="I1" s="211"/>
      <c r="J1" s="211"/>
      <c r="K1" s="211"/>
      <c r="L1" s="211"/>
      <c r="M1" s="211"/>
      <c r="N1" s="211"/>
      <c r="O1" s="211"/>
      <c r="P1" s="211"/>
      <c r="Q1" s="211"/>
      <c r="R1" s="211"/>
      <c r="S1" s="211"/>
      <c r="T1" s="211"/>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c r="AU1" s="211"/>
      <c r="AV1" s="211"/>
      <c r="AW1" s="211"/>
      <c r="AX1" s="211"/>
      <c r="AY1" s="211"/>
      <c r="AZ1" s="211"/>
      <c r="BA1" s="211"/>
      <c r="BB1" s="211"/>
      <c r="BC1" s="211"/>
      <c r="BD1" s="211"/>
      <c r="BE1" s="211"/>
      <c r="BF1" s="211"/>
      <c r="BG1" s="211"/>
      <c r="BH1" s="211"/>
      <c r="BI1" s="211"/>
      <c r="BJ1" s="211"/>
      <c r="BK1" s="211"/>
      <c r="BL1" s="211"/>
      <c r="BM1" s="211"/>
      <c r="BN1" s="211"/>
      <c r="BO1" s="211"/>
      <c r="BP1" s="211"/>
      <c r="BQ1" s="211"/>
      <c r="BR1" s="211"/>
      <c r="BS1" s="211"/>
      <c r="BT1" s="211"/>
      <c r="BU1" s="211"/>
      <c r="BV1" s="211"/>
      <c r="BW1" s="211"/>
      <c r="BX1" s="211"/>
      <c r="BY1" s="211"/>
      <c r="BZ1" s="211"/>
      <c r="CA1" s="211"/>
      <c r="CB1" s="211"/>
      <c r="CC1" s="211"/>
      <c r="CD1" s="211"/>
      <c r="CE1" s="211"/>
      <c r="CF1" s="211"/>
      <c r="CG1" s="211"/>
      <c r="CH1" s="211"/>
      <c r="CI1" s="211"/>
      <c r="CJ1" s="211"/>
      <c r="CK1" s="211"/>
      <c r="CL1" s="211"/>
      <c r="CM1" s="211"/>
      <c r="CN1" s="211"/>
      <c r="CO1" s="211"/>
      <c r="CP1" s="211"/>
      <c r="CQ1" s="211"/>
      <c r="CR1" s="211"/>
      <c r="CS1" s="211"/>
      <c r="CT1" s="211"/>
      <c r="CU1" s="211"/>
      <c r="CV1" s="211"/>
      <c r="CW1" s="211"/>
      <c r="CX1" s="211"/>
      <c r="CY1" s="211"/>
      <c r="CZ1" s="211"/>
      <c r="DA1" s="211"/>
      <c r="DB1" s="211"/>
      <c r="DC1" s="211"/>
      <c r="DD1" s="211"/>
      <c r="DE1" s="211"/>
      <c r="DF1" s="211"/>
      <c r="DG1" s="211"/>
      <c r="DH1" s="211"/>
      <c r="DI1" s="211"/>
      <c r="DJ1" s="211"/>
      <c r="DK1" s="211"/>
      <c r="DL1" s="211"/>
      <c r="DM1" s="211"/>
      <c r="DN1" s="211"/>
      <c r="DO1" s="211"/>
      <c r="DP1" s="211"/>
      <c r="DQ1" s="211"/>
      <c r="DR1" s="211"/>
      <c r="DS1" s="211"/>
      <c r="DT1" s="211"/>
      <c r="DU1" s="211"/>
      <c r="DV1" s="211"/>
      <c r="DW1" s="211"/>
      <c r="DX1" s="211"/>
      <c r="DY1" s="211"/>
      <c r="DZ1" s="211"/>
      <c r="EA1" s="211"/>
      <c r="EB1" s="211"/>
      <c r="EC1" s="211"/>
      <c r="ED1" s="211"/>
      <c r="EE1" s="211"/>
      <c r="EF1" s="211"/>
      <c r="EG1" s="211"/>
      <c r="EH1" s="211"/>
      <c r="EI1" s="211"/>
      <c r="EJ1" s="211"/>
      <c r="EK1" s="211"/>
      <c r="EL1" s="211"/>
      <c r="EM1" s="211"/>
      <c r="EN1" s="211"/>
      <c r="EO1" s="211"/>
      <c r="EP1" s="211"/>
      <c r="EQ1" s="211"/>
      <c r="ER1" s="211"/>
      <c r="ES1" s="211"/>
      <c r="ET1" s="211"/>
      <c r="EU1" s="211"/>
      <c r="EV1" s="211"/>
      <c r="EW1" s="211"/>
      <c r="EX1" s="211"/>
      <c r="EY1" s="211"/>
      <c r="EZ1" s="211"/>
      <c r="FA1" s="211"/>
      <c r="FB1" s="211"/>
      <c r="FC1" s="211"/>
      <c r="FD1" s="211"/>
      <c r="FE1" s="211"/>
      <c r="FF1" s="211"/>
      <c r="FG1" s="211"/>
      <c r="FH1" s="211"/>
      <c r="FI1" s="211"/>
      <c r="FJ1" s="211"/>
      <c r="FK1" s="211"/>
      <c r="FL1" s="211"/>
      <c r="FM1" s="211"/>
      <c r="FN1" s="211"/>
      <c r="FO1" s="211"/>
      <c r="FP1" s="211"/>
      <c r="FQ1" s="211"/>
      <c r="FR1" s="211"/>
      <c r="FS1" s="211"/>
      <c r="FT1" s="211"/>
      <c r="FU1" s="211"/>
      <c r="FV1" s="211"/>
      <c r="FW1" s="211"/>
      <c r="FX1" s="211"/>
      <c r="FY1" s="211"/>
      <c r="FZ1" s="211"/>
      <c r="GA1" s="211"/>
      <c r="GB1" s="211"/>
      <c r="GC1" s="211"/>
      <c r="GD1" s="211"/>
      <c r="GE1" s="211"/>
      <c r="GF1" s="211"/>
      <c r="GG1" s="211"/>
      <c r="GH1" s="211"/>
      <c r="GI1" s="211"/>
      <c r="GJ1" s="211"/>
      <c r="GK1" s="211"/>
      <c r="GL1" s="211"/>
      <c r="GM1" s="211"/>
      <c r="GN1" s="211"/>
      <c r="GO1" s="211"/>
      <c r="GP1" s="211"/>
      <c r="GQ1" s="211"/>
      <c r="GR1" s="211"/>
      <c r="GS1" s="211"/>
      <c r="GT1" s="211"/>
      <c r="GU1" s="211"/>
      <c r="GV1" s="211"/>
      <c r="GW1" s="211"/>
      <c r="GX1" s="211"/>
      <c r="GY1" s="211"/>
      <c r="GZ1" s="211"/>
      <c r="HA1" s="211"/>
      <c r="HB1" s="211"/>
      <c r="HC1" s="211"/>
      <c r="HD1" s="211"/>
      <c r="HE1" s="211"/>
      <c r="HF1" s="211"/>
      <c r="HG1" s="211"/>
      <c r="HH1" s="211"/>
      <c r="HI1" s="211"/>
      <c r="HJ1" s="211"/>
      <c r="HK1" s="211"/>
      <c r="HL1" s="211"/>
      <c r="HM1" s="211"/>
      <c r="HN1" s="211"/>
      <c r="HO1" s="211"/>
      <c r="HP1" s="211"/>
      <c r="HQ1" s="211"/>
      <c r="HR1" s="211"/>
      <c r="HS1" s="211"/>
      <c r="HT1" s="211"/>
      <c r="HU1" s="211"/>
      <c r="HV1" s="211"/>
      <c r="HW1" s="211"/>
      <c r="HX1" s="211"/>
      <c r="HY1" s="211"/>
      <c r="HZ1" s="211"/>
      <c r="IA1" s="211"/>
      <c r="IB1" s="211"/>
      <c r="IC1" s="211"/>
      <c r="ID1" s="211"/>
      <c r="IE1" s="211"/>
      <c r="IF1" s="211"/>
      <c r="IG1" s="211"/>
      <c r="IH1" s="211"/>
      <c r="II1" s="211"/>
      <c r="IJ1" s="211"/>
      <c r="IK1" s="211"/>
      <c r="IL1" s="211"/>
      <c r="IM1" s="211"/>
      <c r="IN1" s="211"/>
      <c r="IO1" s="211"/>
      <c r="IP1" s="211"/>
      <c r="IQ1" s="211"/>
      <c r="IR1" s="211"/>
      <c r="IS1" s="211"/>
      <c r="IT1" s="211"/>
      <c r="IU1" s="211"/>
      <c r="IV1" s="211"/>
      <c r="IW1" s="211"/>
      <c r="IX1" s="211"/>
      <c r="IY1" s="211"/>
      <c r="IZ1" s="211"/>
      <c r="JA1" s="211"/>
      <c r="JB1" s="211"/>
      <c r="JC1" s="211"/>
      <c r="JD1" s="211"/>
      <c r="JE1" s="211"/>
      <c r="JF1" s="211"/>
      <c r="JG1" s="211"/>
      <c r="JH1" s="211"/>
      <c r="JI1" s="211"/>
      <c r="JJ1" s="211"/>
      <c r="JK1" s="211"/>
      <c r="JL1" s="211"/>
      <c r="JM1" s="211"/>
      <c r="JN1" s="211"/>
      <c r="JO1" s="211"/>
      <c r="JP1" s="211"/>
      <c r="JQ1" s="211"/>
      <c r="JR1" s="211"/>
      <c r="JS1" s="211"/>
      <c r="JT1" s="211"/>
      <c r="JU1" s="211"/>
      <c r="JV1" s="211"/>
      <c r="JW1" s="211"/>
      <c r="JX1" s="211"/>
      <c r="JY1" s="211"/>
      <c r="JZ1" s="211"/>
      <c r="KA1" s="211"/>
      <c r="KB1" s="211"/>
      <c r="KC1" s="211"/>
      <c r="KD1" s="211"/>
      <c r="KE1" s="211"/>
      <c r="KF1" s="211"/>
      <c r="KG1" s="211"/>
      <c r="KH1" s="211"/>
      <c r="KI1" s="211"/>
      <c r="KJ1" s="211"/>
      <c r="KK1" s="211"/>
      <c r="KL1" s="211"/>
      <c r="KM1" s="211"/>
      <c r="KN1" s="211"/>
      <c r="KO1" s="211"/>
      <c r="KP1" s="211"/>
      <c r="KQ1" s="211"/>
      <c r="KR1" s="211"/>
      <c r="KS1" s="211"/>
      <c r="KT1" s="211"/>
      <c r="KU1" s="211"/>
      <c r="KV1" s="211"/>
      <c r="KW1" s="211"/>
      <c r="KX1" s="211"/>
      <c r="KY1" s="211"/>
      <c r="KZ1" s="211"/>
      <c r="LA1" s="211"/>
      <c r="LB1" s="211"/>
      <c r="LC1" s="211"/>
      <c r="LD1" s="211"/>
      <c r="LE1" s="211"/>
      <c r="LF1" s="211"/>
      <c r="LG1" s="211"/>
      <c r="LH1" s="211"/>
      <c r="LI1" s="211"/>
      <c r="LJ1" s="211"/>
      <c r="LK1" s="211"/>
      <c r="LL1" s="211"/>
      <c r="LM1" s="211"/>
      <c r="LN1" s="211"/>
      <c r="LO1" s="211"/>
      <c r="LP1" s="211"/>
      <c r="LQ1" s="211"/>
      <c r="LR1" s="211"/>
      <c r="LS1" s="211"/>
      <c r="LT1" s="211"/>
      <c r="LU1" s="211"/>
      <c r="LV1" s="211"/>
      <c r="LW1" s="211"/>
      <c r="LX1" s="211"/>
      <c r="LY1" s="211"/>
      <c r="LZ1" s="211"/>
      <c r="MA1" s="211"/>
      <c r="MB1" s="211"/>
      <c r="MC1" s="211"/>
      <c r="MD1" s="211"/>
      <c r="ME1" s="211"/>
      <c r="MF1" s="211"/>
      <c r="MG1" s="211"/>
      <c r="MH1" s="211"/>
      <c r="MI1" s="211"/>
      <c r="MJ1" s="211"/>
      <c r="MK1" s="211"/>
      <c r="ML1" s="211"/>
      <c r="MM1" s="211"/>
      <c r="MN1" s="211"/>
      <c r="MO1" s="211"/>
      <c r="MP1" s="211"/>
      <c r="MQ1" s="211"/>
      <c r="MR1" s="211"/>
      <c r="MS1" s="211"/>
      <c r="MT1" s="211"/>
      <c r="MU1" s="211"/>
      <c r="MV1" s="211"/>
      <c r="MW1" s="211"/>
      <c r="MX1" s="211"/>
      <c r="MY1" s="211"/>
      <c r="MZ1" s="211"/>
      <c r="NA1" s="211"/>
      <c r="NB1" s="211"/>
      <c r="NC1" s="211"/>
      <c r="ND1" s="211"/>
      <c r="NE1" s="211"/>
      <c r="NF1" s="211"/>
      <c r="NG1" s="211"/>
      <c r="NH1" s="211"/>
      <c r="NI1" s="211"/>
      <c r="NJ1" s="211"/>
      <c r="NK1" s="211"/>
      <c r="NL1" s="211"/>
      <c r="NM1" s="211"/>
      <c r="NN1" s="211"/>
      <c r="NO1" s="211"/>
      <c r="NP1" s="211"/>
      <c r="NQ1" s="211"/>
      <c r="NR1" s="211"/>
      <c r="NS1" s="211"/>
      <c r="NT1" s="211"/>
      <c r="NU1" s="211"/>
      <c r="NV1" s="211"/>
      <c r="NW1" s="211"/>
      <c r="NX1" s="211"/>
      <c r="NY1" s="211"/>
      <c r="NZ1" s="211"/>
      <c r="OA1" s="211"/>
      <c r="OB1" s="211"/>
      <c r="OC1" s="211"/>
      <c r="OD1" s="211"/>
      <c r="OE1" s="211"/>
      <c r="OF1" s="211"/>
      <c r="OG1" s="211"/>
      <c r="OH1" s="211"/>
      <c r="OI1" s="211"/>
      <c r="OJ1" s="211"/>
      <c r="OK1" s="211"/>
      <c r="OL1" s="211"/>
      <c r="OM1" s="211"/>
      <c r="ON1" s="211"/>
      <c r="OO1" s="211"/>
      <c r="OP1" s="211"/>
      <c r="OQ1" s="211"/>
      <c r="OR1" s="211"/>
      <c r="OS1" s="211"/>
      <c r="OT1" s="211"/>
      <c r="OU1" s="211"/>
      <c r="OV1" s="211"/>
      <c r="OW1" s="211"/>
      <c r="OX1" s="211"/>
      <c r="OY1" s="211"/>
      <c r="OZ1" s="211"/>
      <c r="PA1" s="211"/>
      <c r="PB1" s="211"/>
      <c r="PC1" s="211"/>
      <c r="PD1" s="211"/>
      <c r="PE1" s="211"/>
      <c r="PF1" s="211"/>
      <c r="PG1" s="211"/>
      <c r="PH1" s="211"/>
      <c r="PI1" s="211"/>
      <c r="PJ1" s="211"/>
      <c r="PK1" s="211"/>
      <c r="PL1" s="211"/>
      <c r="PM1" s="211"/>
      <c r="PN1" s="211"/>
      <c r="PO1" s="211"/>
      <c r="PP1" s="211"/>
      <c r="PQ1" s="211"/>
      <c r="PR1" s="211"/>
      <c r="PS1" s="211"/>
      <c r="PT1" s="211"/>
      <c r="PU1" s="211"/>
      <c r="PV1" s="211"/>
      <c r="PW1" s="211"/>
      <c r="PX1" s="211"/>
      <c r="PY1" s="211"/>
      <c r="PZ1" s="211"/>
      <c r="QA1" s="211"/>
      <c r="QB1" s="211"/>
      <c r="QC1" s="211"/>
      <c r="QD1" s="211"/>
      <c r="QE1" s="211"/>
      <c r="QF1" s="211"/>
      <c r="QG1" s="211"/>
      <c r="QH1" s="211"/>
      <c r="QI1" s="211"/>
      <c r="QJ1" s="211"/>
      <c r="QK1" s="211"/>
      <c r="QL1" s="211"/>
      <c r="QM1" s="211"/>
      <c r="QN1" s="211"/>
      <c r="QO1" s="211"/>
      <c r="QP1" s="211"/>
      <c r="QQ1" s="211"/>
      <c r="QR1" s="211"/>
      <c r="QS1" s="211"/>
      <c r="QT1" s="211"/>
      <c r="QU1" s="211"/>
      <c r="QV1" s="211"/>
      <c r="QW1" s="211"/>
      <c r="QX1" s="211"/>
      <c r="QY1" s="211"/>
      <c r="QZ1" s="211"/>
      <c r="RA1" s="211"/>
      <c r="RB1" s="211"/>
      <c r="RC1" s="211"/>
      <c r="RD1" s="211"/>
      <c r="RE1" s="211"/>
      <c r="RF1" s="211"/>
      <c r="RG1" s="211"/>
      <c r="RH1" s="211"/>
      <c r="RI1" s="211"/>
      <c r="RJ1" s="211"/>
      <c r="RK1" s="211"/>
      <c r="RL1" s="211"/>
      <c r="RM1" s="211"/>
      <c r="RN1" s="211"/>
      <c r="RO1" s="211"/>
      <c r="RP1" s="211"/>
      <c r="RQ1" s="211"/>
      <c r="RR1" s="211"/>
      <c r="RS1" s="211"/>
      <c r="RT1" s="211"/>
      <c r="RU1" s="211"/>
      <c r="RV1" s="211"/>
      <c r="RW1" s="211"/>
      <c r="RX1" s="211"/>
      <c r="RY1" s="211"/>
      <c r="RZ1" s="211"/>
      <c r="SA1" s="211"/>
      <c r="SB1" s="211"/>
      <c r="SC1" s="211"/>
      <c r="SD1" s="211"/>
      <c r="SE1" s="211"/>
      <c r="SF1" s="211"/>
      <c r="SG1" s="211"/>
      <c r="SH1" s="211"/>
      <c r="SI1" s="211"/>
      <c r="SJ1" s="211"/>
      <c r="SK1" s="211"/>
      <c r="SL1" s="211"/>
      <c r="SM1" s="211"/>
      <c r="SN1" s="211"/>
      <c r="SO1" s="211"/>
      <c r="SP1" s="211"/>
      <c r="SQ1" s="211"/>
      <c r="SR1" s="211"/>
      <c r="SS1" s="211"/>
      <c r="ST1" s="211"/>
      <c r="SU1" s="211"/>
      <c r="SV1" s="211"/>
      <c r="SW1" s="211"/>
      <c r="SX1" s="211"/>
      <c r="SY1" s="211"/>
      <c r="SZ1" s="211"/>
      <c r="TA1" s="211"/>
      <c r="TB1" s="211"/>
      <c r="TC1" s="211"/>
      <c r="TD1" s="211"/>
      <c r="TE1" s="211"/>
      <c r="TF1" s="211"/>
      <c r="TG1" s="211"/>
      <c r="TH1" s="211"/>
      <c r="TI1" s="211"/>
      <c r="TJ1" s="211"/>
      <c r="TK1" s="211"/>
      <c r="TL1" s="211"/>
      <c r="TM1" s="211"/>
      <c r="TN1" s="211"/>
      <c r="TO1" s="211"/>
      <c r="TP1" s="211"/>
      <c r="TQ1" s="211"/>
      <c r="TR1" s="211"/>
      <c r="TS1" s="211"/>
      <c r="TT1" s="211"/>
      <c r="TU1" s="211"/>
      <c r="TV1" s="211"/>
      <c r="TW1" s="211"/>
      <c r="TX1" s="211"/>
      <c r="TY1" s="211"/>
      <c r="TZ1" s="211"/>
      <c r="UA1" s="211"/>
      <c r="UB1" s="211"/>
      <c r="UC1" s="211"/>
      <c r="UD1" s="211"/>
      <c r="UE1" s="211"/>
      <c r="UF1" s="211"/>
      <c r="UG1" s="211"/>
      <c r="UH1" s="211"/>
      <c r="UI1" s="211"/>
      <c r="UJ1" s="211"/>
      <c r="UK1" s="211"/>
      <c r="UL1" s="211"/>
      <c r="UM1" s="211"/>
      <c r="UN1" s="211"/>
      <c r="UO1" s="211"/>
      <c r="UP1" s="211"/>
      <c r="UQ1" s="211"/>
      <c r="UR1" s="211"/>
      <c r="US1" s="211"/>
      <c r="UT1" s="211"/>
      <c r="UU1" s="211"/>
      <c r="UV1" s="211"/>
      <c r="UW1" s="211"/>
      <c r="UX1" s="211"/>
      <c r="UY1" s="211"/>
      <c r="UZ1" s="211"/>
      <c r="VA1" s="211"/>
      <c r="VB1" s="211"/>
      <c r="VC1" s="211"/>
      <c r="VD1" s="211"/>
      <c r="VE1" s="211"/>
      <c r="VF1" s="211"/>
      <c r="VG1" s="211"/>
      <c r="VH1" s="211"/>
      <c r="VI1" s="211"/>
      <c r="VJ1" s="211"/>
      <c r="VK1" s="211"/>
      <c r="VL1" s="211"/>
      <c r="VM1" s="211"/>
      <c r="VN1" s="211"/>
      <c r="VO1" s="211"/>
      <c r="VP1" s="211"/>
      <c r="VQ1" s="211"/>
      <c r="VR1" s="211"/>
      <c r="VS1" s="211"/>
      <c r="VT1" s="211"/>
      <c r="VU1" s="211"/>
      <c r="VV1" s="211"/>
      <c r="VW1" s="211"/>
      <c r="VX1" s="211"/>
      <c r="VY1" s="211"/>
      <c r="VZ1" s="211"/>
      <c r="WA1" s="211"/>
      <c r="WB1" s="211"/>
      <c r="WC1" s="211"/>
      <c r="WD1" s="211"/>
      <c r="WE1" s="211"/>
      <c r="WF1" s="211"/>
      <c r="WG1" s="211"/>
      <c r="WH1" s="211"/>
      <c r="WI1" s="211"/>
      <c r="WJ1" s="211"/>
      <c r="WK1" s="211"/>
      <c r="WL1" s="211"/>
      <c r="WM1" s="211"/>
      <c r="WN1" s="211"/>
      <c r="WO1" s="211"/>
      <c r="WP1" s="211"/>
      <c r="WQ1" s="211"/>
      <c r="WR1" s="211"/>
      <c r="WS1" s="211"/>
      <c r="WT1" s="211"/>
      <c r="WU1" s="211"/>
      <c r="WV1" s="211"/>
      <c r="WW1" s="211"/>
      <c r="WX1" s="211"/>
      <c r="WY1" s="211"/>
      <c r="WZ1" s="211"/>
      <c r="XA1" s="211"/>
      <c r="XB1" s="211"/>
      <c r="XC1" s="211"/>
      <c r="XD1" s="211"/>
      <c r="XE1" s="211"/>
      <c r="XF1" s="211"/>
      <c r="XG1" s="211"/>
      <c r="XH1" s="211"/>
      <c r="XI1" s="211"/>
      <c r="XJ1" s="211"/>
      <c r="XK1" s="211"/>
      <c r="XL1" s="211"/>
      <c r="XM1" s="211"/>
      <c r="XN1" s="211"/>
      <c r="XO1" s="211"/>
      <c r="XP1" s="211"/>
      <c r="XQ1" s="211"/>
      <c r="XR1" s="211"/>
      <c r="XS1" s="211"/>
      <c r="XT1" s="211"/>
      <c r="XU1" s="211"/>
      <c r="XV1" s="211"/>
      <c r="XW1" s="211"/>
      <c r="XX1" s="211"/>
      <c r="XY1" s="211"/>
      <c r="XZ1" s="211"/>
      <c r="YA1" s="211"/>
      <c r="YB1" s="211"/>
      <c r="YC1" s="211"/>
      <c r="YD1" s="211"/>
      <c r="YE1" s="211"/>
      <c r="YF1" s="211"/>
      <c r="YG1" s="211"/>
      <c r="YH1" s="211"/>
      <c r="YI1" s="211"/>
      <c r="YJ1" s="211"/>
      <c r="YK1" s="211"/>
      <c r="YL1" s="211"/>
      <c r="YM1" s="211"/>
      <c r="YN1" s="211"/>
      <c r="YO1" s="211"/>
      <c r="YP1" s="211"/>
      <c r="YQ1" s="211"/>
      <c r="YR1" s="211"/>
      <c r="YS1" s="211"/>
      <c r="YT1" s="211"/>
      <c r="YU1" s="211"/>
      <c r="YV1" s="211"/>
      <c r="YW1" s="211"/>
      <c r="YX1" s="211"/>
      <c r="YY1" s="211"/>
      <c r="YZ1" s="211"/>
      <c r="ZA1" s="211"/>
      <c r="ZB1" s="211"/>
      <c r="ZC1" s="211"/>
      <c r="ZD1" s="211"/>
      <c r="ZE1" s="211"/>
      <c r="ZF1" s="211"/>
      <c r="ZG1" s="211"/>
      <c r="ZH1" s="211"/>
      <c r="ZI1" s="211"/>
      <c r="ZJ1" s="211"/>
      <c r="ZK1" s="211"/>
      <c r="ZL1" s="211"/>
      <c r="ZM1" s="211"/>
      <c r="ZN1" s="211"/>
      <c r="ZO1" s="211"/>
      <c r="ZP1" s="211"/>
      <c r="ZQ1" s="211"/>
      <c r="ZR1" s="211"/>
      <c r="ZS1" s="211"/>
      <c r="ZT1" s="211"/>
      <c r="ZU1" s="211"/>
      <c r="ZV1" s="211"/>
      <c r="ZW1" s="211"/>
      <c r="ZX1" s="211"/>
      <c r="ZY1" s="211"/>
      <c r="ZZ1" s="211"/>
      <c r="AAA1" s="211"/>
      <c r="AAB1" s="211"/>
      <c r="AAC1" s="211"/>
      <c r="AAD1" s="211"/>
      <c r="AAE1" s="211"/>
      <c r="AAF1" s="211"/>
      <c r="AAG1" s="211"/>
      <c r="AAH1" s="211"/>
      <c r="AAI1" s="211"/>
      <c r="AAJ1" s="211"/>
      <c r="AAK1" s="211"/>
      <c r="AAL1" s="211"/>
      <c r="AAM1" s="211"/>
      <c r="AAN1" s="211"/>
      <c r="AAO1" s="211"/>
      <c r="AAP1" s="211"/>
      <c r="AAQ1" s="211"/>
      <c r="AAR1" s="211"/>
      <c r="AAS1" s="211"/>
      <c r="AAT1" s="211"/>
      <c r="AAU1" s="211"/>
      <c r="AAV1" s="211"/>
      <c r="AAW1" s="211"/>
      <c r="AAX1" s="211"/>
      <c r="AAY1" s="211"/>
      <c r="AAZ1" s="211"/>
      <c r="ABA1" s="211"/>
      <c r="ABB1" s="211"/>
      <c r="ABC1" s="211"/>
      <c r="ABD1" s="211"/>
      <c r="ABE1" s="211"/>
      <c r="ABF1" s="211"/>
      <c r="ABG1" s="211"/>
      <c r="ABH1" s="211"/>
      <c r="ABI1" s="211"/>
      <c r="ABJ1" s="211"/>
      <c r="ABK1" s="211"/>
      <c r="ABL1" s="211"/>
      <c r="ABM1" s="211"/>
      <c r="ABN1" s="211"/>
      <c r="ABO1" s="211"/>
      <c r="ABP1" s="211"/>
      <c r="ABQ1" s="211"/>
      <c r="ABR1" s="211"/>
      <c r="ABS1" s="211"/>
      <c r="ABT1" s="211"/>
      <c r="ABU1" s="211"/>
      <c r="ABV1" s="211"/>
      <c r="ABW1" s="211"/>
      <c r="ABX1" s="211"/>
      <c r="ABY1" s="211"/>
      <c r="ABZ1" s="211"/>
      <c r="ACA1" s="211"/>
      <c r="ACB1" s="211"/>
      <c r="ACC1" s="211"/>
      <c r="ACD1" s="211"/>
      <c r="ACE1" s="211"/>
      <c r="ACF1" s="211"/>
      <c r="ACG1" s="211"/>
      <c r="ACH1" s="211"/>
      <c r="ACI1" s="211"/>
      <c r="ACJ1" s="211"/>
      <c r="ACK1" s="211"/>
      <c r="ACL1" s="211"/>
      <c r="ACM1" s="211"/>
      <c r="ACN1" s="211"/>
      <c r="ACO1" s="211"/>
      <c r="ACP1" s="211"/>
      <c r="ACQ1" s="211"/>
      <c r="ACR1" s="211"/>
      <c r="ACS1" s="211"/>
      <c r="ACT1" s="211"/>
      <c r="ACU1" s="211"/>
      <c r="ACV1" s="211"/>
      <c r="ACW1" s="211"/>
      <c r="ACX1" s="211"/>
      <c r="ACY1" s="211"/>
      <c r="ACZ1" s="211"/>
      <c r="ADA1" s="211"/>
      <c r="ADB1" s="211"/>
      <c r="ADC1" s="211"/>
      <c r="ADD1" s="211"/>
      <c r="ADE1" s="211"/>
      <c r="ADF1" s="211"/>
      <c r="ADG1" s="211"/>
      <c r="ADH1" s="211"/>
      <c r="ADI1" s="211"/>
      <c r="ADJ1" s="211"/>
      <c r="ADK1" s="211"/>
      <c r="ADL1" s="211"/>
      <c r="ADM1" s="211"/>
      <c r="ADN1" s="211"/>
      <c r="ADO1" s="211"/>
      <c r="ADP1" s="211"/>
      <c r="ADQ1" s="211"/>
      <c r="ADR1" s="211"/>
      <c r="ADS1" s="211"/>
      <c r="ADT1" s="211"/>
      <c r="ADU1" s="211"/>
      <c r="ADV1" s="211"/>
      <c r="ADW1" s="211"/>
      <c r="ADX1" s="211"/>
      <c r="ADY1" s="211"/>
      <c r="ADZ1" s="211"/>
      <c r="AEA1" s="211"/>
      <c r="AEB1" s="211"/>
      <c r="AEC1" s="211"/>
      <c r="AED1" s="211"/>
      <c r="AEE1" s="211"/>
      <c r="AEF1" s="211"/>
      <c r="AEG1" s="211"/>
      <c r="AEH1" s="211"/>
      <c r="AEI1" s="211"/>
      <c r="AEJ1" s="211"/>
      <c r="AEK1" s="211"/>
      <c r="AEL1" s="211"/>
      <c r="AEM1" s="211"/>
      <c r="AEN1" s="211"/>
      <c r="AEO1" s="211"/>
      <c r="AEP1" s="211"/>
      <c r="AEQ1" s="211"/>
      <c r="AER1" s="211"/>
      <c r="AES1" s="211"/>
      <c r="AET1" s="211"/>
      <c r="AEU1" s="211"/>
      <c r="AEV1" s="211"/>
      <c r="AEW1" s="211"/>
      <c r="AEX1" s="211"/>
      <c r="AEY1" s="211"/>
      <c r="AEZ1" s="211"/>
      <c r="AFA1" s="211"/>
      <c r="AFB1" s="211"/>
      <c r="AFC1" s="211"/>
      <c r="AFD1" s="211"/>
      <c r="AFE1" s="211"/>
      <c r="AFF1" s="211"/>
      <c r="AFG1" s="211"/>
      <c r="AFH1" s="211"/>
      <c r="AFI1" s="211"/>
      <c r="AFJ1" s="211"/>
      <c r="AFK1" s="211"/>
      <c r="AFL1" s="211"/>
      <c r="AFM1" s="211"/>
      <c r="AFN1" s="211"/>
      <c r="AFO1" s="211"/>
      <c r="AFP1" s="211"/>
      <c r="AFQ1" s="211"/>
      <c r="AFR1" s="211"/>
      <c r="AFS1" s="211"/>
      <c r="AFT1" s="211"/>
      <c r="AFU1" s="211"/>
      <c r="AFV1" s="211"/>
      <c r="AFW1" s="211"/>
      <c r="AFX1" s="211"/>
      <c r="AFY1" s="211"/>
      <c r="AFZ1" s="211"/>
      <c r="AGA1" s="211"/>
      <c r="AGB1" s="211"/>
      <c r="AGC1" s="211"/>
      <c r="AGD1" s="211"/>
      <c r="AGE1" s="211"/>
      <c r="AGF1" s="211"/>
      <c r="AGG1" s="211"/>
      <c r="AGH1" s="211"/>
      <c r="AGI1" s="211"/>
      <c r="AGJ1" s="211"/>
      <c r="AGK1" s="211"/>
      <c r="AGL1" s="211"/>
      <c r="AGM1" s="211"/>
      <c r="AGN1" s="211"/>
      <c r="AGO1" s="211"/>
      <c r="AGP1" s="211"/>
      <c r="AGQ1" s="211"/>
      <c r="AGR1" s="211"/>
      <c r="AGS1" s="211"/>
      <c r="AGT1" s="211"/>
      <c r="AGU1" s="211"/>
      <c r="AGV1" s="211"/>
      <c r="AGW1" s="211"/>
      <c r="AGX1" s="211"/>
      <c r="AGY1" s="211"/>
      <c r="AGZ1" s="211"/>
      <c r="AHA1" s="211"/>
      <c r="AHB1" s="211"/>
      <c r="AHC1" s="211"/>
      <c r="AHD1" s="211"/>
      <c r="AHE1" s="211"/>
      <c r="AHF1" s="211"/>
      <c r="AHG1" s="211"/>
      <c r="AHH1" s="211"/>
      <c r="AHI1" s="211"/>
      <c r="AHJ1" s="211"/>
      <c r="AHK1" s="211"/>
      <c r="AHL1" s="211"/>
      <c r="AHM1" s="211"/>
      <c r="AHN1" s="211"/>
      <c r="AHO1" s="211"/>
      <c r="AHP1" s="211"/>
      <c r="AHQ1" s="211"/>
      <c r="AHR1" s="211"/>
      <c r="AHS1" s="211"/>
      <c r="AHT1" s="211"/>
      <c r="AHU1" s="211"/>
      <c r="AHV1" s="211"/>
      <c r="AHW1" s="211"/>
      <c r="AHX1" s="211"/>
      <c r="AHY1" s="211"/>
      <c r="AHZ1" s="211"/>
      <c r="AIA1" s="211"/>
      <c r="AIB1" s="211"/>
      <c r="AIC1" s="211"/>
      <c r="AID1" s="211"/>
      <c r="AIE1" s="211"/>
      <c r="AIF1" s="211"/>
      <c r="AIG1" s="211"/>
      <c r="AIH1" s="211"/>
      <c r="AII1" s="211"/>
      <c r="AIJ1" s="211"/>
      <c r="AIK1" s="211"/>
      <c r="AIL1" s="211"/>
      <c r="AIM1" s="211"/>
      <c r="AIN1" s="211"/>
      <c r="AIO1" s="211"/>
      <c r="AIP1" s="211"/>
      <c r="AIQ1" s="211"/>
      <c r="AIR1" s="211"/>
      <c r="AIS1" s="211"/>
      <c r="AIT1" s="211"/>
      <c r="AIU1" s="211"/>
      <c r="AIV1" s="211"/>
      <c r="AIW1" s="211"/>
      <c r="AIX1" s="211"/>
      <c r="AIY1" s="211"/>
      <c r="AIZ1" s="211"/>
      <c r="AJA1" s="211"/>
      <c r="AJB1" s="211"/>
      <c r="AJC1" s="211"/>
      <c r="AJD1" s="211"/>
      <c r="AJE1" s="211"/>
      <c r="AJF1" s="211"/>
      <c r="AJG1" s="211"/>
      <c r="AJH1" s="211"/>
      <c r="AJI1" s="211"/>
      <c r="AJJ1" s="211"/>
      <c r="AJK1" s="211"/>
      <c r="AJL1" s="211"/>
      <c r="AJM1" s="211"/>
      <c r="AJN1" s="211"/>
      <c r="AJO1" s="211"/>
      <c r="AJP1" s="211"/>
      <c r="AJQ1" s="211"/>
      <c r="AJR1" s="211"/>
      <c r="AJS1" s="211"/>
      <c r="AJT1" s="211"/>
      <c r="AJU1" s="211"/>
      <c r="AJV1" s="211"/>
      <c r="AJW1" s="211"/>
      <c r="AJX1" s="211"/>
      <c r="AJY1" s="211"/>
      <c r="AJZ1" s="211"/>
      <c r="AKA1" s="211"/>
      <c r="AKB1" s="211"/>
      <c r="AKC1" s="211"/>
      <c r="AKD1" s="211"/>
      <c r="AKE1" s="211"/>
      <c r="AKF1" s="211"/>
      <c r="AKG1" s="211"/>
      <c r="AKH1" s="211"/>
      <c r="AKI1" s="211"/>
      <c r="AKJ1" s="211"/>
      <c r="AKK1" s="211"/>
      <c r="AKL1" s="211"/>
      <c r="AKM1" s="211"/>
      <c r="AKN1" s="211"/>
      <c r="AKO1" s="211"/>
      <c r="AKP1" s="211"/>
      <c r="AKQ1" s="211"/>
      <c r="AKR1" s="211"/>
      <c r="AKS1" s="211"/>
      <c r="AKT1" s="211"/>
      <c r="AKU1" s="211"/>
      <c r="AKV1" s="211"/>
      <c r="AKW1" s="211"/>
      <c r="AKX1" s="211"/>
      <c r="AKY1" s="211"/>
      <c r="AKZ1" s="211"/>
      <c r="ALA1" s="211"/>
      <c r="ALB1" s="211"/>
      <c r="ALC1" s="211"/>
      <c r="ALD1" s="211"/>
      <c r="ALE1" s="211"/>
      <c r="ALF1" s="211"/>
      <c r="ALG1" s="211"/>
      <c r="ALH1" s="211"/>
      <c r="ALI1" s="211"/>
      <c r="ALJ1" s="211"/>
      <c r="ALK1" s="211"/>
      <c r="ALL1" s="211"/>
      <c r="ALM1" s="211"/>
      <c r="ALN1" s="211"/>
      <c r="ALO1" s="211"/>
      <c r="ALP1" s="211"/>
      <c r="ALQ1" s="211"/>
      <c r="ALR1" s="211"/>
      <c r="ALS1" s="211"/>
      <c r="ALT1" s="211"/>
      <c r="ALU1" s="211"/>
      <c r="ALV1" s="211"/>
      <c r="ALW1" s="211"/>
      <c r="ALX1" s="211"/>
      <c r="ALY1" s="211"/>
      <c r="ALZ1" s="211"/>
      <c r="AMA1" s="211"/>
      <c r="AMB1" s="211"/>
      <c r="AMC1" s="211"/>
      <c r="AMD1" s="211"/>
      <c r="AME1" s="211"/>
      <c r="AMF1" s="211"/>
      <c r="AMG1" s="211"/>
      <c r="AMH1" s="211"/>
      <c r="AMI1" s="211"/>
      <c r="AMJ1" s="211"/>
    </row>
    <row r="2" spans="1:1024" s="212" customFormat="1" ht="22.35" customHeight="1" x14ac:dyDescent="0.25">
      <c r="A2" s="211"/>
      <c r="B2" s="495" t="s">
        <v>594</v>
      </c>
      <c r="C2" s="495"/>
      <c r="D2" s="495"/>
      <c r="E2" s="495"/>
      <c r="F2" s="495"/>
      <c r="G2" s="211"/>
      <c r="H2" s="211"/>
      <c r="I2" s="211"/>
      <c r="J2" s="211"/>
      <c r="K2" s="211"/>
      <c r="L2" s="211"/>
      <c r="M2" s="211"/>
      <c r="N2" s="211"/>
      <c r="O2" s="211"/>
      <c r="P2" s="211"/>
      <c r="Q2" s="211"/>
      <c r="R2" s="211"/>
      <c r="S2" s="211"/>
      <c r="T2" s="211"/>
      <c r="U2" s="211"/>
      <c r="V2" s="211"/>
      <c r="W2" s="211"/>
      <c r="X2" s="211"/>
      <c r="Y2" s="211"/>
      <c r="Z2" s="211"/>
      <c r="AA2" s="211"/>
      <c r="AB2" s="211"/>
      <c r="AC2" s="211"/>
      <c r="AD2" s="211"/>
      <c r="AE2" s="211"/>
      <c r="AF2" s="211"/>
      <c r="AG2" s="211"/>
      <c r="AH2" s="211"/>
      <c r="AI2" s="211"/>
      <c r="AJ2" s="211"/>
      <c r="AK2" s="211"/>
      <c r="AL2" s="211"/>
      <c r="AM2" s="211"/>
      <c r="AN2" s="211"/>
      <c r="AO2" s="211"/>
      <c r="AP2" s="211"/>
      <c r="AQ2" s="211"/>
      <c r="AR2" s="211"/>
      <c r="AS2" s="211"/>
      <c r="AT2" s="211"/>
      <c r="AU2" s="211"/>
      <c r="AV2" s="211"/>
      <c r="AW2" s="211"/>
      <c r="AX2" s="211"/>
      <c r="AY2" s="211"/>
      <c r="AZ2" s="211"/>
      <c r="BA2" s="211"/>
      <c r="BB2" s="211"/>
      <c r="BC2" s="211"/>
      <c r="BD2" s="211"/>
      <c r="BE2" s="211"/>
      <c r="BF2" s="211"/>
      <c r="BG2" s="211"/>
      <c r="BH2" s="211"/>
      <c r="BI2" s="211"/>
      <c r="BJ2" s="211"/>
      <c r="BK2" s="211"/>
      <c r="BL2" s="211"/>
      <c r="BM2" s="211"/>
      <c r="BN2" s="211"/>
      <c r="BO2" s="211"/>
      <c r="BP2" s="211"/>
      <c r="BQ2" s="211"/>
      <c r="BR2" s="211"/>
      <c r="BS2" s="211"/>
      <c r="BT2" s="211"/>
      <c r="BU2" s="211"/>
      <c r="BV2" s="211"/>
      <c r="BW2" s="211"/>
      <c r="BX2" s="211"/>
      <c r="BY2" s="211"/>
      <c r="BZ2" s="211"/>
      <c r="CA2" s="211"/>
      <c r="CB2" s="211"/>
      <c r="CC2" s="211"/>
      <c r="CD2" s="211"/>
      <c r="CE2" s="211"/>
      <c r="CF2" s="211"/>
      <c r="CG2" s="211"/>
      <c r="CH2" s="211"/>
      <c r="CI2" s="211"/>
      <c r="CJ2" s="211"/>
      <c r="CK2" s="211"/>
      <c r="CL2" s="211"/>
      <c r="CM2" s="211"/>
      <c r="CN2" s="211"/>
      <c r="CO2" s="211"/>
      <c r="CP2" s="211"/>
      <c r="CQ2" s="211"/>
      <c r="CR2" s="211"/>
      <c r="CS2" s="211"/>
      <c r="CT2" s="211"/>
      <c r="CU2" s="211"/>
      <c r="CV2" s="211"/>
      <c r="CW2" s="211"/>
      <c r="CX2" s="211"/>
      <c r="CY2" s="211"/>
      <c r="CZ2" s="211"/>
      <c r="DA2" s="211"/>
      <c r="DB2" s="211"/>
      <c r="DC2" s="211"/>
      <c r="DD2" s="211"/>
      <c r="DE2" s="211"/>
      <c r="DF2" s="211"/>
      <c r="DG2" s="211"/>
      <c r="DH2" s="211"/>
      <c r="DI2" s="211"/>
      <c r="DJ2" s="211"/>
      <c r="DK2" s="211"/>
      <c r="DL2" s="211"/>
      <c r="DM2" s="211"/>
      <c r="DN2" s="211"/>
      <c r="DO2" s="211"/>
      <c r="DP2" s="211"/>
      <c r="DQ2" s="211"/>
      <c r="DR2" s="211"/>
      <c r="DS2" s="211"/>
      <c r="DT2" s="211"/>
      <c r="DU2" s="211"/>
      <c r="DV2" s="211"/>
      <c r="DW2" s="211"/>
      <c r="DX2" s="211"/>
      <c r="DY2" s="211"/>
      <c r="DZ2" s="211"/>
      <c r="EA2" s="211"/>
      <c r="EB2" s="211"/>
      <c r="EC2" s="211"/>
      <c r="ED2" s="211"/>
      <c r="EE2" s="211"/>
      <c r="EF2" s="211"/>
      <c r="EG2" s="211"/>
      <c r="EH2" s="211"/>
      <c r="EI2" s="211"/>
      <c r="EJ2" s="211"/>
      <c r="EK2" s="211"/>
      <c r="EL2" s="211"/>
      <c r="EM2" s="211"/>
      <c r="EN2" s="211"/>
      <c r="EO2" s="211"/>
      <c r="EP2" s="211"/>
      <c r="EQ2" s="211"/>
      <c r="ER2" s="211"/>
      <c r="ES2" s="211"/>
      <c r="ET2" s="211"/>
      <c r="EU2" s="211"/>
      <c r="EV2" s="211"/>
      <c r="EW2" s="211"/>
      <c r="EX2" s="211"/>
      <c r="EY2" s="211"/>
      <c r="EZ2" s="211"/>
      <c r="FA2" s="211"/>
      <c r="FB2" s="211"/>
      <c r="FC2" s="211"/>
      <c r="FD2" s="211"/>
      <c r="FE2" s="211"/>
      <c r="FF2" s="211"/>
      <c r="FG2" s="211"/>
      <c r="FH2" s="211"/>
      <c r="FI2" s="211"/>
      <c r="FJ2" s="211"/>
      <c r="FK2" s="211"/>
      <c r="FL2" s="211"/>
      <c r="FM2" s="211"/>
      <c r="FN2" s="211"/>
      <c r="FO2" s="211"/>
      <c r="FP2" s="211"/>
      <c r="FQ2" s="211"/>
      <c r="FR2" s="211"/>
      <c r="FS2" s="211"/>
      <c r="FT2" s="211"/>
      <c r="FU2" s="211"/>
      <c r="FV2" s="211"/>
      <c r="FW2" s="211"/>
      <c r="FX2" s="211"/>
      <c r="FY2" s="211"/>
      <c r="FZ2" s="211"/>
      <c r="GA2" s="211"/>
      <c r="GB2" s="211"/>
      <c r="GC2" s="211"/>
      <c r="GD2" s="211"/>
      <c r="GE2" s="211"/>
      <c r="GF2" s="211"/>
      <c r="GG2" s="211"/>
      <c r="GH2" s="211"/>
      <c r="GI2" s="211"/>
      <c r="GJ2" s="211"/>
      <c r="GK2" s="211"/>
      <c r="GL2" s="211"/>
      <c r="GM2" s="211"/>
      <c r="GN2" s="211"/>
      <c r="GO2" s="211"/>
      <c r="GP2" s="211"/>
      <c r="GQ2" s="211"/>
      <c r="GR2" s="211"/>
      <c r="GS2" s="211"/>
      <c r="GT2" s="211"/>
      <c r="GU2" s="211"/>
      <c r="GV2" s="211"/>
      <c r="GW2" s="211"/>
      <c r="GX2" s="211"/>
      <c r="GY2" s="211"/>
      <c r="GZ2" s="211"/>
      <c r="HA2" s="211"/>
      <c r="HB2" s="211"/>
      <c r="HC2" s="211"/>
      <c r="HD2" s="211"/>
      <c r="HE2" s="211"/>
      <c r="HF2" s="211"/>
      <c r="HG2" s="211"/>
      <c r="HH2" s="211"/>
      <c r="HI2" s="211"/>
      <c r="HJ2" s="211"/>
      <c r="HK2" s="211"/>
      <c r="HL2" s="211"/>
      <c r="HM2" s="211"/>
      <c r="HN2" s="211"/>
      <c r="HO2" s="211"/>
      <c r="HP2" s="211"/>
      <c r="HQ2" s="211"/>
      <c r="HR2" s="211"/>
      <c r="HS2" s="211"/>
      <c r="HT2" s="211"/>
      <c r="HU2" s="211"/>
      <c r="HV2" s="211"/>
      <c r="HW2" s="211"/>
      <c r="HX2" s="211"/>
      <c r="HY2" s="211"/>
      <c r="HZ2" s="211"/>
      <c r="IA2" s="211"/>
      <c r="IB2" s="211"/>
      <c r="IC2" s="211"/>
      <c r="ID2" s="211"/>
      <c r="IE2" s="211"/>
      <c r="IF2" s="211"/>
      <c r="IG2" s="211"/>
      <c r="IH2" s="211"/>
      <c r="II2" s="211"/>
      <c r="IJ2" s="211"/>
      <c r="IK2" s="211"/>
      <c r="IL2" s="211"/>
      <c r="IM2" s="211"/>
      <c r="IN2" s="211"/>
      <c r="IO2" s="211"/>
      <c r="IP2" s="211"/>
      <c r="IQ2" s="211"/>
      <c r="IR2" s="211"/>
      <c r="IS2" s="211"/>
      <c r="IT2" s="211"/>
      <c r="IU2" s="211"/>
      <c r="IV2" s="211"/>
      <c r="IW2" s="211"/>
      <c r="IX2" s="211"/>
      <c r="IY2" s="211"/>
      <c r="IZ2" s="211"/>
      <c r="JA2" s="211"/>
      <c r="JB2" s="211"/>
      <c r="JC2" s="211"/>
      <c r="JD2" s="211"/>
      <c r="JE2" s="211"/>
      <c r="JF2" s="211"/>
      <c r="JG2" s="211"/>
      <c r="JH2" s="211"/>
      <c r="JI2" s="211"/>
      <c r="JJ2" s="211"/>
      <c r="JK2" s="211"/>
      <c r="JL2" s="211"/>
      <c r="JM2" s="211"/>
      <c r="JN2" s="211"/>
      <c r="JO2" s="211"/>
      <c r="JP2" s="211"/>
      <c r="JQ2" s="211"/>
      <c r="JR2" s="211"/>
      <c r="JS2" s="211"/>
      <c r="JT2" s="211"/>
      <c r="JU2" s="211"/>
      <c r="JV2" s="211"/>
      <c r="JW2" s="211"/>
      <c r="JX2" s="211"/>
      <c r="JY2" s="211"/>
      <c r="JZ2" s="211"/>
      <c r="KA2" s="211"/>
      <c r="KB2" s="211"/>
      <c r="KC2" s="211"/>
      <c r="KD2" s="211"/>
      <c r="KE2" s="211"/>
      <c r="KF2" s="211"/>
      <c r="KG2" s="211"/>
      <c r="KH2" s="211"/>
      <c r="KI2" s="211"/>
      <c r="KJ2" s="211"/>
      <c r="KK2" s="211"/>
      <c r="KL2" s="211"/>
      <c r="KM2" s="211"/>
      <c r="KN2" s="211"/>
      <c r="KO2" s="211"/>
      <c r="KP2" s="211"/>
      <c r="KQ2" s="211"/>
      <c r="KR2" s="211"/>
      <c r="KS2" s="211"/>
      <c r="KT2" s="211"/>
      <c r="KU2" s="211"/>
      <c r="KV2" s="211"/>
      <c r="KW2" s="211"/>
      <c r="KX2" s="211"/>
      <c r="KY2" s="211"/>
      <c r="KZ2" s="211"/>
      <c r="LA2" s="211"/>
      <c r="LB2" s="211"/>
      <c r="LC2" s="211"/>
      <c r="LD2" s="211"/>
      <c r="LE2" s="211"/>
      <c r="LF2" s="211"/>
      <c r="LG2" s="211"/>
      <c r="LH2" s="211"/>
      <c r="LI2" s="211"/>
      <c r="LJ2" s="211"/>
      <c r="LK2" s="211"/>
      <c r="LL2" s="211"/>
      <c r="LM2" s="211"/>
      <c r="LN2" s="211"/>
      <c r="LO2" s="211"/>
      <c r="LP2" s="211"/>
      <c r="LQ2" s="211"/>
      <c r="LR2" s="211"/>
      <c r="LS2" s="211"/>
      <c r="LT2" s="211"/>
      <c r="LU2" s="211"/>
      <c r="LV2" s="211"/>
      <c r="LW2" s="211"/>
      <c r="LX2" s="211"/>
      <c r="LY2" s="211"/>
      <c r="LZ2" s="211"/>
      <c r="MA2" s="211"/>
      <c r="MB2" s="211"/>
      <c r="MC2" s="211"/>
      <c r="MD2" s="211"/>
      <c r="ME2" s="211"/>
      <c r="MF2" s="211"/>
      <c r="MG2" s="211"/>
      <c r="MH2" s="211"/>
      <c r="MI2" s="211"/>
      <c r="MJ2" s="211"/>
      <c r="MK2" s="211"/>
      <c r="ML2" s="211"/>
      <c r="MM2" s="211"/>
      <c r="MN2" s="211"/>
      <c r="MO2" s="211"/>
      <c r="MP2" s="211"/>
      <c r="MQ2" s="211"/>
      <c r="MR2" s="211"/>
      <c r="MS2" s="211"/>
      <c r="MT2" s="211"/>
      <c r="MU2" s="211"/>
      <c r="MV2" s="211"/>
      <c r="MW2" s="211"/>
      <c r="MX2" s="211"/>
      <c r="MY2" s="211"/>
      <c r="MZ2" s="211"/>
      <c r="NA2" s="211"/>
      <c r="NB2" s="211"/>
      <c r="NC2" s="211"/>
      <c r="ND2" s="211"/>
      <c r="NE2" s="211"/>
      <c r="NF2" s="211"/>
      <c r="NG2" s="211"/>
      <c r="NH2" s="211"/>
      <c r="NI2" s="211"/>
      <c r="NJ2" s="211"/>
      <c r="NK2" s="211"/>
      <c r="NL2" s="211"/>
      <c r="NM2" s="211"/>
      <c r="NN2" s="211"/>
      <c r="NO2" s="211"/>
      <c r="NP2" s="211"/>
      <c r="NQ2" s="211"/>
      <c r="NR2" s="211"/>
      <c r="NS2" s="211"/>
      <c r="NT2" s="211"/>
      <c r="NU2" s="211"/>
      <c r="NV2" s="211"/>
      <c r="NW2" s="211"/>
      <c r="NX2" s="211"/>
      <c r="NY2" s="211"/>
      <c r="NZ2" s="211"/>
      <c r="OA2" s="211"/>
      <c r="OB2" s="211"/>
      <c r="OC2" s="211"/>
      <c r="OD2" s="211"/>
      <c r="OE2" s="211"/>
      <c r="OF2" s="211"/>
      <c r="OG2" s="211"/>
      <c r="OH2" s="211"/>
      <c r="OI2" s="211"/>
      <c r="OJ2" s="211"/>
      <c r="OK2" s="211"/>
      <c r="OL2" s="211"/>
      <c r="OM2" s="211"/>
      <c r="ON2" s="211"/>
      <c r="OO2" s="211"/>
      <c r="OP2" s="211"/>
      <c r="OQ2" s="211"/>
      <c r="OR2" s="211"/>
      <c r="OS2" s="211"/>
      <c r="OT2" s="211"/>
      <c r="OU2" s="211"/>
      <c r="OV2" s="211"/>
      <c r="OW2" s="211"/>
      <c r="OX2" s="211"/>
      <c r="OY2" s="211"/>
      <c r="OZ2" s="211"/>
      <c r="PA2" s="211"/>
      <c r="PB2" s="211"/>
      <c r="PC2" s="211"/>
      <c r="PD2" s="211"/>
      <c r="PE2" s="211"/>
      <c r="PF2" s="211"/>
      <c r="PG2" s="211"/>
      <c r="PH2" s="211"/>
      <c r="PI2" s="211"/>
      <c r="PJ2" s="211"/>
      <c r="PK2" s="211"/>
      <c r="PL2" s="211"/>
      <c r="PM2" s="211"/>
      <c r="PN2" s="211"/>
      <c r="PO2" s="211"/>
      <c r="PP2" s="211"/>
      <c r="PQ2" s="211"/>
      <c r="PR2" s="211"/>
      <c r="PS2" s="211"/>
      <c r="PT2" s="211"/>
      <c r="PU2" s="211"/>
      <c r="PV2" s="211"/>
      <c r="PW2" s="211"/>
      <c r="PX2" s="211"/>
      <c r="PY2" s="211"/>
      <c r="PZ2" s="211"/>
      <c r="QA2" s="211"/>
      <c r="QB2" s="211"/>
      <c r="QC2" s="211"/>
      <c r="QD2" s="211"/>
      <c r="QE2" s="211"/>
      <c r="QF2" s="211"/>
      <c r="QG2" s="211"/>
      <c r="QH2" s="211"/>
      <c r="QI2" s="211"/>
      <c r="QJ2" s="211"/>
      <c r="QK2" s="211"/>
      <c r="QL2" s="211"/>
      <c r="QM2" s="211"/>
      <c r="QN2" s="211"/>
      <c r="QO2" s="211"/>
      <c r="QP2" s="211"/>
      <c r="QQ2" s="211"/>
      <c r="QR2" s="211"/>
      <c r="QS2" s="211"/>
      <c r="QT2" s="211"/>
      <c r="QU2" s="211"/>
      <c r="QV2" s="211"/>
      <c r="QW2" s="211"/>
      <c r="QX2" s="211"/>
      <c r="QY2" s="211"/>
      <c r="QZ2" s="211"/>
      <c r="RA2" s="211"/>
      <c r="RB2" s="211"/>
      <c r="RC2" s="211"/>
      <c r="RD2" s="211"/>
      <c r="RE2" s="211"/>
      <c r="RF2" s="211"/>
      <c r="RG2" s="211"/>
      <c r="RH2" s="211"/>
      <c r="RI2" s="211"/>
      <c r="RJ2" s="211"/>
      <c r="RK2" s="211"/>
      <c r="RL2" s="211"/>
      <c r="RM2" s="211"/>
      <c r="RN2" s="211"/>
      <c r="RO2" s="211"/>
      <c r="RP2" s="211"/>
      <c r="RQ2" s="211"/>
      <c r="RR2" s="211"/>
      <c r="RS2" s="211"/>
      <c r="RT2" s="211"/>
      <c r="RU2" s="211"/>
      <c r="RV2" s="211"/>
      <c r="RW2" s="211"/>
      <c r="RX2" s="211"/>
      <c r="RY2" s="211"/>
      <c r="RZ2" s="211"/>
      <c r="SA2" s="211"/>
      <c r="SB2" s="211"/>
      <c r="SC2" s="211"/>
      <c r="SD2" s="211"/>
      <c r="SE2" s="211"/>
      <c r="SF2" s="211"/>
      <c r="SG2" s="211"/>
      <c r="SH2" s="211"/>
      <c r="SI2" s="211"/>
      <c r="SJ2" s="211"/>
      <c r="SK2" s="211"/>
      <c r="SL2" s="211"/>
      <c r="SM2" s="211"/>
      <c r="SN2" s="211"/>
      <c r="SO2" s="211"/>
      <c r="SP2" s="211"/>
      <c r="SQ2" s="211"/>
      <c r="SR2" s="211"/>
      <c r="SS2" s="211"/>
      <c r="ST2" s="211"/>
      <c r="SU2" s="211"/>
      <c r="SV2" s="211"/>
      <c r="SW2" s="211"/>
      <c r="SX2" s="211"/>
      <c r="SY2" s="211"/>
      <c r="SZ2" s="211"/>
      <c r="TA2" s="211"/>
      <c r="TB2" s="211"/>
      <c r="TC2" s="211"/>
      <c r="TD2" s="211"/>
      <c r="TE2" s="211"/>
      <c r="TF2" s="211"/>
      <c r="TG2" s="211"/>
      <c r="TH2" s="211"/>
      <c r="TI2" s="211"/>
      <c r="TJ2" s="211"/>
      <c r="TK2" s="211"/>
      <c r="TL2" s="211"/>
      <c r="TM2" s="211"/>
      <c r="TN2" s="211"/>
      <c r="TO2" s="211"/>
      <c r="TP2" s="211"/>
      <c r="TQ2" s="211"/>
      <c r="TR2" s="211"/>
      <c r="TS2" s="211"/>
      <c r="TT2" s="211"/>
      <c r="TU2" s="211"/>
      <c r="TV2" s="211"/>
      <c r="TW2" s="211"/>
      <c r="TX2" s="211"/>
      <c r="TY2" s="211"/>
      <c r="TZ2" s="211"/>
      <c r="UA2" s="211"/>
      <c r="UB2" s="211"/>
      <c r="UC2" s="211"/>
      <c r="UD2" s="211"/>
      <c r="UE2" s="211"/>
      <c r="UF2" s="211"/>
      <c r="UG2" s="211"/>
      <c r="UH2" s="211"/>
      <c r="UI2" s="211"/>
      <c r="UJ2" s="211"/>
      <c r="UK2" s="211"/>
      <c r="UL2" s="211"/>
      <c r="UM2" s="211"/>
      <c r="UN2" s="211"/>
      <c r="UO2" s="211"/>
      <c r="UP2" s="211"/>
      <c r="UQ2" s="211"/>
      <c r="UR2" s="211"/>
      <c r="US2" s="211"/>
      <c r="UT2" s="211"/>
      <c r="UU2" s="211"/>
      <c r="UV2" s="211"/>
      <c r="UW2" s="211"/>
      <c r="UX2" s="211"/>
      <c r="UY2" s="211"/>
      <c r="UZ2" s="211"/>
      <c r="VA2" s="211"/>
      <c r="VB2" s="211"/>
      <c r="VC2" s="211"/>
      <c r="VD2" s="211"/>
      <c r="VE2" s="211"/>
      <c r="VF2" s="211"/>
      <c r="VG2" s="211"/>
      <c r="VH2" s="211"/>
      <c r="VI2" s="211"/>
      <c r="VJ2" s="211"/>
      <c r="VK2" s="211"/>
      <c r="VL2" s="211"/>
      <c r="VM2" s="211"/>
      <c r="VN2" s="211"/>
      <c r="VO2" s="211"/>
      <c r="VP2" s="211"/>
      <c r="VQ2" s="211"/>
      <c r="VR2" s="211"/>
      <c r="VS2" s="211"/>
      <c r="VT2" s="211"/>
      <c r="VU2" s="211"/>
      <c r="VV2" s="211"/>
      <c r="VW2" s="211"/>
      <c r="VX2" s="211"/>
      <c r="VY2" s="211"/>
      <c r="VZ2" s="211"/>
      <c r="WA2" s="211"/>
      <c r="WB2" s="211"/>
      <c r="WC2" s="211"/>
      <c r="WD2" s="211"/>
      <c r="WE2" s="211"/>
      <c r="WF2" s="211"/>
      <c r="WG2" s="211"/>
      <c r="WH2" s="211"/>
      <c r="WI2" s="211"/>
      <c r="WJ2" s="211"/>
      <c r="WK2" s="211"/>
      <c r="WL2" s="211"/>
      <c r="WM2" s="211"/>
      <c r="WN2" s="211"/>
      <c r="WO2" s="211"/>
      <c r="WP2" s="211"/>
      <c r="WQ2" s="211"/>
      <c r="WR2" s="211"/>
      <c r="WS2" s="211"/>
      <c r="WT2" s="211"/>
      <c r="WU2" s="211"/>
      <c r="WV2" s="211"/>
      <c r="WW2" s="211"/>
      <c r="WX2" s="211"/>
      <c r="WY2" s="211"/>
      <c r="WZ2" s="211"/>
      <c r="XA2" s="211"/>
      <c r="XB2" s="211"/>
      <c r="XC2" s="211"/>
      <c r="XD2" s="211"/>
      <c r="XE2" s="211"/>
      <c r="XF2" s="211"/>
      <c r="XG2" s="211"/>
      <c r="XH2" s="211"/>
      <c r="XI2" s="211"/>
      <c r="XJ2" s="211"/>
      <c r="XK2" s="211"/>
      <c r="XL2" s="211"/>
      <c r="XM2" s="211"/>
      <c r="XN2" s="211"/>
      <c r="XO2" s="211"/>
      <c r="XP2" s="211"/>
      <c r="XQ2" s="211"/>
      <c r="XR2" s="211"/>
      <c r="XS2" s="211"/>
      <c r="XT2" s="211"/>
      <c r="XU2" s="211"/>
      <c r="XV2" s="211"/>
      <c r="XW2" s="211"/>
      <c r="XX2" s="211"/>
      <c r="XY2" s="211"/>
      <c r="XZ2" s="211"/>
      <c r="YA2" s="211"/>
      <c r="YB2" s="211"/>
      <c r="YC2" s="211"/>
      <c r="YD2" s="211"/>
      <c r="YE2" s="211"/>
      <c r="YF2" s="211"/>
      <c r="YG2" s="211"/>
      <c r="YH2" s="211"/>
      <c r="YI2" s="211"/>
      <c r="YJ2" s="211"/>
      <c r="YK2" s="211"/>
      <c r="YL2" s="211"/>
      <c r="YM2" s="211"/>
      <c r="YN2" s="211"/>
      <c r="YO2" s="211"/>
      <c r="YP2" s="211"/>
      <c r="YQ2" s="211"/>
      <c r="YR2" s="211"/>
      <c r="YS2" s="211"/>
      <c r="YT2" s="211"/>
      <c r="YU2" s="211"/>
      <c r="YV2" s="211"/>
      <c r="YW2" s="211"/>
      <c r="YX2" s="211"/>
      <c r="YY2" s="211"/>
      <c r="YZ2" s="211"/>
      <c r="ZA2" s="211"/>
      <c r="ZB2" s="211"/>
      <c r="ZC2" s="211"/>
      <c r="ZD2" s="211"/>
      <c r="ZE2" s="211"/>
      <c r="ZF2" s="211"/>
      <c r="ZG2" s="211"/>
      <c r="ZH2" s="211"/>
      <c r="ZI2" s="211"/>
      <c r="ZJ2" s="211"/>
      <c r="ZK2" s="211"/>
      <c r="ZL2" s="211"/>
      <c r="ZM2" s="211"/>
      <c r="ZN2" s="211"/>
      <c r="ZO2" s="211"/>
      <c r="ZP2" s="211"/>
      <c r="ZQ2" s="211"/>
      <c r="ZR2" s="211"/>
      <c r="ZS2" s="211"/>
      <c r="ZT2" s="211"/>
      <c r="ZU2" s="211"/>
      <c r="ZV2" s="211"/>
      <c r="ZW2" s="211"/>
      <c r="ZX2" s="211"/>
      <c r="ZY2" s="211"/>
      <c r="ZZ2" s="211"/>
      <c r="AAA2" s="211"/>
      <c r="AAB2" s="211"/>
      <c r="AAC2" s="211"/>
      <c r="AAD2" s="211"/>
      <c r="AAE2" s="211"/>
      <c r="AAF2" s="211"/>
      <c r="AAG2" s="211"/>
      <c r="AAH2" s="211"/>
      <c r="AAI2" s="211"/>
      <c r="AAJ2" s="211"/>
      <c r="AAK2" s="211"/>
      <c r="AAL2" s="211"/>
      <c r="AAM2" s="211"/>
      <c r="AAN2" s="211"/>
      <c r="AAO2" s="211"/>
      <c r="AAP2" s="211"/>
      <c r="AAQ2" s="211"/>
      <c r="AAR2" s="211"/>
      <c r="AAS2" s="211"/>
      <c r="AAT2" s="211"/>
      <c r="AAU2" s="211"/>
      <c r="AAV2" s="211"/>
      <c r="AAW2" s="211"/>
      <c r="AAX2" s="211"/>
      <c r="AAY2" s="211"/>
      <c r="AAZ2" s="211"/>
      <c r="ABA2" s="211"/>
      <c r="ABB2" s="211"/>
      <c r="ABC2" s="211"/>
      <c r="ABD2" s="211"/>
      <c r="ABE2" s="211"/>
      <c r="ABF2" s="211"/>
      <c r="ABG2" s="211"/>
      <c r="ABH2" s="211"/>
      <c r="ABI2" s="211"/>
      <c r="ABJ2" s="211"/>
      <c r="ABK2" s="211"/>
      <c r="ABL2" s="211"/>
      <c r="ABM2" s="211"/>
      <c r="ABN2" s="211"/>
      <c r="ABO2" s="211"/>
      <c r="ABP2" s="211"/>
      <c r="ABQ2" s="211"/>
      <c r="ABR2" s="211"/>
      <c r="ABS2" s="211"/>
      <c r="ABT2" s="211"/>
      <c r="ABU2" s="211"/>
      <c r="ABV2" s="211"/>
      <c r="ABW2" s="211"/>
      <c r="ABX2" s="211"/>
      <c r="ABY2" s="211"/>
      <c r="ABZ2" s="211"/>
      <c r="ACA2" s="211"/>
      <c r="ACB2" s="211"/>
      <c r="ACC2" s="211"/>
      <c r="ACD2" s="211"/>
      <c r="ACE2" s="211"/>
      <c r="ACF2" s="211"/>
      <c r="ACG2" s="211"/>
      <c r="ACH2" s="211"/>
      <c r="ACI2" s="211"/>
      <c r="ACJ2" s="211"/>
      <c r="ACK2" s="211"/>
      <c r="ACL2" s="211"/>
      <c r="ACM2" s="211"/>
      <c r="ACN2" s="211"/>
      <c r="ACO2" s="211"/>
      <c r="ACP2" s="211"/>
      <c r="ACQ2" s="211"/>
      <c r="ACR2" s="211"/>
      <c r="ACS2" s="211"/>
      <c r="ACT2" s="211"/>
      <c r="ACU2" s="211"/>
      <c r="ACV2" s="211"/>
      <c r="ACW2" s="211"/>
      <c r="ACX2" s="211"/>
      <c r="ACY2" s="211"/>
      <c r="ACZ2" s="211"/>
      <c r="ADA2" s="211"/>
      <c r="ADB2" s="211"/>
      <c r="ADC2" s="211"/>
      <c r="ADD2" s="211"/>
      <c r="ADE2" s="211"/>
      <c r="ADF2" s="211"/>
      <c r="ADG2" s="211"/>
      <c r="ADH2" s="211"/>
      <c r="ADI2" s="211"/>
      <c r="ADJ2" s="211"/>
      <c r="ADK2" s="211"/>
      <c r="ADL2" s="211"/>
      <c r="ADM2" s="211"/>
      <c r="ADN2" s="211"/>
      <c r="ADO2" s="211"/>
      <c r="ADP2" s="211"/>
      <c r="ADQ2" s="211"/>
      <c r="ADR2" s="211"/>
      <c r="ADS2" s="211"/>
      <c r="ADT2" s="211"/>
      <c r="ADU2" s="211"/>
      <c r="ADV2" s="211"/>
      <c r="ADW2" s="211"/>
      <c r="ADX2" s="211"/>
      <c r="ADY2" s="211"/>
      <c r="ADZ2" s="211"/>
      <c r="AEA2" s="211"/>
      <c r="AEB2" s="211"/>
      <c r="AEC2" s="211"/>
      <c r="AED2" s="211"/>
      <c r="AEE2" s="211"/>
      <c r="AEF2" s="211"/>
      <c r="AEG2" s="211"/>
      <c r="AEH2" s="211"/>
      <c r="AEI2" s="211"/>
      <c r="AEJ2" s="211"/>
      <c r="AEK2" s="211"/>
      <c r="AEL2" s="211"/>
      <c r="AEM2" s="211"/>
      <c r="AEN2" s="211"/>
      <c r="AEO2" s="211"/>
      <c r="AEP2" s="211"/>
      <c r="AEQ2" s="211"/>
      <c r="AER2" s="211"/>
      <c r="AES2" s="211"/>
      <c r="AET2" s="211"/>
      <c r="AEU2" s="211"/>
      <c r="AEV2" s="211"/>
      <c r="AEW2" s="211"/>
      <c r="AEX2" s="211"/>
      <c r="AEY2" s="211"/>
      <c r="AEZ2" s="211"/>
      <c r="AFA2" s="211"/>
      <c r="AFB2" s="211"/>
      <c r="AFC2" s="211"/>
      <c r="AFD2" s="211"/>
      <c r="AFE2" s="211"/>
      <c r="AFF2" s="211"/>
      <c r="AFG2" s="211"/>
      <c r="AFH2" s="211"/>
      <c r="AFI2" s="211"/>
      <c r="AFJ2" s="211"/>
      <c r="AFK2" s="211"/>
      <c r="AFL2" s="211"/>
      <c r="AFM2" s="211"/>
      <c r="AFN2" s="211"/>
      <c r="AFO2" s="211"/>
      <c r="AFP2" s="211"/>
      <c r="AFQ2" s="211"/>
      <c r="AFR2" s="211"/>
      <c r="AFS2" s="211"/>
      <c r="AFT2" s="211"/>
      <c r="AFU2" s="211"/>
      <c r="AFV2" s="211"/>
      <c r="AFW2" s="211"/>
      <c r="AFX2" s="211"/>
      <c r="AFY2" s="211"/>
      <c r="AFZ2" s="211"/>
      <c r="AGA2" s="211"/>
      <c r="AGB2" s="211"/>
      <c r="AGC2" s="211"/>
      <c r="AGD2" s="211"/>
      <c r="AGE2" s="211"/>
      <c r="AGF2" s="211"/>
      <c r="AGG2" s="211"/>
      <c r="AGH2" s="211"/>
      <c r="AGI2" s="211"/>
      <c r="AGJ2" s="211"/>
      <c r="AGK2" s="211"/>
      <c r="AGL2" s="211"/>
      <c r="AGM2" s="211"/>
      <c r="AGN2" s="211"/>
      <c r="AGO2" s="211"/>
      <c r="AGP2" s="211"/>
      <c r="AGQ2" s="211"/>
      <c r="AGR2" s="211"/>
      <c r="AGS2" s="211"/>
      <c r="AGT2" s="211"/>
      <c r="AGU2" s="211"/>
      <c r="AGV2" s="211"/>
      <c r="AGW2" s="211"/>
      <c r="AGX2" s="211"/>
      <c r="AGY2" s="211"/>
      <c r="AGZ2" s="211"/>
      <c r="AHA2" s="211"/>
      <c r="AHB2" s="211"/>
      <c r="AHC2" s="211"/>
      <c r="AHD2" s="211"/>
      <c r="AHE2" s="211"/>
      <c r="AHF2" s="211"/>
      <c r="AHG2" s="211"/>
      <c r="AHH2" s="211"/>
      <c r="AHI2" s="211"/>
      <c r="AHJ2" s="211"/>
      <c r="AHK2" s="211"/>
      <c r="AHL2" s="211"/>
      <c r="AHM2" s="211"/>
      <c r="AHN2" s="211"/>
      <c r="AHO2" s="211"/>
      <c r="AHP2" s="211"/>
      <c r="AHQ2" s="211"/>
      <c r="AHR2" s="211"/>
      <c r="AHS2" s="211"/>
      <c r="AHT2" s="211"/>
      <c r="AHU2" s="211"/>
      <c r="AHV2" s="211"/>
      <c r="AHW2" s="211"/>
      <c r="AHX2" s="211"/>
      <c r="AHY2" s="211"/>
      <c r="AHZ2" s="211"/>
      <c r="AIA2" s="211"/>
      <c r="AIB2" s="211"/>
      <c r="AIC2" s="211"/>
      <c r="AID2" s="211"/>
      <c r="AIE2" s="211"/>
      <c r="AIF2" s="211"/>
      <c r="AIG2" s="211"/>
      <c r="AIH2" s="211"/>
      <c r="AII2" s="211"/>
      <c r="AIJ2" s="211"/>
      <c r="AIK2" s="211"/>
      <c r="AIL2" s="211"/>
      <c r="AIM2" s="211"/>
      <c r="AIN2" s="211"/>
      <c r="AIO2" s="211"/>
      <c r="AIP2" s="211"/>
      <c r="AIQ2" s="211"/>
      <c r="AIR2" s="211"/>
      <c r="AIS2" s="211"/>
      <c r="AIT2" s="211"/>
      <c r="AIU2" s="211"/>
      <c r="AIV2" s="211"/>
      <c r="AIW2" s="211"/>
      <c r="AIX2" s="211"/>
      <c r="AIY2" s="211"/>
      <c r="AIZ2" s="211"/>
      <c r="AJA2" s="211"/>
      <c r="AJB2" s="211"/>
      <c r="AJC2" s="211"/>
      <c r="AJD2" s="211"/>
      <c r="AJE2" s="211"/>
      <c r="AJF2" s="211"/>
      <c r="AJG2" s="211"/>
      <c r="AJH2" s="211"/>
      <c r="AJI2" s="211"/>
      <c r="AJJ2" s="211"/>
      <c r="AJK2" s="211"/>
      <c r="AJL2" s="211"/>
      <c r="AJM2" s="211"/>
      <c r="AJN2" s="211"/>
      <c r="AJO2" s="211"/>
      <c r="AJP2" s="211"/>
      <c r="AJQ2" s="211"/>
      <c r="AJR2" s="211"/>
      <c r="AJS2" s="211"/>
      <c r="AJT2" s="211"/>
      <c r="AJU2" s="211"/>
      <c r="AJV2" s="211"/>
      <c r="AJW2" s="211"/>
      <c r="AJX2" s="211"/>
      <c r="AJY2" s="211"/>
      <c r="AJZ2" s="211"/>
      <c r="AKA2" s="211"/>
      <c r="AKB2" s="211"/>
      <c r="AKC2" s="211"/>
      <c r="AKD2" s="211"/>
      <c r="AKE2" s="211"/>
      <c r="AKF2" s="211"/>
      <c r="AKG2" s="211"/>
      <c r="AKH2" s="211"/>
      <c r="AKI2" s="211"/>
      <c r="AKJ2" s="211"/>
      <c r="AKK2" s="211"/>
      <c r="AKL2" s="211"/>
      <c r="AKM2" s="211"/>
      <c r="AKN2" s="211"/>
      <c r="AKO2" s="211"/>
      <c r="AKP2" s="211"/>
      <c r="AKQ2" s="211"/>
      <c r="AKR2" s="211"/>
      <c r="AKS2" s="211"/>
      <c r="AKT2" s="211"/>
      <c r="AKU2" s="211"/>
      <c r="AKV2" s="211"/>
      <c r="AKW2" s="211"/>
      <c r="AKX2" s="211"/>
      <c r="AKY2" s="211"/>
      <c r="AKZ2" s="211"/>
      <c r="ALA2" s="211"/>
      <c r="ALB2" s="211"/>
      <c r="ALC2" s="211"/>
      <c r="ALD2" s="211"/>
      <c r="ALE2" s="211"/>
      <c r="ALF2" s="211"/>
      <c r="ALG2" s="211"/>
      <c r="ALH2" s="211"/>
      <c r="ALI2" s="211"/>
      <c r="ALJ2" s="211"/>
      <c r="ALK2" s="211"/>
      <c r="ALL2" s="211"/>
      <c r="ALM2" s="211"/>
      <c r="ALN2" s="211"/>
      <c r="ALO2" s="211"/>
      <c r="ALP2" s="211"/>
      <c r="ALQ2" s="211"/>
      <c r="ALR2" s="211"/>
      <c r="ALS2" s="211"/>
      <c r="ALT2" s="211"/>
      <c r="ALU2" s="211"/>
      <c r="ALV2" s="211"/>
      <c r="ALW2" s="211"/>
      <c r="ALX2" s="211"/>
      <c r="ALY2" s="211"/>
      <c r="ALZ2" s="211"/>
      <c r="AMA2" s="211"/>
      <c r="AMB2" s="211"/>
      <c r="AMC2" s="211"/>
      <c r="AMD2" s="211"/>
      <c r="AME2" s="211"/>
      <c r="AMF2" s="211"/>
      <c r="AMG2" s="211"/>
      <c r="AMH2" s="211"/>
      <c r="AMI2" s="211"/>
      <c r="AMJ2" s="211"/>
    </row>
    <row r="3" spans="1:1024" s="216" customFormat="1" x14ac:dyDescent="0.25"/>
    <row r="4" spans="1:1024" s="216" customFormat="1" x14ac:dyDescent="0.25">
      <c r="B4" s="217" t="s">
        <v>87</v>
      </c>
      <c r="C4" s="494" t="s">
        <v>591</v>
      </c>
      <c r="D4" s="494"/>
      <c r="E4" s="494"/>
      <c r="F4" s="494"/>
    </row>
    <row r="5" spans="1:1024" s="216" customFormat="1" ht="31.5" x14ac:dyDescent="0.25">
      <c r="B5" s="218" t="s">
        <v>88</v>
      </c>
      <c r="C5" s="494" t="s">
        <v>466</v>
      </c>
      <c r="D5" s="494"/>
      <c r="E5" s="494"/>
      <c r="F5" s="494"/>
    </row>
    <row r="6" spans="1:1024" s="216" customFormat="1" x14ac:dyDescent="0.25">
      <c r="B6" s="217" t="s">
        <v>89</v>
      </c>
      <c r="C6" s="494" t="s">
        <v>590</v>
      </c>
      <c r="D6" s="494"/>
      <c r="E6" s="494"/>
      <c r="F6" s="494"/>
    </row>
    <row r="7" spans="1:1024" s="216" customFormat="1" x14ac:dyDescent="0.25">
      <c r="B7" s="217" t="s">
        <v>90</v>
      </c>
      <c r="C7" s="494" t="s">
        <v>589</v>
      </c>
      <c r="D7" s="494"/>
      <c r="E7" s="494"/>
      <c r="F7" s="494"/>
    </row>
    <row r="8" spans="1:1024" s="216" customFormat="1" x14ac:dyDescent="0.25">
      <c r="B8" s="217" t="s">
        <v>588</v>
      </c>
      <c r="C8" s="494" t="s">
        <v>220</v>
      </c>
      <c r="D8" s="494"/>
      <c r="E8" s="494"/>
      <c r="F8" s="494"/>
    </row>
    <row r="9" spans="1:1024" s="216" customFormat="1" x14ac:dyDescent="0.25">
      <c r="B9" s="217" t="s">
        <v>91</v>
      </c>
      <c r="C9" s="494">
        <v>4</v>
      </c>
      <c r="D9" s="494"/>
      <c r="E9" s="494"/>
      <c r="F9" s="494"/>
    </row>
    <row r="10" spans="1:1024" s="216" customFormat="1" x14ac:dyDescent="0.25">
      <c r="B10" s="219"/>
      <c r="C10" s="219"/>
      <c r="D10" s="219"/>
      <c r="E10" s="219"/>
      <c r="F10" s="219"/>
    </row>
    <row r="11" spans="1:1024" s="216" customFormat="1" x14ac:dyDescent="0.25">
      <c r="B11" s="496" t="s">
        <v>587</v>
      </c>
      <c r="C11" s="496"/>
      <c r="D11" s="496"/>
      <c r="E11" s="496"/>
      <c r="F11" s="496"/>
    </row>
    <row r="12" spans="1:1024" s="216" customFormat="1" x14ac:dyDescent="0.25">
      <c r="B12" s="497" t="s">
        <v>93</v>
      </c>
      <c r="C12" s="497"/>
      <c r="D12" s="497" t="s">
        <v>94</v>
      </c>
      <c r="E12" s="497"/>
      <c r="F12" s="497"/>
    </row>
    <row r="13" spans="1:1024" s="216" customFormat="1" ht="65.25" customHeight="1" x14ac:dyDescent="0.25">
      <c r="B13" s="498">
        <v>42762</v>
      </c>
      <c r="C13" s="498"/>
      <c r="D13" s="499" t="s">
        <v>586</v>
      </c>
      <c r="E13" s="499"/>
      <c r="F13" s="499"/>
    </row>
    <row r="14" spans="1:1024" s="216" customFormat="1" ht="16.5" customHeight="1" x14ac:dyDescent="0.25">
      <c r="B14" s="220"/>
      <c r="C14" s="220"/>
      <c r="D14" s="221"/>
      <c r="E14" s="221"/>
      <c r="F14" s="221"/>
    </row>
    <row r="15" spans="1:1024" s="216" customFormat="1" x14ac:dyDescent="0.25">
      <c r="B15" s="500" t="s">
        <v>595</v>
      </c>
      <c r="C15" s="500"/>
      <c r="D15" s="500" t="s">
        <v>596</v>
      </c>
      <c r="E15" s="500"/>
      <c r="F15" s="500"/>
    </row>
    <row r="16" spans="1:1024" s="216" customFormat="1" x14ac:dyDescent="0.25">
      <c r="B16" s="501"/>
      <c r="C16" s="501"/>
      <c r="D16" s="501"/>
      <c r="E16" s="501"/>
      <c r="F16" s="501"/>
    </row>
    <row r="17" spans="2:6" s="216" customFormat="1" x14ac:dyDescent="0.25">
      <c r="B17" s="219"/>
      <c r="C17" s="219"/>
      <c r="D17" s="219"/>
      <c r="E17" s="219"/>
      <c r="F17" s="219"/>
    </row>
    <row r="18" spans="2:6" s="216" customFormat="1" x14ac:dyDescent="0.25">
      <c r="B18" s="496" t="s">
        <v>583</v>
      </c>
      <c r="C18" s="496"/>
      <c r="D18" s="496"/>
      <c r="E18" s="496"/>
      <c r="F18" s="496"/>
    </row>
    <row r="19" spans="2:6" s="216" customFormat="1" x14ac:dyDescent="0.25">
      <c r="B19" s="496" t="s">
        <v>582</v>
      </c>
      <c r="C19" s="496"/>
      <c r="D19" s="496"/>
      <c r="E19" s="496" t="s">
        <v>93</v>
      </c>
      <c r="F19" s="496"/>
    </row>
    <row r="20" spans="2:6" s="216" customFormat="1" x14ac:dyDescent="0.25">
      <c r="B20" s="494" t="s">
        <v>597</v>
      </c>
      <c r="C20" s="494"/>
      <c r="D20" s="494"/>
      <c r="E20" s="503">
        <v>42762</v>
      </c>
      <c r="F20" s="494"/>
    </row>
    <row r="21" spans="2:6" s="216" customFormat="1" x14ac:dyDescent="0.25">
      <c r="B21" s="494" t="s">
        <v>580</v>
      </c>
      <c r="C21" s="494"/>
      <c r="D21" s="494"/>
      <c r="E21" s="503">
        <v>42762</v>
      </c>
      <c r="F21" s="494"/>
    </row>
    <row r="22" spans="2:6" s="216" customFormat="1" x14ac:dyDescent="0.25">
      <c r="B22" s="494" t="s">
        <v>579</v>
      </c>
      <c r="C22" s="494"/>
      <c r="D22" s="494"/>
      <c r="E22" s="503">
        <v>42762</v>
      </c>
      <c r="F22" s="494"/>
    </row>
    <row r="23" spans="2:6" s="216" customFormat="1" x14ac:dyDescent="0.25">
      <c r="B23" s="494" t="s">
        <v>578</v>
      </c>
      <c r="C23" s="494"/>
      <c r="D23" s="494"/>
      <c r="E23" s="503">
        <v>42762</v>
      </c>
      <c r="F23" s="494"/>
    </row>
    <row r="24" spans="2:6" s="216" customFormat="1" x14ac:dyDescent="0.25">
      <c r="B24" s="494" t="s">
        <v>577</v>
      </c>
      <c r="C24" s="494"/>
      <c r="D24" s="494"/>
      <c r="E24" s="503">
        <v>42762</v>
      </c>
      <c r="F24" s="494"/>
    </row>
    <row r="25" spans="2:6" s="216" customFormat="1" x14ac:dyDescent="0.25">
      <c r="B25" s="222" t="s">
        <v>95</v>
      </c>
      <c r="C25" s="222" t="s">
        <v>96</v>
      </c>
      <c r="D25" s="222" t="s">
        <v>97</v>
      </c>
      <c r="E25" s="222" t="s">
        <v>98</v>
      </c>
      <c r="F25" s="222" t="s">
        <v>99</v>
      </c>
    </row>
    <row r="26" spans="2:6" s="216" customFormat="1" ht="31.5" x14ac:dyDescent="0.25">
      <c r="B26" s="223" t="s">
        <v>598</v>
      </c>
      <c r="C26" s="224">
        <v>21</v>
      </c>
      <c r="D26" s="224">
        <v>1</v>
      </c>
      <c r="E26" s="224"/>
      <c r="F26" s="223" t="s">
        <v>599</v>
      </c>
    </row>
    <row r="27" spans="2:6" s="216" customFormat="1" ht="33" customHeight="1" x14ac:dyDescent="0.25">
      <c r="B27" s="219"/>
      <c r="C27" s="219"/>
      <c r="D27" s="219"/>
      <c r="E27" s="219"/>
      <c r="F27" s="219"/>
    </row>
    <row r="28" spans="2:6" s="216" customFormat="1" x14ac:dyDescent="0.25">
      <c r="B28" s="504" t="s">
        <v>100</v>
      </c>
      <c r="C28" s="504"/>
      <c r="D28" s="504"/>
      <c r="E28" s="504"/>
      <c r="F28" s="504"/>
    </row>
    <row r="29" spans="2:6" s="216" customFormat="1" ht="52.35" customHeight="1" x14ac:dyDescent="0.25">
      <c r="B29" s="502" t="s">
        <v>600</v>
      </c>
      <c r="C29" s="502"/>
      <c r="D29" s="502"/>
      <c r="E29" s="502"/>
      <c r="F29" s="502"/>
    </row>
    <row r="30" spans="2:6" s="216" customFormat="1" ht="13.5" customHeight="1" x14ac:dyDescent="0.25">
      <c r="B30" s="225"/>
      <c r="C30" s="225"/>
      <c r="D30" s="225"/>
      <c r="E30" s="225"/>
      <c r="F30" s="225"/>
    </row>
    <row r="31" spans="2:6" s="216" customFormat="1" x14ac:dyDescent="0.25">
      <c r="B31" s="504" t="s">
        <v>101</v>
      </c>
      <c r="C31" s="504"/>
      <c r="D31" s="504"/>
      <c r="E31" s="504"/>
      <c r="F31" s="504"/>
    </row>
    <row r="32" spans="2:6" s="216" customFormat="1" ht="120" customHeight="1" x14ac:dyDescent="0.25">
      <c r="B32" s="502" t="s">
        <v>601</v>
      </c>
      <c r="C32" s="502"/>
      <c r="D32" s="502"/>
      <c r="E32" s="502"/>
      <c r="F32" s="502"/>
    </row>
    <row r="33" spans="2:6" s="216" customFormat="1" ht="30.75" customHeight="1" x14ac:dyDescent="0.25">
      <c r="B33" s="219"/>
      <c r="C33" s="219"/>
      <c r="D33" s="219"/>
      <c r="E33" s="219"/>
      <c r="F33" s="219"/>
    </row>
    <row r="34" spans="2:6" s="216" customFormat="1" ht="17.25" customHeight="1" x14ac:dyDescent="0.25">
      <c r="B34" s="504" t="s">
        <v>573</v>
      </c>
      <c r="C34" s="504"/>
      <c r="D34" s="504"/>
      <c r="E34" s="504"/>
      <c r="F34" s="504"/>
    </row>
    <row r="35" spans="2:6" s="216" customFormat="1" ht="28.5" customHeight="1" x14ac:dyDescent="0.25">
      <c r="B35" s="502" t="s">
        <v>602</v>
      </c>
      <c r="C35" s="502"/>
      <c r="D35" s="502"/>
      <c r="E35" s="502"/>
      <c r="F35" s="502"/>
    </row>
    <row r="36" spans="2:6" s="216" customFormat="1" ht="15.75" customHeight="1" x14ac:dyDescent="0.25">
      <c r="B36" s="219"/>
      <c r="C36" s="219"/>
      <c r="D36" s="219"/>
      <c r="E36" s="219"/>
      <c r="F36" s="219"/>
    </row>
    <row r="37" spans="2:6" s="216" customFormat="1" ht="15" customHeight="1" x14ac:dyDescent="0.25">
      <c r="B37" s="504" t="s">
        <v>571</v>
      </c>
      <c r="C37" s="504"/>
      <c r="D37" s="504"/>
      <c r="E37" s="504"/>
      <c r="F37" s="504"/>
    </row>
    <row r="38" spans="2:6" s="216" customFormat="1" ht="15.75" customHeight="1" x14ac:dyDescent="0.25">
      <c r="B38" s="502" t="s">
        <v>603</v>
      </c>
      <c r="C38" s="502"/>
      <c r="D38" s="502"/>
      <c r="E38" s="502"/>
      <c r="F38" s="502"/>
    </row>
    <row r="39" spans="2:6" s="216" customFormat="1" ht="15.75" customHeight="1" x14ac:dyDescent="0.25">
      <c r="B39" s="219"/>
      <c r="C39" s="219"/>
      <c r="D39" s="219"/>
      <c r="E39" s="219"/>
      <c r="F39" s="219"/>
    </row>
    <row r="40" spans="2:6" s="216" customFormat="1" ht="31.5" customHeight="1" x14ac:dyDescent="0.25">
      <c r="B40" s="506" t="s">
        <v>569</v>
      </c>
      <c r="C40" s="506"/>
      <c r="D40" s="506"/>
      <c r="E40" s="506"/>
      <c r="F40" s="506"/>
    </row>
    <row r="41" spans="2:6" s="216" customFormat="1" x14ac:dyDescent="0.25">
      <c r="B41" s="226" t="s">
        <v>568</v>
      </c>
      <c r="C41" s="504" t="s">
        <v>567</v>
      </c>
      <c r="D41" s="504"/>
      <c r="E41" s="504"/>
      <c r="F41" s="504"/>
    </row>
    <row r="42" spans="2:6" s="216" customFormat="1" ht="32.25" customHeight="1" x14ac:dyDescent="0.25">
      <c r="B42" s="227" t="s">
        <v>554</v>
      </c>
      <c r="C42" s="502" t="s">
        <v>604</v>
      </c>
      <c r="D42" s="502"/>
      <c r="E42" s="502"/>
      <c r="F42" s="502"/>
    </row>
    <row r="43" spans="2:6" s="216" customFormat="1" ht="34.5" customHeight="1" x14ac:dyDescent="0.25">
      <c r="B43" s="227" t="s">
        <v>558</v>
      </c>
      <c r="C43" s="502" t="s">
        <v>566</v>
      </c>
      <c r="D43" s="502"/>
      <c r="E43" s="502"/>
      <c r="F43" s="502"/>
    </row>
    <row r="44" spans="2:6" s="216" customFormat="1" x14ac:dyDescent="0.25">
      <c r="B44" s="227" t="s">
        <v>142</v>
      </c>
      <c r="C44" s="505" t="s">
        <v>605</v>
      </c>
      <c r="D44" s="505"/>
      <c r="E44" s="505"/>
      <c r="F44" s="505"/>
    </row>
    <row r="45" spans="2:6" s="216" customFormat="1" ht="47.25" x14ac:dyDescent="0.25">
      <c r="B45" s="227" t="s">
        <v>551</v>
      </c>
      <c r="C45" s="505" t="s">
        <v>606</v>
      </c>
      <c r="D45" s="505"/>
      <c r="E45" s="505"/>
      <c r="F45" s="505"/>
    </row>
    <row r="46" spans="2:6" s="216" customFormat="1" x14ac:dyDescent="0.25">
      <c r="B46" s="228"/>
      <c r="C46" s="229"/>
      <c r="D46" s="229"/>
      <c r="E46" s="229"/>
      <c r="F46" s="230"/>
    </row>
    <row r="47" spans="2:6" s="216" customFormat="1" x14ac:dyDescent="0.25">
      <c r="B47" s="504" t="s">
        <v>561</v>
      </c>
      <c r="C47" s="504"/>
      <c r="D47" s="504"/>
      <c r="E47" s="504"/>
      <c r="F47" s="504"/>
    </row>
    <row r="48" spans="2:6" s="216" customFormat="1" x14ac:dyDescent="0.25">
      <c r="B48" s="226" t="s">
        <v>560</v>
      </c>
      <c r="C48" s="504" t="s">
        <v>559</v>
      </c>
      <c r="D48" s="504"/>
      <c r="E48" s="504"/>
      <c r="F48" s="504"/>
    </row>
    <row r="49" spans="2:6" s="216" customFormat="1" x14ac:dyDescent="0.25">
      <c r="B49" s="505" t="s">
        <v>558</v>
      </c>
      <c r="C49" s="505" t="s">
        <v>21</v>
      </c>
      <c r="D49" s="505"/>
      <c r="E49" s="505"/>
      <c r="F49" s="505"/>
    </row>
    <row r="50" spans="2:6" s="216" customFormat="1" x14ac:dyDescent="0.25">
      <c r="B50" s="505"/>
      <c r="C50" s="505" t="s">
        <v>607</v>
      </c>
      <c r="D50" s="505"/>
      <c r="E50" s="505"/>
      <c r="F50" s="505"/>
    </row>
    <row r="51" spans="2:6" s="216" customFormat="1" x14ac:dyDescent="0.25">
      <c r="B51" s="505"/>
      <c r="C51" s="505" t="s">
        <v>16</v>
      </c>
      <c r="D51" s="505"/>
      <c r="E51" s="505"/>
      <c r="F51" s="505"/>
    </row>
    <row r="52" spans="2:6" s="216" customFormat="1" x14ac:dyDescent="0.25">
      <c r="B52" s="231" t="s">
        <v>142</v>
      </c>
      <c r="C52" s="505" t="s">
        <v>21</v>
      </c>
      <c r="D52" s="505"/>
      <c r="E52" s="505"/>
      <c r="F52" s="505"/>
    </row>
    <row r="53" spans="2:6" s="216" customFormat="1" ht="15.75" customHeight="1" x14ac:dyDescent="0.25">
      <c r="B53" s="502" t="s">
        <v>551</v>
      </c>
      <c r="C53" s="505" t="s">
        <v>608</v>
      </c>
      <c r="D53" s="505"/>
      <c r="E53" s="505"/>
      <c r="F53" s="505"/>
    </row>
    <row r="54" spans="2:6" s="216" customFormat="1" x14ac:dyDescent="0.25">
      <c r="B54" s="502"/>
      <c r="C54" s="505" t="s">
        <v>146</v>
      </c>
      <c r="D54" s="505"/>
      <c r="E54" s="505"/>
      <c r="F54" s="505"/>
    </row>
    <row r="55" spans="2:6" s="216" customFormat="1" x14ac:dyDescent="0.25">
      <c r="B55" s="502"/>
      <c r="C55" s="505" t="s">
        <v>13</v>
      </c>
      <c r="D55" s="505"/>
      <c r="E55" s="505"/>
      <c r="F55" s="505"/>
    </row>
    <row r="56" spans="2:6" s="216" customFormat="1" x14ac:dyDescent="0.25">
      <c r="B56" s="505" t="s">
        <v>554</v>
      </c>
      <c r="C56" s="505" t="s">
        <v>607</v>
      </c>
      <c r="D56" s="505"/>
      <c r="E56" s="505"/>
      <c r="F56" s="505"/>
    </row>
    <row r="57" spans="2:6" s="216" customFormat="1" x14ac:dyDescent="0.25">
      <c r="B57" s="505"/>
      <c r="C57" s="505"/>
      <c r="D57" s="505"/>
      <c r="E57" s="505"/>
      <c r="F57" s="505"/>
    </row>
    <row r="58" spans="2:6" s="216" customFormat="1" x14ac:dyDescent="0.25">
      <c r="B58" s="225"/>
      <c r="C58" s="232"/>
      <c r="D58" s="232"/>
      <c r="E58" s="232"/>
      <c r="F58" s="232"/>
    </row>
    <row r="59" spans="2:6" s="216" customFormat="1" x14ac:dyDescent="0.25">
      <c r="B59" s="225"/>
      <c r="C59" s="232"/>
      <c r="D59" s="232"/>
      <c r="E59" s="232"/>
      <c r="F59" s="232"/>
    </row>
    <row r="60" spans="2:6" s="216" customFormat="1" ht="0.75" customHeight="1" x14ac:dyDescent="0.25">
      <c r="B60" s="225"/>
      <c r="C60" s="232"/>
      <c r="D60" s="232"/>
      <c r="E60" s="232"/>
      <c r="F60" s="232"/>
    </row>
    <row r="61" spans="2:6" s="216" customFormat="1" hidden="1" x14ac:dyDescent="0.25">
      <c r="B61" s="225"/>
      <c r="C61" s="232"/>
      <c r="D61" s="232"/>
      <c r="E61" s="232"/>
      <c r="F61" s="232"/>
    </row>
    <row r="62" spans="2:6" s="216" customFormat="1" hidden="1" x14ac:dyDescent="0.25">
      <c r="B62" s="225"/>
      <c r="C62" s="232"/>
      <c r="D62" s="232"/>
      <c r="E62" s="232"/>
      <c r="F62" s="232"/>
    </row>
    <row r="63" spans="2:6" s="216" customFormat="1" ht="222.75" customHeight="1" x14ac:dyDescent="0.25">
      <c r="B63" s="225"/>
      <c r="C63" s="232"/>
      <c r="D63" s="232"/>
      <c r="E63" s="232"/>
      <c r="F63" s="232"/>
    </row>
    <row r="64" spans="2:6" s="216" customFormat="1" ht="25.5" customHeight="1" x14ac:dyDescent="0.25">
      <c r="B64" s="504" t="s">
        <v>105</v>
      </c>
      <c r="C64" s="504"/>
      <c r="D64" s="504"/>
      <c r="E64" s="504"/>
      <c r="F64" s="504"/>
    </row>
    <row r="65" spans="2:6" s="216" customFormat="1" ht="409.5" customHeight="1" x14ac:dyDescent="0.25">
      <c r="B65" s="507" t="s">
        <v>612</v>
      </c>
      <c r="C65" s="507"/>
      <c r="D65" s="507"/>
      <c r="E65" s="507"/>
      <c r="F65" s="507"/>
    </row>
    <row r="66" spans="2:6" s="216" customFormat="1" ht="16.5" customHeight="1" x14ac:dyDescent="0.25">
      <c r="B66" s="508" t="s">
        <v>609</v>
      </c>
      <c r="C66" s="508"/>
      <c r="D66" s="508"/>
      <c r="E66" s="508"/>
      <c r="F66" s="508"/>
    </row>
    <row r="67" spans="2:6" s="216" customFormat="1" ht="386.25" customHeight="1" x14ac:dyDescent="0.25">
      <c r="B67" s="507" t="s">
        <v>613</v>
      </c>
      <c r="C67" s="507"/>
      <c r="D67" s="507"/>
      <c r="E67" s="507"/>
      <c r="F67" s="507"/>
    </row>
    <row r="68" spans="2:6" s="216" customFormat="1" ht="409.6" customHeight="1" x14ac:dyDescent="0.25">
      <c r="B68" s="509" t="s">
        <v>614</v>
      </c>
      <c r="C68" s="510"/>
      <c r="D68" s="510"/>
      <c r="E68" s="510"/>
      <c r="F68" s="511"/>
    </row>
    <row r="69" spans="2:6" s="216" customFormat="1" ht="16.5" customHeight="1" x14ac:dyDescent="0.25">
      <c r="B69" s="233"/>
      <c r="C69" s="233"/>
      <c r="D69" s="233"/>
      <c r="E69" s="233"/>
      <c r="F69" s="233"/>
    </row>
    <row r="70" spans="2:6" s="216" customFormat="1" x14ac:dyDescent="0.25">
      <c r="B70" s="504" t="s">
        <v>473</v>
      </c>
      <c r="C70" s="504"/>
      <c r="D70" s="504"/>
      <c r="E70" s="504"/>
      <c r="F70" s="504"/>
    </row>
    <row r="71" spans="2:6" s="216" customFormat="1" x14ac:dyDescent="0.25">
      <c r="B71" s="234" t="s">
        <v>548</v>
      </c>
      <c r="C71" s="505"/>
      <c r="D71" s="505"/>
      <c r="E71" s="505"/>
      <c r="F71" s="505"/>
    </row>
    <row r="72" spans="2:6" s="216" customFormat="1" x14ac:dyDescent="0.25">
      <c r="B72" s="234" t="s">
        <v>547</v>
      </c>
      <c r="C72" s="505"/>
      <c r="D72" s="505"/>
      <c r="E72" s="505"/>
      <c r="F72" s="505"/>
    </row>
    <row r="73" spans="2:6" s="216" customFormat="1" ht="8.25" customHeight="1" x14ac:dyDescent="0.25">
      <c r="B73" s="233"/>
      <c r="C73" s="233"/>
      <c r="D73" s="233"/>
      <c r="E73" s="233"/>
      <c r="F73" s="233"/>
    </row>
    <row r="74" spans="2:6" s="216" customFormat="1" x14ac:dyDescent="0.25">
      <c r="B74" s="504" t="s">
        <v>106</v>
      </c>
      <c r="C74" s="504"/>
      <c r="D74" s="504"/>
      <c r="E74" s="504"/>
      <c r="F74" s="504"/>
    </row>
    <row r="75" spans="2:6" s="216" customFormat="1" x14ac:dyDescent="0.25">
      <c r="B75" s="505" t="s">
        <v>610</v>
      </c>
      <c r="C75" s="505"/>
      <c r="D75" s="505"/>
      <c r="E75" s="505"/>
      <c r="F75" s="505"/>
    </row>
    <row r="76" spans="2:6" s="216" customFormat="1" ht="12" customHeight="1" x14ac:dyDescent="0.25">
      <c r="B76" s="233"/>
      <c r="C76" s="233"/>
      <c r="D76" s="233"/>
      <c r="E76" s="233"/>
      <c r="F76" s="233"/>
    </row>
    <row r="77" spans="2:6" s="216" customFormat="1" ht="33.75" customHeight="1" x14ac:dyDescent="0.25">
      <c r="B77" s="506" t="s">
        <v>240</v>
      </c>
      <c r="C77" s="506"/>
      <c r="D77" s="506"/>
      <c r="E77" s="506"/>
      <c r="F77" s="506"/>
    </row>
    <row r="78" spans="2:6" s="216" customFormat="1" x14ac:dyDescent="0.25">
      <c r="B78" s="226" t="s">
        <v>241</v>
      </c>
      <c r="C78" s="226" t="s">
        <v>242</v>
      </c>
      <c r="D78" s="504" t="s">
        <v>243</v>
      </c>
      <c r="E78" s="504"/>
      <c r="F78" s="504"/>
    </row>
    <row r="79" spans="2:6" s="216" customFormat="1" ht="31.5" x14ac:dyDescent="0.25">
      <c r="B79" s="227" t="s">
        <v>544</v>
      </c>
      <c r="C79" s="234" t="s">
        <v>281</v>
      </c>
      <c r="D79" s="512"/>
      <c r="E79" s="512"/>
      <c r="F79" s="512"/>
    </row>
    <row r="80" spans="2:6" s="216" customFormat="1" x14ac:dyDescent="0.25">
      <c r="B80" s="234"/>
      <c r="C80" s="234"/>
      <c r="D80" s="512"/>
      <c r="E80" s="512"/>
      <c r="F80" s="512"/>
    </row>
    <row r="81" spans="2:6" s="216" customFormat="1" x14ac:dyDescent="0.25">
      <c r="B81" s="234"/>
      <c r="C81" s="234"/>
      <c r="D81" s="512"/>
      <c r="E81" s="512"/>
      <c r="F81" s="512"/>
    </row>
    <row r="82" spans="2:6" s="216" customFormat="1" ht="9" customHeight="1" x14ac:dyDescent="0.25">
      <c r="B82" s="233"/>
      <c r="C82" s="233"/>
      <c r="D82" s="233"/>
      <c r="E82" s="233"/>
      <c r="F82" s="233"/>
    </row>
    <row r="83" spans="2:6" s="216" customFormat="1" ht="30.75" customHeight="1" x14ac:dyDescent="0.25">
      <c r="B83" s="506" t="s">
        <v>543</v>
      </c>
      <c r="C83" s="506"/>
      <c r="D83" s="506"/>
      <c r="E83" s="506"/>
      <c r="F83" s="506"/>
    </row>
    <row r="84" spans="2:6" s="216" customFormat="1" x14ac:dyDescent="0.25">
      <c r="B84" s="226" t="s">
        <v>542</v>
      </c>
      <c r="C84" s="226" t="s">
        <v>541</v>
      </c>
      <c r="D84" s="504" t="s">
        <v>540</v>
      </c>
      <c r="E84" s="504"/>
      <c r="F84" s="504"/>
    </row>
    <row r="85" spans="2:6" s="216" customFormat="1" x14ac:dyDescent="0.25">
      <c r="B85" s="234"/>
      <c r="C85" s="234"/>
      <c r="D85" s="512"/>
      <c r="E85" s="512"/>
      <c r="F85" s="512"/>
    </row>
    <row r="86" spans="2:6" s="216" customFormat="1" x14ac:dyDescent="0.25">
      <c r="B86" s="234"/>
      <c r="C86" s="234"/>
      <c r="D86" s="512"/>
      <c r="E86" s="512"/>
      <c r="F86" s="512"/>
    </row>
    <row r="87" spans="2:6" s="216" customFormat="1" x14ac:dyDescent="0.25">
      <c r="B87" s="234"/>
      <c r="C87" s="234"/>
      <c r="D87" s="512"/>
      <c r="E87" s="512"/>
      <c r="F87" s="512"/>
    </row>
    <row r="88" spans="2:6" s="216" customFormat="1" ht="42" customHeight="1" x14ac:dyDescent="0.25">
      <c r="B88" s="233"/>
      <c r="C88" s="233"/>
      <c r="D88" s="233"/>
      <c r="E88" s="233"/>
      <c r="F88" s="233"/>
    </row>
    <row r="89" spans="2:6" s="216" customFormat="1" x14ac:dyDescent="0.25">
      <c r="B89" s="504" t="s">
        <v>107</v>
      </c>
      <c r="C89" s="504"/>
      <c r="D89" s="504"/>
      <c r="E89" s="504"/>
      <c r="F89" s="504"/>
    </row>
    <row r="90" spans="2:6" s="216" customFormat="1" ht="69" customHeight="1" x14ac:dyDescent="0.25">
      <c r="B90" s="502" t="s">
        <v>611</v>
      </c>
      <c r="C90" s="505"/>
      <c r="D90" s="505"/>
      <c r="E90" s="505"/>
      <c r="F90" s="505"/>
    </row>
    <row r="91" spans="2:6" s="235" customFormat="1" ht="48" customHeight="1" x14ac:dyDescent="0.25"/>
  </sheetData>
  <mergeCells count="79">
    <mergeCell ref="D86:F86"/>
    <mergeCell ref="D87:F87"/>
    <mergeCell ref="B89:F89"/>
    <mergeCell ref="B90:F90"/>
    <mergeCell ref="D79:F79"/>
    <mergeCell ref="D80:F80"/>
    <mergeCell ref="D81:F81"/>
    <mergeCell ref="B83:F83"/>
    <mergeCell ref="D84:F84"/>
    <mergeCell ref="D85:F85"/>
    <mergeCell ref="D78:F78"/>
    <mergeCell ref="B64:F64"/>
    <mergeCell ref="B65:F65"/>
    <mergeCell ref="B66:F66"/>
    <mergeCell ref="B67:F67"/>
    <mergeCell ref="B68:F68"/>
    <mergeCell ref="B70:F70"/>
    <mergeCell ref="C71:F71"/>
    <mergeCell ref="C72:F72"/>
    <mergeCell ref="B74:F74"/>
    <mergeCell ref="B75:F75"/>
    <mergeCell ref="B77:F77"/>
    <mergeCell ref="B56:B57"/>
    <mergeCell ref="C56:F56"/>
    <mergeCell ref="C57:F57"/>
    <mergeCell ref="B47:F47"/>
    <mergeCell ref="C48:F48"/>
    <mergeCell ref="B49:B51"/>
    <mergeCell ref="C49:F49"/>
    <mergeCell ref="C50:F50"/>
    <mergeCell ref="C51:F51"/>
    <mergeCell ref="C52:F52"/>
    <mergeCell ref="B53:B55"/>
    <mergeCell ref="C53:F53"/>
    <mergeCell ref="C54:F54"/>
    <mergeCell ref="C55:F55"/>
    <mergeCell ref="C45:F45"/>
    <mergeCell ref="B31:F31"/>
    <mergeCell ref="B32:F32"/>
    <mergeCell ref="B34:F34"/>
    <mergeCell ref="B35:F35"/>
    <mergeCell ref="B37:F37"/>
    <mergeCell ref="B38:F38"/>
    <mergeCell ref="B40:F40"/>
    <mergeCell ref="C41:F41"/>
    <mergeCell ref="C42:F42"/>
    <mergeCell ref="C43:F43"/>
    <mergeCell ref="C44:F44"/>
    <mergeCell ref="B29:F29"/>
    <mergeCell ref="B20:D20"/>
    <mergeCell ref="E20:F20"/>
    <mergeCell ref="B21:D21"/>
    <mergeCell ref="E21:F21"/>
    <mergeCell ref="B22:D22"/>
    <mergeCell ref="E22:F22"/>
    <mergeCell ref="B23:D23"/>
    <mergeCell ref="E23:F23"/>
    <mergeCell ref="B24:D24"/>
    <mergeCell ref="E24:F24"/>
    <mergeCell ref="B28:F28"/>
    <mergeCell ref="B19:D19"/>
    <mergeCell ref="E19:F19"/>
    <mergeCell ref="C9:F9"/>
    <mergeCell ref="B11:F11"/>
    <mergeCell ref="B12:C12"/>
    <mergeCell ref="D12:F12"/>
    <mergeCell ref="B13:C13"/>
    <mergeCell ref="D13:F13"/>
    <mergeCell ref="B15:C15"/>
    <mergeCell ref="D15:F15"/>
    <mergeCell ref="B16:C16"/>
    <mergeCell ref="D16:F16"/>
    <mergeCell ref="B18:F18"/>
    <mergeCell ref="C8:F8"/>
    <mergeCell ref="B2:F2"/>
    <mergeCell ref="C4:F4"/>
    <mergeCell ref="C5:F5"/>
    <mergeCell ref="C6:F6"/>
    <mergeCell ref="C7:F7"/>
  </mergeCells>
  <dataValidations count="3">
    <dataValidation type="list" allowBlank="1" showInputMessage="1" showErrorMessage="1" sqref="C85:C87">
      <formula1>"Formation,Certification,Stage / projet,Autre"</formula1>
      <formula2>0</formula2>
    </dataValidation>
    <dataValidation type="list" allowBlank="1" showInputMessage="1" showErrorMessage="1" sqref="C79:C81">
      <formula1>"Académique,Professionnel,Associatif,Autre"</formula1>
      <formula2>0</formula2>
    </dataValidation>
    <dataValidation type="list" allowBlank="1" showInputMessage="1" showErrorMessage="1" sqref="C4">
      <formula1>"Mise à jour à partir du plan d'études,Nouvelle création"</formula1>
      <formula2>0</formula2>
    </dataValidation>
  </dataValidations>
  <hyperlinks>
    <hyperlink ref="B1" r:id="rId1" location="'Schéma d''enseignement'!A1"/>
  </hyperlinks>
  <pageMargins left="0.7" right="0.7" top="0.75" bottom="0.75" header="0.51180555555555496" footer="0.51180555555555496"/>
  <pageSetup paperSize="9" firstPageNumber="0" orientation="portrait" horizontalDpi="300" verticalDpi="300"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rgb="FF00B050"/>
  </sheetPr>
  <dimension ref="A1:G109"/>
  <sheetViews>
    <sheetView view="pageBreakPreview" zoomScaleNormal="100" zoomScaleSheetLayoutView="100"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4.140625" style="108" customWidth="1"/>
    <col min="8" max="8" width="0.140625" style="108" customWidth="1"/>
    <col min="9" max="16384" width="8.85546875" style="108"/>
  </cols>
  <sheetData>
    <row r="1" spans="1:6" x14ac:dyDescent="0.25">
      <c r="B1" s="309" t="s">
        <v>857</v>
      </c>
    </row>
    <row r="2" spans="1:6" ht="22.35" customHeight="1" x14ac:dyDescent="0.25">
      <c r="B2" s="109" t="s">
        <v>689</v>
      </c>
      <c r="C2" s="110"/>
      <c r="D2" s="110"/>
      <c r="E2" s="110"/>
      <c r="F2" s="110"/>
    </row>
    <row r="3" spans="1:6" s="112" customFormat="1" x14ac:dyDescent="0.25"/>
    <row r="4" spans="1:6" s="112" customFormat="1" x14ac:dyDescent="0.25">
      <c r="A4" s="170"/>
      <c r="B4" s="262" t="s">
        <v>87</v>
      </c>
      <c r="C4" s="395" t="s">
        <v>465</v>
      </c>
      <c r="D4" s="395"/>
      <c r="E4" s="395"/>
      <c r="F4" s="395"/>
    </row>
    <row r="5" spans="1:6" s="112" customFormat="1" x14ac:dyDescent="0.25">
      <c r="A5" s="170"/>
      <c r="B5" s="263" t="s">
        <v>88</v>
      </c>
      <c r="C5" s="404" t="s">
        <v>466</v>
      </c>
      <c r="D5" s="404"/>
      <c r="E5" s="404"/>
      <c r="F5" s="404"/>
    </row>
    <row r="6" spans="1:6" s="112" customFormat="1" x14ac:dyDescent="0.25">
      <c r="A6" s="170"/>
      <c r="B6" s="262" t="s">
        <v>89</v>
      </c>
      <c r="C6" s="395" t="s">
        <v>590</v>
      </c>
      <c r="D6" s="395"/>
      <c r="E6" s="395"/>
      <c r="F6" s="395"/>
    </row>
    <row r="7" spans="1:6" s="112" customFormat="1" x14ac:dyDescent="0.25">
      <c r="A7" s="170"/>
      <c r="B7" s="262" t="s">
        <v>90</v>
      </c>
      <c r="C7" s="395" t="s">
        <v>688</v>
      </c>
      <c r="D7" s="395"/>
      <c r="E7" s="395"/>
      <c r="F7" s="395"/>
    </row>
    <row r="8" spans="1:6" s="112" customFormat="1" x14ac:dyDescent="0.25">
      <c r="A8" s="170"/>
      <c r="B8" s="262" t="s">
        <v>225</v>
      </c>
      <c r="C8" s="395" t="s">
        <v>588</v>
      </c>
      <c r="D8" s="395"/>
      <c r="E8" s="395"/>
      <c r="F8" s="395"/>
    </row>
    <row r="9" spans="1:6" s="112" customFormat="1" x14ac:dyDescent="0.25">
      <c r="A9" s="170"/>
      <c r="B9" s="262" t="s">
        <v>91</v>
      </c>
      <c r="C9" s="395">
        <v>4</v>
      </c>
      <c r="D9" s="395"/>
      <c r="E9" s="395"/>
      <c r="F9" s="395"/>
    </row>
    <row r="10" spans="1:6" s="112" customFormat="1" x14ac:dyDescent="0.25">
      <c r="A10" s="170"/>
      <c r="B10" s="170"/>
      <c r="C10" s="170"/>
      <c r="D10" s="170"/>
      <c r="E10" s="170"/>
      <c r="F10" s="170"/>
    </row>
    <row r="11" spans="1:6" s="112" customFormat="1" x14ac:dyDescent="0.25">
      <c r="A11" s="170"/>
      <c r="B11" s="492" t="s">
        <v>587</v>
      </c>
      <c r="C11" s="492"/>
      <c r="D11" s="492"/>
      <c r="E11" s="492"/>
      <c r="F11" s="492"/>
    </row>
    <row r="12" spans="1:6" s="112" customFormat="1" x14ac:dyDescent="0.25">
      <c r="A12" s="170"/>
      <c r="B12" s="492" t="s">
        <v>93</v>
      </c>
      <c r="C12" s="492"/>
      <c r="D12" s="492" t="s">
        <v>94</v>
      </c>
      <c r="E12" s="492"/>
      <c r="F12" s="492"/>
    </row>
    <row r="13" spans="1:6" s="112" customFormat="1" x14ac:dyDescent="0.25">
      <c r="A13" s="170"/>
      <c r="B13" s="491">
        <v>42760</v>
      </c>
      <c r="C13" s="491"/>
      <c r="D13" s="395" t="s">
        <v>227</v>
      </c>
      <c r="E13" s="395"/>
      <c r="F13" s="395"/>
    </row>
    <row r="14" spans="1:6" s="112" customFormat="1" x14ac:dyDescent="0.25">
      <c r="A14" s="170"/>
      <c r="B14" s="170"/>
      <c r="C14" s="170"/>
      <c r="D14" s="170"/>
      <c r="E14" s="170"/>
      <c r="F14" s="170"/>
    </row>
    <row r="15" spans="1:6" s="112" customFormat="1" x14ac:dyDescent="0.25">
      <c r="A15" s="170"/>
      <c r="B15" s="492" t="s">
        <v>583</v>
      </c>
      <c r="C15" s="492"/>
      <c r="D15" s="492"/>
      <c r="E15" s="492"/>
      <c r="F15" s="492"/>
    </row>
    <row r="16" spans="1:6" s="112" customFormat="1" x14ac:dyDescent="0.25">
      <c r="A16" s="170"/>
      <c r="B16" s="492" t="s">
        <v>582</v>
      </c>
      <c r="C16" s="492"/>
      <c r="D16" s="492"/>
      <c r="E16" s="492" t="s">
        <v>93</v>
      </c>
      <c r="F16" s="492"/>
    </row>
    <row r="17" spans="1:6" s="112" customFormat="1" x14ac:dyDescent="0.25">
      <c r="A17" s="170"/>
      <c r="B17" s="395" t="s">
        <v>687</v>
      </c>
      <c r="C17" s="395"/>
      <c r="D17" s="395"/>
      <c r="E17" s="491">
        <v>42800</v>
      </c>
      <c r="F17" s="395"/>
    </row>
    <row r="18" spans="1:6" s="112" customFormat="1" x14ac:dyDescent="0.25">
      <c r="A18" s="170"/>
      <c r="B18" s="170"/>
      <c r="C18" s="170"/>
      <c r="D18" s="170"/>
      <c r="E18" s="170"/>
      <c r="F18" s="170"/>
    </row>
    <row r="19" spans="1:6" s="112" customFormat="1" x14ac:dyDescent="0.25">
      <c r="A19" s="170"/>
      <c r="B19" s="208" t="s">
        <v>95</v>
      </c>
      <c r="C19" s="208" t="s">
        <v>96</v>
      </c>
      <c r="D19" s="208" t="s">
        <v>97</v>
      </c>
      <c r="E19" s="208" t="s">
        <v>98</v>
      </c>
      <c r="F19" s="208" t="s">
        <v>99</v>
      </c>
    </row>
    <row r="20" spans="1:6" s="112" customFormat="1" ht="23.25" customHeight="1" x14ac:dyDescent="0.25">
      <c r="A20" s="170"/>
      <c r="B20" s="119" t="s">
        <v>686</v>
      </c>
      <c r="C20" s="23" t="s">
        <v>685</v>
      </c>
      <c r="D20" s="23">
        <v>2</v>
      </c>
      <c r="E20" s="23">
        <v>2</v>
      </c>
      <c r="F20" s="23" t="s">
        <v>228</v>
      </c>
    </row>
    <row r="21" spans="1:6" s="112" customFormat="1" x14ac:dyDescent="0.25">
      <c r="A21" s="170"/>
      <c r="B21" s="170"/>
      <c r="C21" s="170"/>
      <c r="D21" s="170"/>
      <c r="E21" s="170"/>
      <c r="F21" s="170"/>
    </row>
    <row r="22" spans="1:6" s="112" customFormat="1" x14ac:dyDescent="0.25">
      <c r="A22" s="170"/>
      <c r="B22" s="470" t="s">
        <v>100</v>
      </c>
      <c r="C22" s="471"/>
      <c r="D22" s="471"/>
      <c r="E22" s="471"/>
      <c r="F22" s="472"/>
    </row>
    <row r="23" spans="1:6" s="112" customFormat="1" ht="66.75" customHeight="1" x14ac:dyDescent="0.25">
      <c r="A23" s="170"/>
      <c r="B23" s="382" t="s">
        <v>684</v>
      </c>
      <c r="C23" s="383"/>
      <c r="D23" s="383"/>
      <c r="E23" s="383"/>
      <c r="F23" s="384"/>
    </row>
    <row r="24" spans="1:6" s="112" customFormat="1" x14ac:dyDescent="0.25">
      <c r="A24" s="170"/>
      <c r="B24" s="170"/>
      <c r="C24" s="170"/>
      <c r="D24" s="170"/>
      <c r="E24" s="170"/>
      <c r="F24" s="170"/>
    </row>
    <row r="25" spans="1:6" s="112" customFormat="1" x14ac:dyDescent="0.25">
      <c r="A25" s="170"/>
      <c r="B25" s="470" t="s">
        <v>101</v>
      </c>
      <c r="C25" s="471"/>
      <c r="D25" s="471"/>
      <c r="E25" s="471"/>
      <c r="F25" s="472"/>
    </row>
    <row r="26" spans="1:6" s="112" customFormat="1" ht="105" customHeight="1" x14ac:dyDescent="0.25">
      <c r="A26" s="170"/>
      <c r="B26" s="408" t="s">
        <v>683</v>
      </c>
      <c r="C26" s="383"/>
      <c r="D26" s="383"/>
      <c r="E26" s="383"/>
      <c r="F26" s="384"/>
    </row>
    <row r="27" spans="1:6" s="112" customFormat="1" x14ac:dyDescent="0.25">
      <c r="A27" s="170"/>
      <c r="B27" s="170"/>
      <c r="C27" s="170"/>
      <c r="D27" s="170"/>
      <c r="E27" s="170"/>
      <c r="F27" s="170"/>
    </row>
    <row r="28" spans="1:6" s="112" customFormat="1" x14ac:dyDescent="0.25">
      <c r="A28" s="170"/>
      <c r="B28" s="470" t="s">
        <v>573</v>
      </c>
      <c r="C28" s="471"/>
      <c r="D28" s="471"/>
      <c r="E28" s="471"/>
      <c r="F28" s="472"/>
    </row>
    <row r="29" spans="1:6" s="112" customFormat="1" ht="45.6" customHeight="1" x14ac:dyDescent="0.25">
      <c r="A29" s="170"/>
      <c r="B29" s="392"/>
      <c r="C29" s="383"/>
      <c r="D29" s="383"/>
      <c r="E29" s="383"/>
      <c r="F29" s="384"/>
    </row>
    <row r="30" spans="1:6" s="112" customFormat="1" x14ac:dyDescent="0.25">
      <c r="A30" s="170"/>
      <c r="B30" s="170"/>
      <c r="C30" s="170"/>
      <c r="D30" s="170"/>
      <c r="E30" s="170"/>
      <c r="F30" s="170"/>
    </row>
    <row r="31" spans="1:6" s="112" customFormat="1" x14ac:dyDescent="0.25">
      <c r="A31" s="170"/>
      <c r="B31" s="470" t="s">
        <v>571</v>
      </c>
      <c r="C31" s="471"/>
      <c r="D31" s="471"/>
      <c r="E31" s="471"/>
      <c r="F31" s="472"/>
    </row>
    <row r="32" spans="1:6" s="112" customFormat="1" ht="47.45" customHeight="1" x14ac:dyDescent="0.25">
      <c r="A32" s="170"/>
      <c r="B32" s="382" t="s">
        <v>682</v>
      </c>
      <c r="C32" s="393"/>
      <c r="D32" s="393"/>
      <c r="E32" s="393"/>
      <c r="F32" s="394"/>
    </row>
    <row r="33" spans="1:6" s="112" customFormat="1" x14ac:dyDescent="0.25">
      <c r="A33" s="170"/>
      <c r="B33" s="170"/>
      <c r="C33" s="170"/>
      <c r="D33" s="170"/>
      <c r="E33" s="170"/>
      <c r="F33" s="170"/>
    </row>
    <row r="34" spans="1:6" s="112" customFormat="1" ht="31.5" customHeight="1" x14ac:dyDescent="0.25">
      <c r="A34" s="170"/>
      <c r="B34" s="526" t="s">
        <v>569</v>
      </c>
      <c r="C34" s="527"/>
      <c r="D34" s="527"/>
      <c r="E34" s="527"/>
      <c r="F34" s="528"/>
    </row>
    <row r="35" spans="1:6" s="112" customFormat="1" x14ac:dyDescent="0.25">
      <c r="A35" s="170"/>
      <c r="B35" s="261" t="s">
        <v>568</v>
      </c>
      <c r="C35" s="484" t="s">
        <v>567</v>
      </c>
      <c r="D35" s="484"/>
      <c r="E35" s="484"/>
      <c r="F35" s="484"/>
    </row>
    <row r="36" spans="1:6" s="112" customFormat="1" x14ac:dyDescent="0.25">
      <c r="A36" s="170"/>
      <c r="B36" s="127" t="s">
        <v>681</v>
      </c>
      <c r="C36" s="388"/>
      <c r="D36" s="388"/>
      <c r="E36" s="388"/>
      <c r="F36" s="388"/>
    </row>
    <row r="37" spans="1:6" s="112" customFormat="1" x14ac:dyDescent="0.25">
      <c r="A37" s="170"/>
      <c r="B37" s="127" t="s">
        <v>680</v>
      </c>
      <c r="C37" s="388"/>
      <c r="D37" s="388"/>
      <c r="E37" s="388"/>
      <c r="F37" s="388"/>
    </row>
    <row r="38" spans="1:6" s="112" customFormat="1" ht="31.5" x14ac:dyDescent="0.25">
      <c r="A38" s="170"/>
      <c r="B38" s="135" t="s">
        <v>679</v>
      </c>
      <c r="C38" s="443"/>
      <c r="D38" s="465"/>
      <c r="E38" s="465"/>
      <c r="F38" s="466"/>
    </row>
    <row r="39" spans="1:6" s="112" customFormat="1" x14ac:dyDescent="0.25">
      <c r="A39" s="170"/>
      <c r="B39" s="127" t="s">
        <v>674</v>
      </c>
      <c r="C39" s="388"/>
      <c r="D39" s="388"/>
      <c r="E39" s="388"/>
      <c r="F39" s="388"/>
    </row>
    <row r="40" spans="1:6" s="112" customFormat="1" x14ac:dyDescent="0.25">
      <c r="A40" s="170"/>
      <c r="B40" s="127" t="s">
        <v>671</v>
      </c>
      <c r="C40" s="388"/>
      <c r="D40" s="388"/>
      <c r="E40" s="388"/>
      <c r="F40" s="388"/>
    </row>
    <row r="41" spans="1:6" s="112" customFormat="1" x14ac:dyDescent="0.25">
      <c r="A41" s="170"/>
      <c r="B41" s="127" t="s">
        <v>670</v>
      </c>
      <c r="C41" s="388"/>
      <c r="D41" s="388"/>
      <c r="E41" s="388"/>
      <c r="F41" s="388"/>
    </row>
    <row r="42" spans="1:6" s="112" customFormat="1" x14ac:dyDescent="0.25">
      <c r="A42" s="170"/>
      <c r="B42" s="170"/>
      <c r="C42" s="170"/>
      <c r="D42" s="170"/>
      <c r="E42" s="170"/>
      <c r="F42" s="170"/>
    </row>
    <row r="43" spans="1:6" s="112" customFormat="1" x14ac:dyDescent="0.25">
      <c r="A43" s="170"/>
      <c r="B43" s="516" t="s">
        <v>561</v>
      </c>
      <c r="C43" s="517"/>
      <c r="D43" s="517"/>
      <c r="E43" s="517"/>
      <c r="F43" s="518"/>
    </row>
    <row r="44" spans="1:6" s="112" customFormat="1" x14ac:dyDescent="0.25">
      <c r="A44" s="170"/>
      <c r="B44" s="208" t="s">
        <v>560</v>
      </c>
      <c r="C44" s="519" t="s">
        <v>559</v>
      </c>
      <c r="D44" s="519"/>
      <c r="E44" s="519"/>
      <c r="F44" s="519"/>
    </row>
    <row r="45" spans="1:6" s="112" customFormat="1" x14ac:dyDescent="0.25">
      <c r="A45" s="170"/>
      <c r="B45" s="477" t="s">
        <v>558</v>
      </c>
      <c r="C45" s="388" t="s">
        <v>11</v>
      </c>
      <c r="D45" s="388"/>
      <c r="E45" s="388"/>
      <c r="F45" s="388"/>
    </row>
    <row r="46" spans="1:6" s="112" customFormat="1" x14ac:dyDescent="0.25">
      <c r="A46" s="170"/>
      <c r="B46" s="478"/>
      <c r="C46" s="388" t="s">
        <v>471</v>
      </c>
      <c r="D46" s="388"/>
      <c r="E46" s="388"/>
      <c r="F46" s="388"/>
    </row>
    <row r="47" spans="1:6" s="112" customFormat="1" x14ac:dyDescent="0.25">
      <c r="A47" s="170"/>
      <c r="B47" s="477" t="s">
        <v>551</v>
      </c>
      <c r="C47" s="388" t="s">
        <v>678</v>
      </c>
      <c r="D47" s="388"/>
      <c r="E47" s="388"/>
      <c r="F47" s="388"/>
    </row>
    <row r="48" spans="1:6" s="112" customFormat="1" x14ac:dyDescent="0.25">
      <c r="A48" s="170"/>
      <c r="B48" s="478"/>
      <c r="C48" s="388" t="s">
        <v>677</v>
      </c>
      <c r="D48" s="388"/>
      <c r="E48" s="388"/>
      <c r="F48" s="388"/>
    </row>
    <row r="49" spans="1:6" s="112" customFormat="1" ht="15.6" customHeight="1" x14ac:dyDescent="0.25">
      <c r="A49" s="170"/>
      <c r="B49" s="522" t="s">
        <v>676</v>
      </c>
      <c r="C49" s="388" t="s">
        <v>675</v>
      </c>
      <c r="D49" s="388"/>
      <c r="E49" s="388"/>
      <c r="F49" s="388"/>
    </row>
    <row r="50" spans="1:6" s="112" customFormat="1" x14ac:dyDescent="0.25">
      <c r="A50" s="170"/>
      <c r="B50" s="523"/>
      <c r="C50" s="170" t="s">
        <v>669</v>
      </c>
      <c r="D50" s="170"/>
      <c r="E50" s="170"/>
      <c r="F50" s="170"/>
    </row>
    <row r="51" spans="1:6" s="112" customFormat="1" x14ac:dyDescent="0.25">
      <c r="A51" s="170"/>
      <c r="B51" s="523"/>
      <c r="C51" s="388" t="s">
        <v>608</v>
      </c>
      <c r="D51" s="388"/>
      <c r="E51" s="388"/>
      <c r="F51" s="388"/>
    </row>
    <row r="52" spans="1:6" s="112" customFormat="1" x14ac:dyDescent="0.25">
      <c r="A52" s="170"/>
      <c r="B52" s="524"/>
      <c r="C52" s="388" t="s">
        <v>471</v>
      </c>
      <c r="D52" s="388"/>
      <c r="E52" s="388"/>
      <c r="F52" s="388"/>
    </row>
    <row r="53" spans="1:6" s="112" customFormat="1" x14ac:dyDescent="0.25">
      <c r="A53" s="170"/>
      <c r="B53" s="520" t="s">
        <v>674</v>
      </c>
      <c r="C53" s="388" t="s">
        <v>673</v>
      </c>
      <c r="D53" s="388"/>
      <c r="E53" s="388"/>
      <c r="F53" s="388"/>
    </row>
    <row r="54" spans="1:6" s="112" customFormat="1" x14ac:dyDescent="0.25">
      <c r="A54" s="170"/>
      <c r="B54" s="525"/>
      <c r="C54" s="388" t="s">
        <v>669</v>
      </c>
      <c r="D54" s="388"/>
      <c r="E54" s="388"/>
      <c r="F54" s="388"/>
    </row>
    <row r="55" spans="1:6" s="112" customFormat="1" x14ac:dyDescent="0.25">
      <c r="A55" s="170"/>
      <c r="B55" s="525"/>
      <c r="C55" s="388" t="s">
        <v>672</v>
      </c>
      <c r="D55" s="388"/>
      <c r="E55" s="388"/>
      <c r="F55" s="388"/>
    </row>
    <row r="56" spans="1:6" s="112" customFormat="1" x14ac:dyDescent="0.25">
      <c r="A56" s="170"/>
      <c r="B56" s="521"/>
      <c r="C56" s="388" t="s">
        <v>471</v>
      </c>
      <c r="D56" s="388"/>
      <c r="E56" s="388"/>
      <c r="F56" s="388"/>
    </row>
    <row r="57" spans="1:6" s="112" customFormat="1" x14ac:dyDescent="0.25">
      <c r="A57" s="170"/>
      <c r="B57" s="520" t="s">
        <v>671</v>
      </c>
      <c r="C57" s="388" t="s">
        <v>148</v>
      </c>
      <c r="D57" s="388"/>
      <c r="E57" s="388"/>
      <c r="F57" s="388"/>
    </row>
    <row r="58" spans="1:6" s="112" customFormat="1" x14ac:dyDescent="0.25">
      <c r="A58" s="170"/>
      <c r="B58" s="521"/>
      <c r="C58" s="446" t="s">
        <v>145</v>
      </c>
      <c r="D58" s="388"/>
      <c r="E58" s="388"/>
      <c r="F58" s="388"/>
    </row>
    <row r="59" spans="1:6" s="112" customFormat="1" x14ac:dyDescent="0.25">
      <c r="A59" s="170"/>
      <c r="B59" s="522" t="s">
        <v>670</v>
      </c>
      <c r="C59" s="388" t="s">
        <v>556</v>
      </c>
      <c r="D59" s="388"/>
      <c r="E59" s="388"/>
      <c r="F59" s="388"/>
    </row>
    <row r="60" spans="1:6" s="112" customFormat="1" x14ac:dyDescent="0.25">
      <c r="A60" s="170"/>
      <c r="B60" s="523"/>
      <c r="C60" s="388" t="s">
        <v>669</v>
      </c>
      <c r="D60" s="388"/>
      <c r="E60" s="388"/>
      <c r="F60" s="388"/>
    </row>
    <row r="61" spans="1:6" s="112" customFormat="1" x14ac:dyDescent="0.25">
      <c r="A61" s="170"/>
      <c r="B61" s="523"/>
      <c r="C61" s="388" t="s">
        <v>668</v>
      </c>
      <c r="D61" s="388"/>
      <c r="E61" s="388"/>
      <c r="F61" s="388"/>
    </row>
    <row r="62" spans="1:6" s="112" customFormat="1" x14ac:dyDescent="0.25">
      <c r="A62" s="170"/>
      <c r="B62" s="524"/>
      <c r="C62" s="388" t="s">
        <v>471</v>
      </c>
      <c r="D62" s="388"/>
      <c r="E62" s="388"/>
      <c r="F62" s="388"/>
    </row>
    <row r="63" spans="1:6" s="112" customFormat="1" x14ac:dyDescent="0.25">
      <c r="A63" s="170"/>
      <c r="B63" s="170"/>
      <c r="C63" s="170"/>
      <c r="D63" s="170"/>
      <c r="E63" s="170"/>
      <c r="F63" s="170"/>
    </row>
    <row r="64" spans="1:6" s="112" customFormat="1" x14ac:dyDescent="0.25">
      <c r="A64" s="170"/>
      <c r="B64" s="170"/>
      <c r="C64" s="170"/>
      <c r="D64" s="170"/>
      <c r="E64" s="170"/>
      <c r="F64" s="170"/>
    </row>
    <row r="65" spans="1:7" s="112" customFormat="1" x14ac:dyDescent="0.25">
      <c r="A65" s="170"/>
      <c r="B65" s="516" t="s">
        <v>667</v>
      </c>
      <c r="C65" s="517"/>
      <c r="D65" s="517"/>
      <c r="E65" s="517"/>
      <c r="F65" s="518"/>
    </row>
    <row r="66" spans="1:7" s="112" customFormat="1" x14ac:dyDescent="0.25">
      <c r="A66" s="170"/>
      <c r="B66" s="208" t="s">
        <v>560</v>
      </c>
      <c r="C66" s="519" t="s">
        <v>666</v>
      </c>
      <c r="D66" s="519"/>
      <c r="E66" s="519"/>
      <c r="F66" s="519"/>
    </row>
    <row r="67" spans="1:7" s="112" customFormat="1" ht="31.5" customHeight="1" x14ac:dyDescent="0.25">
      <c r="A67" s="170"/>
      <c r="B67" s="477" t="s">
        <v>558</v>
      </c>
      <c r="C67" s="446"/>
      <c r="D67" s="446"/>
      <c r="E67" s="446"/>
      <c r="F67" s="446"/>
    </row>
    <row r="68" spans="1:7" s="112" customFormat="1" ht="18" customHeight="1" x14ac:dyDescent="0.25">
      <c r="A68" s="170"/>
      <c r="B68" s="478"/>
      <c r="C68" s="446"/>
      <c r="D68" s="446"/>
      <c r="E68" s="446"/>
      <c r="F68" s="446"/>
    </row>
    <row r="69" spans="1:7" s="112" customFormat="1" ht="30" customHeight="1" x14ac:dyDescent="0.25">
      <c r="A69" s="170"/>
      <c r="B69" s="479"/>
      <c r="C69" s="446"/>
      <c r="D69" s="446"/>
      <c r="E69" s="446"/>
      <c r="F69" s="446"/>
    </row>
    <row r="70" spans="1:7" s="112" customFormat="1" ht="32.25" customHeight="1" x14ac:dyDescent="0.25">
      <c r="A70" s="170"/>
      <c r="B70" s="477" t="s">
        <v>551</v>
      </c>
      <c r="C70" s="446" t="s">
        <v>665</v>
      </c>
      <c r="D70" s="446"/>
      <c r="E70" s="446"/>
      <c r="F70" s="446"/>
    </row>
    <row r="71" spans="1:7" s="112" customFormat="1" ht="21" customHeight="1" x14ac:dyDescent="0.25">
      <c r="A71" s="170"/>
      <c r="B71" s="478"/>
      <c r="C71" s="446" t="s">
        <v>664</v>
      </c>
      <c r="D71" s="446"/>
      <c r="E71" s="446"/>
      <c r="F71" s="446"/>
    </row>
    <row r="72" spans="1:7" s="112" customFormat="1" ht="33" customHeight="1" x14ac:dyDescent="0.25">
      <c r="A72" s="170"/>
      <c r="B72" s="479"/>
      <c r="C72" s="446" t="s">
        <v>663</v>
      </c>
      <c r="D72" s="446"/>
      <c r="E72" s="446"/>
      <c r="F72" s="446"/>
    </row>
    <row r="73" spans="1:7" s="112" customFormat="1" ht="21" customHeight="1" x14ac:dyDescent="0.25">
      <c r="A73" s="170"/>
      <c r="B73" s="481" t="s">
        <v>643</v>
      </c>
      <c r="C73" s="446"/>
      <c r="D73" s="446"/>
      <c r="E73" s="446"/>
      <c r="F73" s="446"/>
    </row>
    <row r="74" spans="1:7" s="112" customFormat="1" ht="21" customHeight="1" x14ac:dyDescent="0.25">
      <c r="A74" s="170"/>
      <c r="B74" s="482"/>
      <c r="C74" s="446"/>
      <c r="D74" s="446"/>
      <c r="E74" s="446"/>
      <c r="F74" s="446"/>
    </row>
    <row r="75" spans="1:7" s="112" customFormat="1" ht="21" customHeight="1" x14ac:dyDescent="0.25">
      <c r="A75" s="170"/>
      <c r="B75" s="483"/>
      <c r="C75" s="446"/>
      <c r="D75" s="446"/>
      <c r="E75" s="446"/>
      <c r="F75" s="446"/>
    </row>
    <row r="76" spans="1:7" s="112" customFormat="1" ht="21" customHeight="1" x14ac:dyDescent="0.25">
      <c r="A76" s="170"/>
      <c r="B76" s="123"/>
      <c r="C76" s="190"/>
      <c r="D76" s="190"/>
      <c r="E76" s="190"/>
      <c r="F76" s="190"/>
    </row>
    <row r="77" spans="1:7" s="112" customFormat="1" x14ac:dyDescent="0.25">
      <c r="A77" s="170"/>
      <c r="B77" s="470" t="s">
        <v>105</v>
      </c>
      <c r="C77" s="471"/>
      <c r="D77" s="471"/>
      <c r="E77" s="471"/>
      <c r="F77" s="472"/>
    </row>
    <row r="78" spans="1:7" s="112" customFormat="1" ht="252" customHeight="1" x14ac:dyDescent="0.25">
      <c r="A78" s="170"/>
      <c r="B78" s="408" t="s">
        <v>662</v>
      </c>
      <c r="C78" s="383"/>
      <c r="D78" s="383"/>
      <c r="E78" s="383"/>
      <c r="F78" s="384"/>
      <c r="G78" s="112" t="s">
        <v>661</v>
      </c>
    </row>
    <row r="79" spans="1:7" s="112" customFormat="1" ht="16.5" customHeight="1" x14ac:dyDescent="0.25">
      <c r="A79" s="170"/>
      <c r="B79" s="190"/>
      <c r="C79" s="123"/>
      <c r="D79" s="123"/>
      <c r="E79" s="123"/>
      <c r="F79" s="123"/>
    </row>
    <row r="80" spans="1:7" s="112" customFormat="1" x14ac:dyDescent="0.25">
      <c r="A80" s="170"/>
      <c r="B80" s="470" t="s">
        <v>473</v>
      </c>
      <c r="C80" s="471"/>
      <c r="D80" s="471"/>
      <c r="E80" s="471"/>
      <c r="F80" s="472"/>
    </row>
    <row r="81" spans="1:6" s="112" customFormat="1" x14ac:dyDescent="0.25">
      <c r="A81" s="170"/>
      <c r="B81" s="127" t="s">
        <v>548</v>
      </c>
      <c r="C81" s="388" t="s">
        <v>659</v>
      </c>
      <c r="D81" s="388"/>
      <c r="E81" s="388"/>
      <c r="F81" s="388"/>
    </row>
    <row r="82" spans="1:6" s="112" customFormat="1" x14ac:dyDescent="0.25">
      <c r="A82" s="170"/>
      <c r="B82" s="127" t="s">
        <v>547</v>
      </c>
      <c r="C82" s="388" t="s">
        <v>659</v>
      </c>
      <c r="D82" s="388"/>
      <c r="E82" s="388"/>
      <c r="F82" s="388"/>
    </row>
    <row r="83" spans="1:6" s="112" customFormat="1" x14ac:dyDescent="0.25">
      <c r="A83" s="170"/>
      <c r="B83" s="127" t="s">
        <v>546</v>
      </c>
      <c r="C83" s="392"/>
      <c r="D83" s="383"/>
      <c r="E83" s="383"/>
      <c r="F83" s="384"/>
    </row>
    <row r="84" spans="1:6" s="112" customFormat="1" x14ac:dyDescent="0.25">
      <c r="A84" s="170"/>
      <c r="B84" s="127" t="s">
        <v>660</v>
      </c>
      <c r="C84" s="388" t="s">
        <v>659</v>
      </c>
      <c r="D84" s="388"/>
      <c r="E84" s="388"/>
      <c r="F84" s="388"/>
    </row>
    <row r="85" spans="1:6" s="112" customFormat="1" x14ac:dyDescent="0.25">
      <c r="A85" s="170"/>
      <c r="B85" s="127" t="s">
        <v>108</v>
      </c>
      <c r="C85" s="388" t="s">
        <v>658</v>
      </c>
      <c r="D85" s="388"/>
      <c r="E85" s="388"/>
      <c r="F85" s="388"/>
    </row>
    <row r="86" spans="1:6" s="112" customFormat="1" x14ac:dyDescent="0.25">
      <c r="A86" s="170"/>
      <c r="B86" s="170"/>
      <c r="C86" s="170"/>
      <c r="D86" s="170"/>
      <c r="E86" s="170"/>
      <c r="F86" s="170"/>
    </row>
    <row r="87" spans="1:6" s="112" customFormat="1" x14ac:dyDescent="0.25">
      <c r="A87" s="170"/>
      <c r="B87" s="470" t="s">
        <v>106</v>
      </c>
      <c r="C87" s="471"/>
      <c r="D87" s="471"/>
      <c r="E87" s="471"/>
      <c r="F87" s="472"/>
    </row>
    <row r="88" spans="1:6" s="112" customFormat="1" ht="51" customHeight="1" x14ac:dyDescent="0.25">
      <c r="A88" s="170"/>
      <c r="B88" s="392"/>
      <c r="C88" s="383"/>
      <c r="D88" s="383"/>
      <c r="E88" s="383"/>
      <c r="F88" s="384"/>
    </row>
    <row r="89" spans="1:6" s="112" customFormat="1" x14ac:dyDescent="0.25">
      <c r="A89" s="170"/>
      <c r="B89" s="170"/>
      <c r="C89" s="170"/>
      <c r="D89" s="170"/>
      <c r="E89" s="170"/>
      <c r="F89" s="170"/>
    </row>
    <row r="90" spans="1:6" s="112" customFormat="1" x14ac:dyDescent="0.25">
      <c r="A90" s="170"/>
      <c r="B90" s="470" t="s">
        <v>240</v>
      </c>
      <c r="C90" s="471"/>
      <c r="D90" s="471"/>
      <c r="E90" s="471"/>
      <c r="F90" s="472"/>
    </row>
    <row r="91" spans="1:6" s="112" customFormat="1" x14ac:dyDescent="0.25">
      <c r="A91" s="170"/>
      <c r="B91" s="209" t="s">
        <v>241</v>
      </c>
      <c r="C91" s="209" t="s">
        <v>242</v>
      </c>
      <c r="D91" s="470" t="s">
        <v>243</v>
      </c>
      <c r="E91" s="471"/>
      <c r="F91" s="472"/>
    </row>
    <row r="92" spans="1:6" s="112" customFormat="1" x14ac:dyDescent="0.25">
      <c r="A92" s="170"/>
      <c r="B92" s="127" t="s">
        <v>544</v>
      </c>
      <c r="C92" s="127" t="s">
        <v>281</v>
      </c>
      <c r="D92" s="443"/>
      <c r="E92" s="465"/>
      <c r="F92" s="466"/>
    </row>
    <row r="93" spans="1:6" s="112" customFormat="1" x14ac:dyDescent="0.25">
      <c r="A93" s="170"/>
      <c r="B93" s="127" t="s">
        <v>657</v>
      </c>
      <c r="C93" s="127" t="s">
        <v>281</v>
      </c>
      <c r="D93" s="443"/>
      <c r="E93" s="465"/>
      <c r="F93" s="466"/>
    </row>
    <row r="94" spans="1:6" s="112" customFormat="1" x14ac:dyDescent="0.25">
      <c r="A94" s="170"/>
      <c r="B94" s="127"/>
      <c r="C94" s="127"/>
      <c r="D94" s="443"/>
      <c r="E94" s="465"/>
      <c r="F94" s="466"/>
    </row>
    <row r="95" spans="1:6" s="112" customFormat="1" x14ac:dyDescent="0.25">
      <c r="A95" s="170"/>
      <c r="B95" s="170"/>
      <c r="C95" s="170"/>
      <c r="D95" s="170"/>
      <c r="E95" s="170"/>
      <c r="F95" s="170"/>
    </row>
    <row r="96" spans="1:6" s="112" customFormat="1" x14ac:dyDescent="0.25">
      <c r="A96" s="170"/>
      <c r="B96" s="470" t="s">
        <v>543</v>
      </c>
      <c r="C96" s="471"/>
      <c r="D96" s="471"/>
      <c r="E96" s="471"/>
      <c r="F96" s="472"/>
    </row>
    <row r="97" spans="1:6" s="112" customFormat="1" x14ac:dyDescent="0.25">
      <c r="A97" s="170"/>
      <c r="B97" s="209" t="s">
        <v>542</v>
      </c>
      <c r="C97" s="209" t="s">
        <v>541</v>
      </c>
      <c r="D97" s="470" t="s">
        <v>540</v>
      </c>
      <c r="E97" s="471"/>
      <c r="F97" s="472"/>
    </row>
    <row r="98" spans="1:6" s="112" customFormat="1" x14ac:dyDescent="0.25">
      <c r="A98" s="170"/>
      <c r="B98" s="127"/>
      <c r="C98" s="127"/>
      <c r="D98" s="513"/>
      <c r="E98" s="514"/>
      <c r="F98" s="515"/>
    </row>
    <row r="99" spans="1:6" s="112" customFormat="1" x14ac:dyDescent="0.25">
      <c r="A99" s="170"/>
      <c r="B99" s="127"/>
      <c r="C99" s="127"/>
      <c r="D99" s="443"/>
      <c r="E99" s="465"/>
      <c r="F99" s="466"/>
    </row>
    <row r="100" spans="1:6" s="112" customFormat="1" x14ac:dyDescent="0.25">
      <c r="A100" s="170"/>
      <c r="B100" s="127"/>
      <c r="C100" s="127"/>
      <c r="D100" s="443"/>
      <c r="E100" s="465"/>
      <c r="F100" s="466"/>
    </row>
    <row r="101" spans="1:6" s="112" customFormat="1" x14ac:dyDescent="0.25">
      <c r="A101" s="170"/>
      <c r="B101" s="170"/>
      <c r="C101" s="170"/>
      <c r="D101" s="170"/>
      <c r="E101" s="170"/>
      <c r="F101" s="170"/>
    </row>
    <row r="102" spans="1:6" s="112" customFormat="1" x14ac:dyDescent="0.25">
      <c r="A102" s="170"/>
      <c r="B102" s="470" t="s">
        <v>107</v>
      </c>
      <c r="C102" s="471"/>
      <c r="D102" s="471"/>
      <c r="E102" s="471"/>
      <c r="F102" s="472"/>
    </row>
    <row r="103" spans="1:6" s="112" customFormat="1" ht="48" customHeight="1" x14ac:dyDescent="0.25">
      <c r="A103" s="170"/>
      <c r="B103" s="382"/>
      <c r="C103" s="383"/>
      <c r="D103" s="383"/>
      <c r="E103" s="383"/>
      <c r="F103" s="384"/>
    </row>
    <row r="104" spans="1:6" s="112" customFormat="1" x14ac:dyDescent="0.25">
      <c r="A104" s="170"/>
      <c r="B104" s="170"/>
      <c r="C104" s="170"/>
      <c r="D104" s="170"/>
      <c r="E104" s="170"/>
      <c r="F104" s="170"/>
    </row>
    <row r="105" spans="1:6" s="112" customFormat="1" x14ac:dyDescent="0.25">
      <c r="A105" s="170"/>
      <c r="B105" s="170"/>
      <c r="C105" s="170"/>
      <c r="D105" s="170"/>
      <c r="E105" s="170"/>
      <c r="F105" s="170"/>
    </row>
    <row r="106" spans="1:6" x14ac:dyDescent="0.25">
      <c r="A106" s="203"/>
      <c r="B106" s="203"/>
      <c r="C106" s="203"/>
      <c r="D106" s="203"/>
      <c r="E106" s="203"/>
      <c r="F106" s="203"/>
    </row>
    <row r="107" spans="1:6" x14ac:dyDescent="0.25">
      <c r="A107" s="203"/>
      <c r="B107" s="203"/>
      <c r="C107" s="203"/>
      <c r="D107" s="203"/>
      <c r="E107" s="203"/>
      <c r="F107" s="203"/>
    </row>
    <row r="108" spans="1:6" x14ac:dyDescent="0.25">
      <c r="A108" s="203"/>
      <c r="B108" s="203"/>
      <c r="C108" s="203"/>
      <c r="D108" s="203"/>
      <c r="E108" s="203"/>
      <c r="F108" s="203"/>
    </row>
    <row r="109" spans="1:6" x14ac:dyDescent="0.25">
      <c r="A109" s="203"/>
      <c r="B109" s="203"/>
      <c r="C109" s="203"/>
      <c r="D109" s="203"/>
      <c r="E109" s="203"/>
      <c r="F109" s="203"/>
    </row>
  </sheetData>
  <mergeCells count="93">
    <mergeCell ref="C4:F4"/>
    <mergeCell ref="C5:F5"/>
    <mergeCell ref="C6:F6"/>
    <mergeCell ref="C7:F7"/>
    <mergeCell ref="C8:F8"/>
    <mergeCell ref="C9:F9"/>
    <mergeCell ref="B11:F11"/>
    <mergeCell ref="B12:C12"/>
    <mergeCell ref="D12:F12"/>
    <mergeCell ref="B13:C13"/>
    <mergeCell ref="D13:F13"/>
    <mergeCell ref="B15:F15"/>
    <mergeCell ref="B16:D16"/>
    <mergeCell ref="E16:F16"/>
    <mergeCell ref="B17:D17"/>
    <mergeCell ref="E17:F17"/>
    <mergeCell ref="B22:F22"/>
    <mergeCell ref="B23:F23"/>
    <mergeCell ref="B25:F25"/>
    <mergeCell ref="B26:F26"/>
    <mergeCell ref="B28:F28"/>
    <mergeCell ref="B29:F29"/>
    <mergeCell ref="B31:F31"/>
    <mergeCell ref="B32:F32"/>
    <mergeCell ref="B34:F34"/>
    <mergeCell ref="C35:F35"/>
    <mergeCell ref="C36:F36"/>
    <mergeCell ref="C37:F37"/>
    <mergeCell ref="C38:F38"/>
    <mergeCell ref="C39:F39"/>
    <mergeCell ref="C40:F40"/>
    <mergeCell ref="C41:F41"/>
    <mergeCell ref="B43:F43"/>
    <mergeCell ref="C44:F44"/>
    <mergeCell ref="B45:B46"/>
    <mergeCell ref="C45:F45"/>
    <mergeCell ref="C46:F46"/>
    <mergeCell ref="B47:B48"/>
    <mergeCell ref="C47:F47"/>
    <mergeCell ref="C48:F48"/>
    <mergeCell ref="B49:B52"/>
    <mergeCell ref="C49:F49"/>
    <mergeCell ref="C51:F51"/>
    <mergeCell ref="C52:F52"/>
    <mergeCell ref="B53:B56"/>
    <mergeCell ref="C53:F53"/>
    <mergeCell ref="C54:F54"/>
    <mergeCell ref="C55:F55"/>
    <mergeCell ref="C56:F56"/>
    <mergeCell ref="B57:B58"/>
    <mergeCell ref="C57:F57"/>
    <mergeCell ref="C58:F58"/>
    <mergeCell ref="B59:B62"/>
    <mergeCell ref="C59:F59"/>
    <mergeCell ref="C60:F60"/>
    <mergeCell ref="C61:F61"/>
    <mergeCell ref="C62:F62"/>
    <mergeCell ref="B65:F65"/>
    <mergeCell ref="C66:F66"/>
    <mergeCell ref="B67:B69"/>
    <mergeCell ref="C67:F67"/>
    <mergeCell ref="C68:F68"/>
    <mergeCell ref="C69:F69"/>
    <mergeCell ref="B70:B72"/>
    <mergeCell ref="C70:F70"/>
    <mergeCell ref="C71:F71"/>
    <mergeCell ref="C72:F72"/>
    <mergeCell ref="B73:B75"/>
    <mergeCell ref="C73:F73"/>
    <mergeCell ref="C74:F74"/>
    <mergeCell ref="C75:F75"/>
    <mergeCell ref="B77:F77"/>
    <mergeCell ref="B78:F78"/>
    <mergeCell ref="B80:F80"/>
    <mergeCell ref="C81:F81"/>
    <mergeCell ref="C82:F82"/>
    <mergeCell ref="C83:F83"/>
    <mergeCell ref="C84:F84"/>
    <mergeCell ref="C85:F85"/>
    <mergeCell ref="B87:F87"/>
    <mergeCell ref="B88:F88"/>
    <mergeCell ref="B90:F90"/>
    <mergeCell ref="D91:F91"/>
    <mergeCell ref="D92:F92"/>
    <mergeCell ref="D93:F93"/>
    <mergeCell ref="B102:F102"/>
    <mergeCell ref="B103:F103"/>
    <mergeCell ref="D94:F94"/>
    <mergeCell ref="B96:F96"/>
    <mergeCell ref="D97:F97"/>
    <mergeCell ref="D98:F98"/>
    <mergeCell ref="D99:F99"/>
    <mergeCell ref="D100:F100"/>
  </mergeCells>
  <dataValidations count="3">
    <dataValidation type="list" allowBlank="1" showInputMessage="1" showErrorMessage="1" sqref="C4">
      <formula1>"Mise à jour à partir du plan d'études, Nouvelle création"</formula1>
    </dataValidation>
    <dataValidation type="list" allowBlank="1" showInputMessage="1" showErrorMessage="1" sqref="C92:C94">
      <formula1>"Académique, Professionnel, Associatif, Autre"</formula1>
    </dataValidation>
    <dataValidation type="list" allowBlank="1" showInputMessage="1" showErrorMessage="1" sqref="C98:C100">
      <formula1>"Formation, Certification, Stage / projet, Autre"</formula1>
    </dataValidation>
  </dataValidations>
  <hyperlinks>
    <hyperlink ref="B1" r:id="rId1" location="'Schéma d''enseignement'!A1"/>
  </hyperlinks>
  <pageMargins left="0.7" right="0.7" top="0.74545454545454548" bottom="0.75" header="0.3" footer="0.3"/>
  <pageSetup paperSize="9" orientation="portrait" horizontalDpi="300" verticalDpi="300" r:id="rId2"/>
  <rowBreaks count="1" manualBreakCount="1">
    <brk id="27"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rgb="FF00B050"/>
  </sheetPr>
  <dimension ref="B1:F95"/>
  <sheetViews>
    <sheetView workbookViewId="0">
      <selection activeCell="B1" sqref="B1"/>
    </sheetView>
  </sheetViews>
  <sheetFormatPr baseColWidth="10" defaultColWidth="8.85546875" defaultRowHeight="15" x14ac:dyDescent="0.25"/>
  <cols>
    <col min="1" max="1" width="2.140625" style="1" customWidth="1"/>
    <col min="2" max="2" width="32.85546875" style="1" bestFit="1" customWidth="1"/>
    <col min="3" max="3" width="15.140625" style="1" bestFit="1" customWidth="1"/>
    <col min="4" max="4" width="10.85546875" style="1" bestFit="1" customWidth="1"/>
    <col min="5" max="5" width="6.42578125" style="1" bestFit="1" customWidth="1"/>
    <col min="6" max="6" width="20.42578125" style="1" bestFit="1" customWidth="1"/>
    <col min="7" max="16384" width="8.85546875" style="1"/>
  </cols>
  <sheetData>
    <row r="1" spans="2:6" x14ac:dyDescent="0.25">
      <c r="B1" s="309" t="s">
        <v>857</v>
      </c>
    </row>
    <row r="2" spans="2:6" ht="15.75" x14ac:dyDescent="0.25">
      <c r="B2" s="109" t="s">
        <v>714</v>
      </c>
      <c r="C2" s="204"/>
      <c r="D2" s="204"/>
      <c r="E2" s="204"/>
      <c r="F2" s="204"/>
    </row>
    <row r="3" spans="2:6" ht="15.75" x14ac:dyDescent="0.25">
      <c r="B3" s="170"/>
      <c r="C3" s="170"/>
      <c r="D3" s="170"/>
      <c r="E3" s="170"/>
      <c r="F3" s="170"/>
    </row>
    <row r="4" spans="2:6" ht="15.75" x14ac:dyDescent="0.25">
      <c r="B4" s="262" t="s">
        <v>87</v>
      </c>
      <c r="C4" s="395" t="s">
        <v>465</v>
      </c>
      <c r="D4" s="395"/>
      <c r="E4" s="395"/>
      <c r="F4" s="395"/>
    </row>
    <row r="5" spans="2:6" ht="15.75" x14ac:dyDescent="0.25">
      <c r="B5" s="263" t="s">
        <v>88</v>
      </c>
      <c r="C5" s="404" t="s">
        <v>466</v>
      </c>
      <c r="D5" s="404"/>
      <c r="E5" s="404"/>
      <c r="F5" s="404"/>
    </row>
    <row r="6" spans="2:6" ht="15.75" x14ac:dyDescent="0.25">
      <c r="B6" s="262" t="s">
        <v>89</v>
      </c>
      <c r="C6" s="395" t="s">
        <v>590</v>
      </c>
      <c r="D6" s="395"/>
      <c r="E6" s="395"/>
      <c r="F6" s="395"/>
    </row>
    <row r="7" spans="2:6" ht="15.75" x14ac:dyDescent="0.25">
      <c r="B7" s="262" t="s">
        <v>90</v>
      </c>
      <c r="C7" s="395" t="s">
        <v>688</v>
      </c>
      <c r="D7" s="395"/>
      <c r="E7" s="395"/>
      <c r="F7" s="395"/>
    </row>
    <row r="8" spans="2:6" ht="15.75" x14ac:dyDescent="0.25">
      <c r="B8" s="262" t="s">
        <v>225</v>
      </c>
      <c r="C8" s="395" t="s">
        <v>588</v>
      </c>
      <c r="D8" s="395"/>
      <c r="E8" s="395"/>
      <c r="F8" s="395"/>
    </row>
    <row r="9" spans="2:6" ht="15.75" x14ac:dyDescent="0.25">
      <c r="B9" s="262" t="s">
        <v>91</v>
      </c>
      <c r="C9" s="395">
        <v>4</v>
      </c>
      <c r="D9" s="395"/>
      <c r="E9" s="395"/>
      <c r="F9" s="395"/>
    </row>
    <row r="10" spans="2:6" ht="15.75" x14ac:dyDescent="0.25">
      <c r="B10" s="170"/>
      <c r="C10" s="170"/>
      <c r="D10" s="170"/>
      <c r="E10" s="170"/>
      <c r="F10" s="170"/>
    </row>
    <row r="11" spans="2:6" ht="15.75" x14ac:dyDescent="0.25">
      <c r="B11" s="492" t="s">
        <v>587</v>
      </c>
      <c r="C11" s="492"/>
      <c r="D11" s="492"/>
      <c r="E11" s="492"/>
      <c r="F11" s="492"/>
    </row>
    <row r="12" spans="2:6" ht="15.75" x14ac:dyDescent="0.25">
      <c r="B12" s="492" t="s">
        <v>93</v>
      </c>
      <c r="C12" s="492"/>
      <c r="D12" s="492" t="s">
        <v>94</v>
      </c>
      <c r="E12" s="492"/>
      <c r="F12" s="492"/>
    </row>
    <row r="13" spans="2:6" ht="15.75" x14ac:dyDescent="0.25">
      <c r="B13" s="491">
        <v>42760</v>
      </c>
      <c r="C13" s="491"/>
      <c r="D13" s="395" t="s">
        <v>227</v>
      </c>
      <c r="E13" s="395"/>
      <c r="F13" s="395"/>
    </row>
    <row r="14" spans="2:6" ht="15.75" x14ac:dyDescent="0.25">
      <c r="B14" s="170"/>
      <c r="C14" s="170"/>
      <c r="D14" s="170"/>
      <c r="E14" s="170"/>
      <c r="F14" s="170"/>
    </row>
    <row r="15" spans="2:6" ht="15.75" x14ac:dyDescent="0.25">
      <c r="B15" s="492" t="s">
        <v>583</v>
      </c>
      <c r="C15" s="492"/>
      <c r="D15" s="492"/>
      <c r="E15" s="492"/>
      <c r="F15" s="492"/>
    </row>
    <row r="16" spans="2:6" ht="15.75" x14ac:dyDescent="0.25">
      <c r="B16" s="492" t="s">
        <v>582</v>
      </c>
      <c r="C16" s="492"/>
      <c r="D16" s="492"/>
      <c r="E16" s="492" t="s">
        <v>93</v>
      </c>
      <c r="F16" s="492"/>
    </row>
    <row r="17" spans="2:6" ht="15.75" x14ac:dyDescent="0.25">
      <c r="B17" s="395" t="s">
        <v>713</v>
      </c>
      <c r="C17" s="395"/>
      <c r="D17" s="395"/>
      <c r="E17" s="491">
        <v>42760</v>
      </c>
      <c r="F17" s="395"/>
    </row>
    <row r="18" spans="2:6" ht="15.75" x14ac:dyDescent="0.25">
      <c r="B18" s="395"/>
      <c r="C18" s="395"/>
      <c r="D18" s="395"/>
      <c r="E18" s="395"/>
      <c r="F18" s="395"/>
    </row>
    <row r="19" spans="2:6" ht="15.75" x14ac:dyDescent="0.25">
      <c r="B19" s="395"/>
      <c r="C19" s="395"/>
      <c r="D19" s="395"/>
      <c r="E19" s="395"/>
      <c r="F19" s="395"/>
    </row>
    <row r="20" spans="2:6" ht="15.75" x14ac:dyDescent="0.25">
      <c r="B20" s="170"/>
      <c r="C20" s="170"/>
      <c r="D20" s="170"/>
      <c r="E20" s="170"/>
      <c r="F20" s="170"/>
    </row>
    <row r="21" spans="2:6" ht="15.75" x14ac:dyDescent="0.25">
      <c r="B21" s="208" t="s">
        <v>95</v>
      </c>
      <c r="C21" s="208" t="s">
        <v>96</v>
      </c>
      <c r="D21" s="208" t="s">
        <v>97</v>
      </c>
      <c r="E21" s="208" t="s">
        <v>98</v>
      </c>
      <c r="F21" s="208" t="s">
        <v>99</v>
      </c>
    </row>
    <row r="22" spans="2:6" ht="31.5" x14ac:dyDescent="0.25">
      <c r="B22" s="171" t="s">
        <v>691</v>
      </c>
      <c r="C22" s="147" t="s">
        <v>685</v>
      </c>
      <c r="D22" s="147">
        <v>2</v>
      </c>
      <c r="E22" s="147">
        <v>2</v>
      </c>
      <c r="F22" s="147" t="s">
        <v>228</v>
      </c>
    </row>
    <row r="23" spans="2:6" ht="15.75" x14ac:dyDescent="0.25">
      <c r="B23" s="170"/>
      <c r="C23" s="170"/>
      <c r="D23" s="170"/>
      <c r="E23" s="170"/>
      <c r="F23" s="170"/>
    </row>
    <row r="24" spans="2:6" ht="15.75" x14ac:dyDescent="0.25">
      <c r="B24" s="470" t="s">
        <v>100</v>
      </c>
      <c r="C24" s="471"/>
      <c r="D24" s="471"/>
      <c r="E24" s="471"/>
      <c r="F24" s="472"/>
    </row>
    <row r="25" spans="2:6" ht="15.75" x14ac:dyDescent="0.25">
      <c r="B25" s="382" t="s">
        <v>712</v>
      </c>
      <c r="C25" s="383"/>
      <c r="D25" s="383"/>
      <c r="E25" s="383"/>
      <c r="F25" s="384"/>
    </row>
    <row r="26" spans="2:6" ht="15.75" x14ac:dyDescent="0.25">
      <c r="B26" s="170"/>
      <c r="C26" s="170"/>
      <c r="D26" s="170"/>
      <c r="E26" s="170"/>
      <c r="F26" s="170"/>
    </row>
    <row r="27" spans="2:6" ht="15.75" x14ac:dyDescent="0.25">
      <c r="B27" s="470" t="s">
        <v>101</v>
      </c>
      <c r="C27" s="471"/>
      <c r="D27" s="471"/>
      <c r="E27" s="471"/>
      <c r="F27" s="472"/>
    </row>
    <row r="28" spans="2:6" ht="15.75" x14ac:dyDescent="0.25">
      <c r="B28" s="408" t="s">
        <v>711</v>
      </c>
      <c r="C28" s="383"/>
      <c r="D28" s="383"/>
      <c r="E28" s="383"/>
      <c r="F28" s="384"/>
    </row>
    <row r="29" spans="2:6" ht="15.75" x14ac:dyDescent="0.25">
      <c r="B29" s="170"/>
      <c r="C29" s="170"/>
      <c r="D29" s="170"/>
      <c r="E29" s="170"/>
      <c r="F29" s="170"/>
    </row>
    <row r="30" spans="2:6" ht="15.75" x14ac:dyDescent="0.25">
      <c r="B30" s="470" t="s">
        <v>573</v>
      </c>
      <c r="C30" s="471"/>
      <c r="D30" s="471"/>
      <c r="E30" s="471"/>
      <c r="F30" s="472"/>
    </row>
    <row r="31" spans="2:6" ht="15.75" x14ac:dyDescent="0.25">
      <c r="B31" s="382" t="s">
        <v>710</v>
      </c>
      <c r="C31" s="393"/>
      <c r="D31" s="393"/>
      <c r="E31" s="393"/>
      <c r="F31" s="394"/>
    </row>
    <row r="32" spans="2:6" ht="15.75" x14ac:dyDescent="0.25">
      <c r="B32" s="170"/>
      <c r="C32" s="170"/>
      <c r="D32" s="170"/>
      <c r="E32" s="170"/>
      <c r="F32" s="170"/>
    </row>
    <row r="33" spans="2:6" ht="15.75" x14ac:dyDescent="0.25">
      <c r="B33" s="470" t="s">
        <v>571</v>
      </c>
      <c r="C33" s="471"/>
      <c r="D33" s="471"/>
      <c r="E33" s="471"/>
      <c r="F33" s="472"/>
    </row>
    <row r="34" spans="2:6" ht="15.75" x14ac:dyDescent="0.25">
      <c r="B34" s="382" t="s">
        <v>709</v>
      </c>
      <c r="C34" s="393"/>
      <c r="D34" s="393"/>
      <c r="E34" s="393"/>
      <c r="F34" s="394"/>
    </row>
    <row r="35" spans="2:6" ht="15.75" x14ac:dyDescent="0.25">
      <c r="B35" s="170"/>
      <c r="C35" s="170"/>
      <c r="D35" s="170"/>
      <c r="E35" s="170"/>
      <c r="F35" s="170"/>
    </row>
    <row r="36" spans="2:6" ht="15.75" x14ac:dyDescent="0.25">
      <c r="B36" s="467" t="s">
        <v>569</v>
      </c>
      <c r="C36" s="468"/>
      <c r="D36" s="468"/>
      <c r="E36" s="468"/>
      <c r="F36" s="469"/>
    </row>
    <row r="37" spans="2:6" ht="15.75" x14ac:dyDescent="0.25">
      <c r="B37" s="261" t="s">
        <v>568</v>
      </c>
      <c r="C37" s="484" t="s">
        <v>567</v>
      </c>
      <c r="D37" s="484"/>
      <c r="E37" s="484"/>
      <c r="F37" s="484"/>
    </row>
    <row r="38" spans="2:6" ht="15.75" x14ac:dyDescent="0.25">
      <c r="B38" s="127" t="s">
        <v>681</v>
      </c>
      <c r="C38" s="388"/>
      <c r="D38" s="388"/>
      <c r="E38" s="388"/>
      <c r="F38" s="388"/>
    </row>
    <row r="39" spans="2:6" ht="15.75" x14ac:dyDescent="0.25">
      <c r="B39" s="171" t="s">
        <v>680</v>
      </c>
      <c r="C39" s="388"/>
      <c r="D39" s="388"/>
      <c r="E39" s="388"/>
      <c r="F39" s="388"/>
    </row>
    <row r="40" spans="2:6" ht="31.5" x14ac:dyDescent="0.25">
      <c r="B40" s="135" t="s">
        <v>679</v>
      </c>
      <c r="C40" s="443"/>
      <c r="D40" s="465"/>
      <c r="E40" s="465"/>
      <c r="F40" s="466"/>
    </row>
    <row r="41" spans="2:6" ht="15.75" x14ac:dyDescent="0.25">
      <c r="B41" s="127" t="s">
        <v>142</v>
      </c>
      <c r="C41" s="388"/>
      <c r="D41" s="388"/>
      <c r="E41" s="388"/>
      <c r="F41" s="388"/>
    </row>
    <row r="42" spans="2:6" ht="15.75" x14ac:dyDescent="0.25">
      <c r="B42" s="170"/>
      <c r="C42" s="170"/>
      <c r="D42" s="170"/>
      <c r="E42" s="170"/>
      <c r="F42" s="170"/>
    </row>
    <row r="43" spans="2:6" ht="15.75" x14ac:dyDescent="0.25">
      <c r="B43" s="470" t="s">
        <v>561</v>
      </c>
      <c r="C43" s="471"/>
      <c r="D43" s="471"/>
      <c r="E43" s="471"/>
      <c r="F43" s="472"/>
    </row>
    <row r="44" spans="2:6" ht="15.75" x14ac:dyDescent="0.25">
      <c r="B44" s="209" t="s">
        <v>560</v>
      </c>
      <c r="C44" s="484" t="s">
        <v>559</v>
      </c>
      <c r="D44" s="484"/>
      <c r="E44" s="484"/>
      <c r="F44" s="484"/>
    </row>
    <row r="45" spans="2:6" ht="15.75" x14ac:dyDescent="0.25">
      <c r="B45" s="536" t="s">
        <v>558</v>
      </c>
      <c r="C45" s="388" t="s">
        <v>21</v>
      </c>
      <c r="D45" s="388"/>
      <c r="E45" s="388"/>
      <c r="F45" s="388"/>
    </row>
    <row r="46" spans="2:6" ht="15.75" x14ac:dyDescent="0.25">
      <c r="B46" s="537"/>
      <c r="C46" s="388" t="s">
        <v>708</v>
      </c>
      <c r="D46" s="388"/>
      <c r="E46" s="388"/>
      <c r="F46" s="388"/>
    </row>
    <row r="47" spans="2:6" ht="15.75" x14ac:dyDescent="0.25">
      <c r="B47" s="538"/>
      <c r="C47" s="388"/>
      <c r="D47" s="388"/>
      <c r="E47" s="388"/>
      <c r="F47" s="388"/>
    </row>
    <row r="48" spans="2:6" ht="15.75" x14ac:dyDescent="0.25">
      <c r="B48" s="533" t="s">
        <v>551</v>
      </c>
      <c r="C48" s="388" t="s">
        <v>13</v>
      </c>
      <c r="D48" s="388"/>
      <c r="E48" s="388"/>
      <c r="F48" s="388"/>
    </row>
    <row r="49" spans="2:6" ht="15.75" x14ac:dyDescent="0.25">
      <c r="B49" s="534"/>
      <c r="C49" s="170"/>
      <c r="D49" s="170"/>
      <c r="E49" s="170"/>
      <c r="F49" s="170"/>
    </row>
    <row r="50" spans="2:6" ht="15.75" x14ac:dyDescent="0.25">
      <c r="B50" s="535"/>
      <c r="C50" s="388"/>
      <c r="D50" s="388"/>
      <c r="E50" s="388"/>
      <c r="F50" s="388"/>
    </row>
    <row r="51" spans="2:6" ht="15.75" x14ac:dyDescent="0.25">
      <c r="B51" s="533" t="s">
        <v>676</v>
      </c>
      <c r="C51" s="388" t="s">
        <v>607</v>
      </c>
      <c r="D51" s="388"/>
      <c r="E51" s="388"/>
      <c r="F51" s="388"/>
    </row>
    <row r="52" spans="2:6" ht="15.75" x14ac:dyDescent="0.25">
      <c r="B52" s="534"/>
      <c r="C52" s="388"/>
      <c r="D52" s="388"/>
      <c r="E52" s="388"/>
      <c r="F52" s="388"/>
    </row>
    <row r="53" spans="2:6" ht="15.75" x14ac:dyDescent="0.25">
      <c r="B53" s="535"/>
      <c r="C53" s="388"/>
      <c r="D53" s="388"/>
      <c r="E53" s="388"/>
      <c r="F53" s="388"/>
    </row>
    <row r="54" spans="2:6" ht="15.75" x14ac:dyDescent="0.25">
      <c r="B54" s="127" t="s">
        <v>142</v>
      </c>
      <c r="C54" s="388" t="s">
        <v>707</v>
      </c>
      <c r="D54" s="388"/>
      <c r="E54" s="388"/>
      <c r="F54" s="388"/>
    </row>
    <row r="55" spans="2:6" ht="15.75" x14ac:dyDescent="0.25">
      <c r="B55" s="190"/>
      <c r="C55" s="123"/>
      <c r="D55" s="123"/>
      <c r="E55" s="123"/>
      <c r="F55" s="123"/>
    </row>
    <row r="56" spans="2:6" ht="15.75" x14ac:dyDescent="0.25">
      <c r="B56" s="190"/>
      <c r="C56" s="123"/>
      <c r="D56" s="123"/>
      <c r="E56" s="123"/>
      <c r="F56" s="123"/>
    </row>
    <row r="57" spans="2:6" ht="15.75" x14ac:dyDescent="0.25">
      <c r="B57" s="170"/>
      <c r="C57" s="170"/>
      <c r="D57" s="170"/>
      <c r="E57" s="170"/>
      <c r="F57" s="170"/>
    </row>
    <row r="58" spans="2:6" ht="15.75" x14ac:dyDescent="0.25">
      <c r="B58" s="470" t="s">
        <v>667</v>
      </c>
      <c r="C58" s="471"/>
      <c r="D58" s="471"/>
      <c r="E58" s="471"/>
      <c r="F58" s="472"/>
    </row>
    <row r="59" spans="2:6" ht="15.75" x14ac:dyDescent="0.25">
      <c r="B59" s="209" t="s">
        <v>560</v>
      </c>
      <c r="C59" s="484" t="s">
        <v>666</v>
      </c>
      <c r="D59" s="484"/>
      <c r="E59" s="484"/>
      <c r="F59" s="484"/>
    </row>
    <row r="60" spans="2:6" ht="15.75" x14ac:dyDescent="0.25">
      <c r="B60" s="531" t="s">
        <v>558</v>
      </c>
      <c r="C60" s="446" t="s">
        <v>706</v>
      </c>
      <c r="D60" s="446"/>
      <c r="E60" s="446"/>
      <c r="F60" s="446"/>
    </row>
    <row r="61" spans="2:6" ht="15.75" x14ac:dyDescent="0.25">
      <c r="B61" s="532"/>
      <c r="C61" s="446" t="s">
        <v>705</v>
      </c>
      <c r="D61" s="446"/>
      <c r="E61" s="446"/>
      <c r="F61" s="446"/>
    </row>
    <row r="62" spans="2:6" ht="15.75" x14ac:dyDescent="0.25">
      <c r="B62" s="529" t="s">
        <v>551</v>
      </c>
      <c r="C62" s="446" t="s">
        <v>703</v>
      </c>
      <c r="D62" s="446"/>
      <c r="E62" s="446"/>
      <c r="F62" s="446"/>
    </row>
    <row r="63" spans="2:6" ht="15.75" x14ac:dyDescent="0.25">
      <c r="B63" s="530"/>
      <c r="C63" s="446" t="s">
        <v>704</v>
      </c>
      <c r="D63" s="446"/>
      <c r="E63" s="446"/>
      <c r="F63" s="446"/>
    </row>
    <row r="64" spans="2:6" ht="31.5" x14ac:dyDescent="0.25">
      <c r="B64" s="186" t="s">
        <v>643</v>
      </c>
      <c r="C64" s="446" t="s">
        <v>703</v>
      </c>
      <c r="D64" s="446"/>
      <c r="E64" s="446"/>
      <c r="F64" s="446"/>
    </row>
    <row r="65" spans="2:6" ht="15.75" x14ac:dyDescent="0.25">
      <c r="B65" s="186" t="s">
        <v>142</v>
      </c>
      <c r="C65" s="446" t="s">
        <v>702</v>
      </c>
      <c r="D65" s="446"/>
      <c r="E65" s="446"/>
      <c r="F65" s="446"/>
    </row>
    <row r="66" spans="2:6" ht="15.75" x14ac:dyDescent="0.25">
      <c r="B66" s="123"/>
      <c r="C66" s="190"/>
      <c r="D66" s="190"/>
      <c r="E66" s="190"/>
      <c r="F66" s="190"/>
    </row>
    <row r="67" spans="2:6" ht="15.75" x14ac:dyDescent="0.25">
      <c r="B67" s="470" t="s">
        <v>105</v>
      </c>
      <c r="C67" s="471"/>
      <c r="D67" s="471"/>
      <c r="E67" s="471"/>
      <c r="F67" s="472"/>
    </row>
    <row r="68" spans="2:6" ht="15.75" x14ac:dyDescent="0.25">
      <c r="B68" s="408" t="s">
        <v>701</v>
      </c>
      <c r="C68" s="383"/>
      <c r="D68" s="383"/>
      <c r="E68" s="383"/>
      <c r="F68" s="384"/>
    </row>
    <row r="69" spans="2:6" ht="15.75" x14ac:dyDescent="0.25">
      <c r="B69" s="190"/>
      <c r="C69" s="123"/>
      <c r="D69" s="123"/>
      <c r="E69" s="123"/>
      <c r="F69" s="123"/>
    </row>
    <row r="70" spans="2:6" ht="15.75" x14ac:dyDescent="0.25">
      <c r="B70" s="470" t="s">
        <v>473</v>
      </c>
      <c r="C70" s="471"/>
      <c r="D70" s="471"/>
      <c r="E70" s="471"/>
      <c r="F70" s="472"/>
    </row>
    <row r="71" spans="2:6" ht="15.75" x14ac:dyDescent="0.25">
      <c r="B71" s="127" t="s">
        <v>548</v>
      </c>
      <c r="C71" s="388" t="s">
        <v>659</v>
      </c>
      <c r="D71" s="388"/>
      <c r="E71" s="388"/>
      <c r="F71" s="388"/>
    </row>
    <row r="72" spans="2:6" ht="15.75" x14ac:dyDescent="0.25">
      <c r="B72" s="127" t="s">
        <v>547</v>
      </c>
      <c r="C72" s="388" t="s">
        <v>659</v>
      </c>
      <c r="D72" s="388"/>
      <c r="E72" s="388"/>
      <c r="F72" s="388"/>
    </row>
    <row r="73" spans="2:6" ht="15.75" x14ac:dyDescent="0.25">
      <c r="B73" s="127" t="s">
        <v>546</v>
      </c>
      <c r="C73" s="388"/>
      <c r="D73" s="388"/>
      <c r="E73" s="388"/>
      <c r="F73" s="388"/>
    </row>
    <row r="74" spans="2:6" ht="15.75" x14ac:dyDescent="0.25">
      <c r="B74" s="127" t="s">
        <v>660</v>
      </c>
      <c r="C74" s="446" t="s">
        <v>700</v>
      </c>
      <c r="D74" s="446"/>
      <c r="E74" s="446"/>
      <c r="F74" s="446"/>
    </row>
    <row r="75" spans="2:6" ht="15.75" x14ac:dyDescent="0.25">
      <c r="B75" s="127" t="s">
        <v>108</v>
      </c>
      <c r="C75" s="388"/>
      <c r="D75" s="388"/>
      <c r="E75" s="388"/>
      <c r="F75" s="388"/>
    </row>
    <row r="76" spans="2:6" ht="15.75" x14ac:dyDescent="0.25">
      <c r="B76" s="170"/>
      <c r="C76" s="170"/>
      <c r="D76" s="170"/>
      <c r="E76" s="170"/>
      <c r="F76" s="170"/>
    </row>
    <row r="77" spans="2:6" ht="15.75" x14ac:dyDescent="0.25">
      <c r="B77" s="470" t="s">
        <v>106</v>
      </c>
      <c r="C77" s="471"/>
      <c r="D77" s="471"/>
      <c r="E77" s="471"/>
      <c r="F77" s="472"/>
    </row>
    <row r="78" spans="2:6" ht="15.75" x14ac:dyDescent="0.25">
      <c r="B78" s="392" t="s">
        <v>699</v>
      </c>
      <c r="C78" s="383"/>
      <c r="D78" s="383"/>
      <c r="E78" s="383"/>
      <c r="F78" s="384"/>
    </row>
    <row r="79" spans="2:6" ht="15.75" x14ac:dyDescent="0.25">
      <c r="B79" s="170"/>
      <c r="C79" s="170"/>
      <c r="D79" s="170"/>
      <c r="E79" s="170"/>
      <c r="F79" s="170"/>
    </row>
    <row r="80" spans="2:6" ht="15.75" x14ac:dyDescent="0.25">
      <c r="B80" s="467" t="s">
        <v>240</v>
      </c>
      <c r="C80" s="468"/>
      <c r="D80" s="468"/>
      <c r="E80" s="468"/>
      <c r="F80" s="469"/>
    </row>
    <row r="81" spans="2:6" ht="15.75" x14ac:dyDescent="0.25">
      <c r="B81" s="209" t="s">
        <v>241</v>
      </c>
      <c r="C81" s="209" t="s">
        <v>242</v>
      </c>
      <c r="D81" s="470" t="s">
        <v>243</v>
      </c>
      <c r="E81" s="471"/>
      <c r="F81" s="472"/>
    </row>
    <row r="82" spans="2:6" ht="15.75" x14ac:dyDescent="0.25">
      <c r="B82" s="127" t="s">
        <v>657</v>
      </c>
      <c r="C82" s="127" t="s">
        <v>281</v>
      </c>
      <c r="D82" s="443"/>
      <c r="E82" s="465"/>
      <c r="F82" s="466"/>
    </row>
    <row r="83" spans="2:6" ht="15.75" x14ac:dyDescent="0.25">
      <c r="B83" s="127"/>
      <c r="C83" s="127"/>
      <c r="D83" s="443"/>
      <c r="E83" s="465"/>
      <c r="F83" s="466"/>
    </row>
    <row r="84" spans="2:6" ht="15.75" x14ac:dyDescent="0.25">
      <c r="B84" s="127"/>
      <c r="C84" s="127"/>
      <c r="D84" s="443"/>
      <c r="E84" s="465"/>
      <c r="F84" s="466"/>
    </row>
    <row r="85" spans="2:6" ht="15.75" x14ac:dyDescent="0.25">
      <c r="B85" s="170"/>
      <c r="C85" s="170"/>
      <c r="D85" s="170"/>
      <c r="E85" s="170"/>
      <c r="F85" s="170"/>
    </row>
    <row r="86" spans="2:6" ht="15.75" x14ac:dyDescent="0.25">
      <c r="B86" s="467" t="s">
        <v>543</v>
      </c>
      <c r="C86" s="468"/>
      <c r="D86" s="468"/>
      <c r="E86" s="468"/>
      <c r="F86" s="469"/>
    </row>
    <row r="87" spans="2:6" ht="15.75" x14ac:dyDescent="0.25">
      <c r="B87" s="209" t="s">
        <v>542</v>
      </c>
      <c r="C87" s="209" t="s">
        <v>541</v>
      </c>
      <c r="D87" s="470" t="s">
        <v>540</v>
      </c>
      <c r="E87" s="471"/>
      <c r="F87" s="472"/>
    </row>
    <row r="88" spans="2:6" ht="15.75" x14ac:dyDescent="0.25">
      <c r="B88" s="127" t="s">
        <v>698</v>
      </c>
      <c r="C88" s="127" t="s">
        <v>653</v>
      </c>
      <c r="D88" s="513" t="s">
        <v>697</v>
      </c>
      <c r="E88" s="514"/>
      <c r="F88" s="515"/>
    </row>
    <row r="89" spans="2:6" ht="15.75" x14ac:dyDescent="0.25">
      <c r="B89" s="127" t="s">
        <v>696</v>
      </c>
      <c r="C89" s="127" t="s">
        <v>653</v>
      </c>
      <c r="D89" s="443" t="s">
        <v>695</v>
      </c>
      <c r="E89" s="465"/>
      <c r="F89" s="466"/>
    </row>
    <row r="90" spans="2:6" ht="15.75" x14ac:dyDescent="0.25">
      <c r="B90" s="127" t="s">
        <v>694</v>
      </c>
      <c r="C90" s="127" t="s">
        <v>653</v>
      </c>
      <c r="D90" s="443" t="s">
        <v>693</v>
      </c>
      <c r="E90" s="465"/>
      <c r="F90" s="466"/>
    </row>
    <row r="91" spans="2:6" ht="15.75" x14ac:dyDescent="0.25">
      <c r="B91" s="170"/>
      <c r="C91" s="170"/>
      <c r="D91" s="170"/>
      <c r="E91" s="170"/>
      <c r="F91" s="170"/>
    </row>
    <row r="92" spans="2:6" ht="15.75" x14ac:dyDescent="0.25">
      <c r="B92" s="470" t="s">
        <v>107</v>
      </c>
      <c r="C92" s="471"/>
      <c r="D92" s="471"/>
      <c r="E92" s="471"/>
      <c r="F92" s="472"/>
    </row>
    <row r="93" spans="2:6" ht="15.75" x14ac:dyDescent="0.25">
      <c r="B93" s="382" t="s">
        <v>692</v>
      </c>
      <c r="C93" s="383"/>
      <c r="D93" s="383"/>
      <c r="E93" s="383"/>
      <c r="F93" s="384"/>
    </row>
    <row r="94" spans="2:6" ht="15.75" x14ac:dyDescent="0.25">
      <c r="B94" s="170"/>
      <c r="C94" s="170"/>
      <c r="D94" s="170"/>
      <c r="E94" s="170"/>
      <c r="F94" s="170"/>
    </row>
    <row r="95" spans="2:6" x14ac:dyDescent="0.25">
      <c r="B95" s="34"/>
      <c r="C95" s="34"/>
      <c r="D95" s="34"/>
      <c r="E95" s="34"/>
      <c r="F95" s="34"/>
    </row>
  </sheetData>
  <mergeCells count="80">
    <mergeCell ref="C4:F4"/>
    <mergeCell ref="C5:F5"/>
    <mergeCell ref="C6:F6"/>
    <mergeCell ref="C7:F7"/>
    <mergeCell ref="C8:F8"/>
    <mergeCell ref="C9:F9"/>
    <mergeCell ref="B11:F11"/>
    <mergeCell ref="B12:C12"/>
    <mergeCell ref="D12:F12"/>
    <mergeCell ref="B13:C13"/>
    <mergeCell ref="D13:F13"/>
    <mergeCell ref="B15:F15"/>
    <mergeCell ref="B16:D16"/>
    <mergeCell ref="E16:F16"/>
    <mergeCell ref="B17:D17"/>
    <mergeCell ref="E17:F17"/>
    <mergeCell ref="B18:D18"/>
    <mergeCell ref="E18:F18"/>
    <mergeCell ref="B19:D19"/>
    <mergeCell ref="E19:F19"/>
    <mergeCell ref="B24:F24"/>
    <mergeCell ref="B25:F25"/>
    <mergeCell ref="B27:F27"/>
    <mergeCell ref="B28:F28"/>
    <mergeCell ref="B30:F30"/>
    <mergeCell ref="B31:F31"/>
    <mergeCell ref="B33:F33"/>
    <mergeCell ref="B34:F34"/>
    <mergeCell ref="B36:F36"/>
    <mergeCell ref="C37:F37"/>
    <mergeCell ref="C38:F38"/>
    <mergeCell ref="C39:F39"/>
    <mergeCell ref="C40:F40"/>
    <mergeCell ref="C41:F41"/>
    <mergeCell ref="B43:F43"/>
    <mergeCell ref="C44:F44"/>
    <mergeCell ref="B45:B47"/>
    <mergeCell ref="C45:F45"/>
    <mergeCell ref="C46:F46"/>
    <mergeCell ref="C47:F47"/>
    <mergeCell ref="B48:B50"/>
    <mergeCell ref="C48:F48"/>
    <mergeCell ref="C50:F50"/>
    <mergeCell ref="B51:B53"/>
    <mergeCell ref="C51:F51"/>
    <mergeCell ref="C52:F52"/>
    <mergeCell ref="C53:F53"/>
    <mergeCell ref="C54:F54"/>
    <mergeCell ref="B58:F58"/>
    <mergeCell ref="C59:F59"/>
    <mergeCell ref="B60:B61"/>
    <mergeCell ref="C60:F60"/>
    <mergeCell ref="C61:F61"/>
    <mergeCell ref="B62:B63"/>
    <mergeCell ref="C62:F62"/>
    <mergeCell ref="C63:F63"/>
    <mergeCell ref="C64:F64"/>
    <mergeCell ref="C65:F65"/>
    <mergeCell ref="B67:F67"/>
    <mergeCell ref="B68:F68"/>
    <mergeCell ref="B70:F70"/>
    <mergeCell ref="C71:F71"/>
    <mergeCell ref="C72:F72"/>
    <mergeCell ref="C73:F73"/>
    <mergeCell ref="C74:F74"/>
    <mergeCell ref="C75:F75"/>
    <mergeCell ref="B77:F77"/>
    <mergeCell ref="B78:F78"/>
    <mergeCell ref="B80:F80"/>
    <mergeCell ref="D81:F81"/>
    <mergeCell ref="D82:F82"/>
    <mergeCell ref="D83:F83"/>
    <mergeCell ref="D84:F84"/>
    <mergeCell ref="B92:F92"/>
    <mergeCell ref="B93:F93"/>
    <mergeCell ref="B86:F86"/>
    <mergeCell ref="D87:F87"/>
    <mergeCell ref="D88:F88"/>
    <mergeCell ref="D89:F89"/>
    <mergeCell ref="D90:F90"/>
  </mergeCells>
  <dataValidations count="3">
    <dataValidation type="list" allowBlank="1" showInputMessage="1" showErrorMessage="1" sqref="C4">
      <formula1>"Mise à jour à partir du plan d'études, Nouvelle création"</formula1>
    </dataValidation>
    <dataValidation type="list" allowBlank="1" showInputMessage="1" showErrorMessage="1" sqref="C82:C84">
      <formula1>"Académique, Professionnel, Associatif, Autre"</formula1>
    </dataValidation>
    <dataValidation type="list" allowBlank="1" showInputMessage="1" showErrorMessage="1" sqref="C88:C90">
      <formula1>"Formation, Certification, Stage / projet, Autre"</formula1>
    </dataValidation>
  </dataValidations>
  <hyperlinks>
    <hyperlink ref="B1" r:id="rId1" location="'Schéma d''enseignement'!A1"/>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rgb="FF00B050"/>
  </sheetPr>
  <dimension ref="B1:F93"/>
  <sheetViews>
    <sheetView view="pageBreakPreview" zoomScaleNormal="100" zoomScaleSheetLayoutView="100" workbookViewId="0">
      <selection activeCell="B1" sqref="B1"/>
    </sheetView>
  </sheetViews>
  <sheetFormatPr baseColWidth="10" defaultColWidth="8.85546875" defaultRowHeight="15.75" x14ac:dyDescent="0.25"/>
  <cols>
    <col min="1" max="1" width="1.140625" style="108" customWidth="1"/>
    <col min="2" max="2" width="22.140625" style="108" customWidth="1"/>
    <col min="3" max="3" width="15.5703125" style="108" customWidth="1"/>
    <col min="4" max="4" width="11.85546875" style="108" customWidth="1"/>
    <col min="5" max="5" width="7" style="108" customWidth="1"/>
    <col min="6" max="6" width="21.85546875" style="108" customWidth="1"/>
    <col min="7" max="7" width="4.140625" style="108" customWidth="1"/>
    <col min="8" max="8" width="0.140625" style="108" customWidth="1"/>
    <col min="9" max="16384" width="8.85546875" style="108"/>
  </cols>
  <sheetData>
    <row r="1" spans="2:6" x14ac:dyDescent="0.25">
      <c r="B1" s="309" t="s">
        <v>857</v>
      </c>
    </row>
    <row r="2" spans="2:6" ht="22.35" customHeight="1" x14ac:dyDescent="0.25">
      <c r="B2" s="109" t="s">
        <v>715</v>
      </c>
      <c r="C2" s="110"/>
      <c r="D2" s="110"/>
      <c r="E2" s="110"/>
      <c r="F2" s="110"/>
    </row>
    <row r="3" spans="2:6" s="112" customFormat="1" x14ac:dyDescent="0.25"/>
    <row r="4" spans="2:6" s="112" customFormat="1" x14ac:dyDescent="0.25">
      <c r="B4" s="113" t="s">
        <v>87</v>
      </c>
      <c r="C4" s="395" t="s">
        <v>465</v>
      </c>
      <c r="D4" s="395"/>
      <c r="E4" s="395"/>
      <c r="F4" s="395"/>
    </row>
    <row r="5" spans="2:6" s="112" customFormat="1" ht="31.5" x14ac:dyDescent="0.25">
      <c r="B5" s="115" t="s">
        <v>88</v>
      </c>
      <c r="C5" s="404" t="s">
        <v>466</v>
      </c>
      <c r="D5" s="404"/>
      <c r="E5" s="404"/>
      <c r="F5" s="404"/>
    </row>
    <row r="6" spans="2:6" s="112" customFormat="1" x14ac:dyDescent="0.25">
      <c r="B6" s="113" t="s">
        <v>89</v>
      </c>
      <c r="C6" s="395" t="s">
        <v>590</v>
      </c>
      <c r="D6" s="395"/>
      <c r="E6" s="395"/>
      <c r="F6" s="395"/>
    </row>
    <row r="7" spans="2:6" s="112" customFormat="1" x14ac:dyDescent="0.25">
      <c r="B7" s="113" t="s">
        <v>90</v>
      </c>
      <c r="C7" s="395" t="s">
        <v>688</v>
      </c>
      <c r="D7" s="395"/>
      <c r="E7" s="395"/>
      <c r="F7" s="395"/>
    </row>
    <row r="8" spans="2:6" s="112" customFormat="1" x14ac:dyDescent="0.25">
      <c r="B8" s="113" t="s">
        <v>225</v>
      </c>
      <c r="C8" s="395" t="s">
        <v>588</v>
      </c>
      <c r="D8" s="395"/>
      <c r="E8" s="395"/>
      <c r="F8" s="395"/>
    </row>
    <row r="9" spans="2:6" s="112" customFormat="1" x14ac:dyDescent="0.25">
      <c r="B9" s="113" t="s">
        <v>91</v>
      </c>
      <c r="C9" s="395">
        <v>4</v>
      </c>
      <c r="D9" s="395"/>
      <c r="E9" s="395"/>
      <c r="F9" s="395"/>
    </row>
    <row r="10" spans="2:6" s="112" customFormat="1" x14ac:dyDescent="0.25"/>
    <row r="11" spans="2:6" s="112" customFormat="1" x14ac:dyDescent="0.25">
      <c r="B11" s="396" t="s">
        <v>587</v>
      </c>
      <c r="C11" s="396"/>
      <c r="D11" s="396"/>
      <c r="E11" s="396"/>
      <c r="F11" s="396"/>
    </row>
    <row r="12" spans="2:6" s="112" customFormat="1" x14ac:dyDescent="0.25">
      <c r="B12" s="396" t="s">
        <v>93</v>
      </c>
      <c r="C12" s="396"/>
      <c r="D12" s="396" t="s">
        <v>94</v>
      </c>
      <c r="E12" s="396"/>
      <c r="F12" s="396"/>
    </row>
    <row r="13" spans="2:6" s="112" customFormat="1" x14ac:dyDescent="0.25">
      <c r="B13" s="491">
        <v>42796</v>
      </c>
      <c r="C13" s="491"/>
      <c r="D13" s="395" t="s">
        <v>227</v>
      </c>
      <c r="E13" s="395"/>
      <c r="F13" s="395"/>
    </row>
    <row r="14" spans="2:6" s="112" customFormat="1" x14ac:dyDescent="0.25">
      <c r="B14" s="539"/>
      <c r="C14" s="539"/>
      <c r="D14" s="539"/>
      <c r="E14" s="539"/>
      <c r="F14" s="539"/>
    </row>
    <row r="15" spans="2:6" s="112" customFormat="1" x14ac:dyDescent="0.25">
      <c r="B15" s="539"/>
      <c r="C15" s="539"/>
      <c r="D15" s="539"/>
      <c r="E15" s="539"/>
      <c r="F15" s="539"/>
    </row>
    <row r="16" spans="2:6" s="112" customFormat="1" x14ac:dyDescent="0.25"/>
    <row r="17" spans="2:6" s="112" customFormat="1" x14ac:dyDescent="0.25">
      <c r="B17" s="396" t="s">
        <v>583</v>
      </c>
      <c r="C17" s="396"/>
      <c r="D17" s="396"/>
      <c r="E17" s="396"/>
      <c r="F17" s="396"/>
    </row>
    <row r="18" spans="2:6" s="112" customFormat="1" x14ac:dyDescent="0.25">
      <c r="B18" s="396" t="s">
        <v>582</v>
      </c>
      <c r="C18" s="396"/>
      <c r="D18" s="396"/>
      <c r="E18" s="396" t="s">
        <v>93</v>
      </c>
      <c r="F18" s="396"/>
    </row>
    <row r="19" spans="2:6" s="112" customFormat="1" x14ac:dyDescent="0.25">
      <c r="B19" s="395" t="s">
        <v>716</v>
      </c>
      <c r="C19" s="395"/>
      <c r="D19" s="395"/>
      <c r="E19" s="491">
        <v>42796</v>
      </c>
      <c r="F19" s="395"/>
    </row>
    <row r="20" spans="2:6" s="112" customFormat="1" x14ac:dyDescent="0.25">
      <c r="B20" s="539"/>
      <c r="C20" s="539"/>
      <c r="D20" s="539"/>
      <c r="E20" s="539"/>
      <c r="F20" s="539"/>
    </row>
    <row r="21" spans="2:6" s="112" customFormat="1" x14ac:dyDescent="0.25"/>
    <row r="22" spans="2:6" s="112" customFormat="1" x14ac:dyDescent="0.25">
      <c r="B22" s="118" t="s">
        <v>95</v>
      </c>
      <c r="C22" s="118" t="s">
        <v>96</v>
      </c>
      <c r="D22" s="118" t="s">
        <v>97</v>
      </c>
      <c r="E22" s="118" t="s">
        <v>98</v>
      </c>
      <c r="F22" s="118" t="s">
        <v>99</v>
      </c>
    </row>
    <row r="23" spans="2:6" s="112" customFormat="1" ht="41.45" customHeight="1" x14ac:dyDescent="0.25">
      <c r="B23" s="264" t="s">
        <v>717</v>
      </c>
      <c r="C23" s="265" t="s">
        <v>685</v>
      </c>
      <c r="D23" s="265">
        <v>2</v>
      </c>
      <c r="E23" s="265">
        <v>2</v>
      </c>
      <c r="F23" s="265" t="s">
        <v>228</v>
      </c>
    </row>
    <row r="24" spans="2:6" s="112" customFormat="1" x14ac:dyDescent="0.25"/>
    <row r="25" spans="2:6" s="112" customFormat="1" x14ac:dyDescent="0.25">
      <c r="B25" s="379" t="s">
        <v>100</v>
      </c>
      <c r="C25" s="380"/>
      <c r="D25" s="380"/>
      <c r="E25" s="380"/>
      <c r="F25" s="381"/>
    </row>
    <row r="26" spans="2:6" s="112" customFormat="1" ht="45" customHeight="1" x14ac:dyDescent="0.25">
      <c r="B26" s="540" t="s">
        <v>718</v>
      </c>
      <c r="C26" s="383"/>
      <c r="D26" s="383"/>
      <c r="E26" s="383"/>
      <c r="F26" s="384"/>
    </row>
    <row r="27" spans="2:6" s="112" customFormat="1" x14ac:dyDescent="0.25"/>
    <row r="28" spans="2:6" s="112" customFormat="1" x14ac:dyDescent="0.25">
      <c r="B28" s="379" t="s">
        <v>101</v>
      </c>
      <c r="C28" s="380"/>
      <c r="D28" s="380"/>
      <c r="E28" s="380"/>
      <c r="F28" s="381"/>
    </row>
    <row r="29" spans="2:6" s="112" customFormat="1" ht="153.75" customHeight="1" x14ac:dyDescent="0.25">
      <c r="B29" s="408" t="s">
        <v>719</v>
      </c>
      <c r="C29" s="383"/>
      <c r="D29" s="383"/>
      <c r="E29" s="383"/>
      <c r="F29" s="384"/>
    </row>
    <row r="30" spans="2:6" s="112" customFormat="1" x14ac:dyDescent="0.25"/>
    <row r="31" spans="2:6" s="112" customFormat="1" x14ac:dyDescent="0.25">
      <c r="B31" s="379" t="s">
        <v>573</v>
      </c>
      <c r="C31" s="380"/>
      <c r="D31" s="380"/>
      <c r="E31" s="380"/>
      <c r="F31" s="381"/>
    </row>
    <row r="32" spans="2:6" s="112" customFormat="1" ht="45.6" customHeight="1" x14ac:dyDescent="0.25">
      <c r="B32" s="392" t="s">
        <v>720</v>
      </c>
      <c r="C32" s="383"/>
      <c r="D32" s="383"/>
      <c r="E32" s="383"/>
      <c r="F32" s="384"/>
    </row>
    <row r="33" spans="2:6" s="112" customFormat="1" x14ac:dyDescent="0.25"/>
    <row r="34" spans="2:6" s="112" customFormat="1" x14ac:dyDescent="0.25">
      <c r="B34" s="379" t="s">
        <v>571</v>
      </c>
      <c r="C34" s="380"/>
      <c r="D34" s="380"/>
      <c r="E34" s="380"/>
      <c r="F34" s="381"/>
    </row>
    <row r="35" spans="2:6" s="112" customFormat="1" ht="47.45" customHeight="1" x14ac:dyDescent="0.25">
      <c r="B35" s="382" t="s">
        <v>721</v>
      </c>
      <c r="C35" s="393"/>
      <c r="D35" s="393"/>
      <c r="E35" s="393"/>
      <c r="F35" s="394"/>
    </row>
    <row r="36" spans="2:6" s="112" customFormat="1" x14ac:dyDescent="0.25"/>
    <row r="37" spans="2:6" s="112" customFormat="1" ht="31.5" customHeight="1" x14ac:dyDescent="0.25">
      <c r="B37" s="447" t="s">
        <v>569</v>
      </c>
      <c r="C37" s="448"/>
      <c r="D37" s="448"/>
      <c r="E37" s="448"/>
      <c r="F37" s="449"/>
    </row>
    <row r="38" spans="2:6" s="112" customFormat="1" x14ac:dyDescent="0.25">
      <c r="B38" s="188" t="s">
        <v>568</v>
      </c>
      <c r="C38" s="541" t="s">
        <v>567</v>
      </c>
      <c r="D38" s="541"/>
      <c r="E38" s="541"/>
      <c r="F38" s="541"/>
    </row>
    <row r="39" spans="2:6" s="112" customFormat="1" x14ac:dyDescent="0.25">
      <c r="B39" s="127" t="s">
        <v>681</v>
      </c>
      <c r="C39" s="542"/>
      <c r="D39" s="542"/>
      <c r="E39" s="542"/>
      <c r="F39" s="542"/>
    </row>
    <row r="40" spans="2:6" s="112" customFormat="1" ht="31.5" x14ac:dyDescent="0.25">
      <c r="B40" s="135" t="s">
        <v>680</v>
      </c>
      <c r="C40" s="542"/>
      <c r="D40" s="542"/>
      <c r="E40" s="542"/>
      <c r="F40" s="542"/>
    </row>
    <row r="41" spans="2:6" s="112" customFormat="1" ht="31.5" x14ac:dyDescent="0.25">
      <c r="B41" s="135" t="s">
        <v>679</v>
      </c>
      <c r="C41" s="405"/>
      <c r="D41" s="406"/>
      <c r="E41" s="406"/>
      <c r="F41" s="407"/>
    </row>
    <row r="42" spans="2:6" s="112" customFormat="1" x14ac:dyDescent="0.25">
      <c r="B42" s="135" t="s">
        <v>142</v>
      </c>
      <c r="C42" s="405"/>
      <c r="D42" s="406"/>
      <c r="E42" s="406"/>
      <c r="F42" s="407"/>
    </row>
    <row r="43" spans="2:6" s="112" customFormat="1" x14ac:dyDescent="0.25"/>
    <row r="44" spans="2:6" s="112" customFormat="1" x14ac:dyDescent="0.25">
      <c r="B44" s="379" t="s">
        <v>561</v>
      </c>
      <c r="C44" s="380"/>
      <c r="D44" s="380"/>
      <c r="E44" s="380"/>
      <c r="F44" s="381"/>
    </row>
    <row r="45" spans="2:6" s="112" customFormat="1" x14ac:dyDescent="0.25">
      <c r="B45" s="128" t="s">
        <v>560</v>
      </c>
      <c r="C45" s="541" t="s">
        <v>559</v>
      </c>
      <c r="D45" s="541"/>
      <c r="E45" s="541"/>
      <c r="F45" s="541"/>
    </row>
    <row r="46" spans="2:6" s="112" customFormat="1" x14ac:dyDescent="0.25">
      <c r="B46" s="533" t="s">
        <v>558</v>
      </c>
      <c r="C46" s="446" t="s">
        <v>645</v>
      </c>
      <c r="D46" s="446"/>
      <c r="E46" s="446"/>
      <c r="F46" s="446"/>
    </row>
    <row r="47" spans="2:6" s="112" customFormat="1" x14ac:dyDescent="0.25">
      <c r="B47" s="534"/>
      <c r="C47" s="446" t="s">
        <v>722</v>
      </c>
      <c r="D47" s="446"/>
      <c r="E47" s="446"/>
      <c r="F47" s="446"/>
    </row>
    <row r="48" spans="2:6" s="112" customFormat="1" x14ac:dyDescent="0.25">
      <c r="B48" s="535"/>
      <c r="C48" s="446"/>
      <c r="D48" s="446"/>
      <c r="E48" s="446"/>
      <c r="F48" s="446"/>
    </row>
    <row r="49" spans="2:6" s="112" customFormat="1" x14ac:dyDescent="0.25">
      <c r="B49" s="533" t="s">
        <v>551</v>
      </c>
      <c r="C49" s="446" t="s">
        <v>645</v>
      </c>
      <c r="D49" s="446"/>
      <c r="E49" s="446"/>
      <c r="F49" s="446"/>
    </row>
    <row r="50" spans="2:6" s="112" customFormat="1" x14ac:dyDescent="0.25">
      <c r="B50" s="534"/>
      <c r="C50" s="446"/>
      <c r="D50" s="446"/>
      <c r="E50" s="446"/>
      <c r="F50" s="446"/>
    </row>
    <row r="51" spans="2:6" s="112" customFormat="1" x14ac:dyDescent="0.25">
      <c r="B51" s="535"/>
      <c r="C51" s="446"/>
      <c r="D51" s="446"/>
      <c r="E51" s="446"/>
      <c r="F51" s="446"/>
    </row>
    <row r="52" spans="2:6" s="112" customFormat="1" x14ac:dyDescent="0.25">
      <c r="B52" s="446" t="s">
        <v>723</v>
      </c>
      <c r="C52" s="446" t="s">
        <v>645</v>
      </c>
      <c r="D52" s="446"/>
      <c r="E52" s="446"/>
      <c r="F52" s="446"/>
    </row>
    <row r="53" spans="2:6" s="112" customFormat="1" ht="18" customHeight="1" x14ac:dyDescent="0.25">
      <c r="B53" s="446"/>
      <c r="C53" s="485" t="s">
        <v>19</v>
      </c>
      <c r="D53" s="486"/>
      <c r="E53" s="486"/>
      <c r="F53" s="487"/>
    </row>
    <row r="54" spans="2:6" s="112" customFormat="1" x14ac:dyDescent="0.25">
      <c r="B54" s="446" t="s">
        <v>142</v>
      </c>
      <c r="C54" s="446" t="s">
        <v>645</v>
      </c>
      <c r="D54" s="446"/>
      <c r="E54" s="446"/>
      <c r="F54" s="446"/>
    </row>
    <row r="55" spans="2:6" s="112" customFormat="1" x14ac:dyDescent="0.25">
      <c r="B55" s="446"/>
      <c r="C55" s="485" t="s">
        <v>707</v>
      </c>
      <c r="D55" s="486"/>
      <c r="E55" s="486"/>
      <c r="F55" s="487"/>
    </row>
    <row r="56" spans="2:6" s="112" customFormat="1" x14ac:dyDescent="0.25">
      <c r="C56" s="266"/>
      <c r="D56" s="266"/>
      <c r="E56" s="266"/>
      <c r="F56" s="266"/>
    </row>
    <row r="57" spans="2:6" s="112" customFormat="1" x14ac:dyDescent="0.25">
      <c r="B57" s="379" t="s">
        <v>667</v>
      </c>
      <c r="C57" s="380"/>
      <c r="D57" s="380"/>
      <c r="E57" s="380"/>
      <c r="F57" s="381"/>
    </row>
    <row r="58" spans="2:6" s="112" customFormat="1" x14ac:dyDescent="0.25">
      <c r="B58" s="128" t="s">
        <v>560</v>
      </c>
      <c r="C58" s="541" t="s">
        <v>666</v>
      </c>
      <c r="D58" s="541"/>
      <c r="E58" s="541"/>
      <c r="F58" s="541"/>
    </row>
    <row r="59" spans="2:6" s="112" customFormat="1" ht="34.5" customHeight="1" x14ac:dyDescent="0.25">
      <c r="B59" s="529" t="s">
        <v>558</v>
      </c>
      <c r="C59" s="446" t="s">
        <v>724</v>
      </c>
      <c r="D59" s="446"/>
      <c r="E59" s="446"/>
      <c r="F59" s="446"/>
    </row>
    <row r="60" spans="2:6" s="112" customFormat="1" ht="37.5" customHeight="1" x14ac:dyDescent="0.25">
      <c r="B60" s="530"/>
      <c r="C60" s="446" t="s">
        <v>725</v>
      </c>
      <c r="D60" s="446"/>
      <c r="E60" s="446"/>
      <c r="F60" s="446"/>
    </row>
    <row r="61" spans="2:6" s="112" customFormat="1" ht="39" customHeight="1" x14ac:dyDescent="0.25">
      <c r="B61" s="543"/>
      <c r="C61" s="446" t="s">
        <v>726</v>
      </c>
      <c r="D61" s="446"/>
      <c r="E61" s="446"/>
      <c r="F61" s="446"/>
    </row>
    <row r="62" spans="2:6" s="112" customFormat="1" ht="35.25" customHeight="1" x14ac:dyDescent="0.25">
      <c r="B62" s="529" t="s">
        <v>551</v>
      </c>
      <c r="C62" s="446" t="s">
        <v>727</v>
      </c>
      <c r="D62" s="446"/>
      <c r="E62" s="446"/>
      <c r="F62" s="446"/>
    </row>
    <row r="63" spans="2:6" s="112" customFormat="1" ht="36" customHeight="1" x14ac:dyDescent="0.25">
      <c r="B63" s="530"/>
      <c r="C63" s="446" t="s">
        <v>728</v>
      </c>
      <c r="D63" s="446"/>
      <c r="E63" s="446"/>
      <c r="F63" s="446"/>
    </row>
    <row r="64" spans="2:6" s="112" customFormat="1" ht="35.25" customHeight="1" x14ac:dyDescent="0.25">
      <c r="B64" s="456" t="s">
        <v>643</v>
      </c>
      <c r="C64" s="446" t="s">
        <v>729</v>
      </c>
      <c r="D64" s="446"/>
      <c r="E64" s="446"/>
      <c r="F64" s="446"/>
    </row>
    <row r="65" spans="2:6" s="112" customFormat="1" ht="21" customHeight="1" x14ac:dyDescent="0.25">
      <c r="B65" s="456"/>
      <c r="C65" s="446"/>
      <c r="D65" s="446"/>
      <c r="E65" s="446"/>
      <c r="F65" s="446"/>
    </row>
    <row r="66" spans="2:6" s="112" customFormat="1" x14ac:dyDescent="0.25"/>
    <row r="67" spans="2:6" s="112" customFormat="1" x14ac:dyDescent="0.25">
      <c r="B67" s="379" t="s">
        <v>105</v>
      </c>
      <c r="C67" s="380"/>
      <c r="D67" s="380"/>
      <c r="E67" s="380"/>
      <c r="F67" s="381"/>
    </row>
    <row r="68" spans="2:6" s="112" customFormat="1" ht="129.75" customHeight="1" x14ac:dyDescent="0.25">
      <c r="B68" s="408" t="s">
        <v>730</v>
      </c>
      <c r="C68" s="393"/>
      <c r="D68" s="393"/>
      <c r="E68" s="393"/>
      <c r="F68" s="394"/>
    </row>
    <row r="69" spans="2:6" s="112" customFormat="1" ht="16.5" customHeight="1" x14ac:dyDescent="0.25">
      <c r="B69" s="125"/>
      <c r="C69" s="126"/>
      <c r="D69" s="126"/>
      <c r="E69" s="126"/>
      <c r="F69" s="126"/>
    </row>
    <row r="70" spans="2:6" s="112" customFormat="1" x14ac:dyDescent="0.25">
      <c r="B70" s="379" t="s">
        <v>473</v>
      </c>
      <c r="C70" s="380"/>
      <c r="D70" s="380"/>
      <c r="E70" s="380"/>
      <c r="F70" s="381"/>
    </row>
    <row r="71" spans="2:6" s="112" customFormat="1" x14ac:dyDescent="0.25">
      <c r="B71" s="127" t="s">
        <v>548</v>
      </c>
      <c r="C71" s="388" t="s">
        <v>731</v>
      </c>
      <c r="D71" s="388"/>
      <c r="E71" s="388"/>
      <c r="F71" s="388"/>
    </row>
    <row r="72" spans="2:6" s="112" customFormat="1" x14ac:dyDescent="0.25">
      <c r="B72" s="127" t="s">
        <v>547</v>
      </c>
      <c r="C72" s="388" t="s">
        <v>731</v>
      </c>
      <c r="D72" s="388"/>
      <c r="E72" s="388"/>
      <c r="F72" s="388"/>
    </row>
    <row r="73" spans="2:6" s="112" customFormat="1" x14ac:dyDescent="0.25">
      <c r="B73" s="127" t="s">
        <v>546</v>
      </c>
      <c r="C73" s="388" t="s">
        <v>731</v>
      </c>
      <c r="D73" s="388"/>
      <c r="E73" s="388"/>
      <c r="F73" s="388"/>
    </row>
    <row r="74" spans="2:6" s="112" customFormat="1" x14ac:dyDescent="0.25">
      <c r="B74" s="127" t="s">
        <v>660</v>
      </c>
      <c r="C74" s="388" t="s">
        <v>731</v>
      </c>
      <c r="D74" s="388"/>
      <c r="E74" s="388"/>
      <c r="F74" s="388"/>
    </row>
    <row r="75" spans="2:6" s="112" customFormat="1" x14ac:dyDescent="0.25">
      <c r="B75" s="127" t="s">
        <v>108</v>
      </c>
      <c r="C75" s="388"/>
      <c r="D75" s="388"/>
      <c r="E75" s="388"/>
      <c r="F75" s="388"/>
    </row>
    <row r="76" spans="2:6" s="112" customFormat="1" x14ac:dyDescent="0.25">
      <c r="B76" s="170"/>
      <c r="C76" s="170"/>
      <c r="D76" s="170"/>
      <c r="E76" s="170"/>
      <c r="F76" s="170"/>
    </row>
    <row r="77" spans="2:6" s="112" customFormat="1" x14ac:dyDescent="0.25">
      <c r="B77" s="379" t="s">
        <v>106</v>
      </c>
      <c r="C77" s="380"/>
      <c r="D77" s="380"/>
      <c r="E77" s="380"/>
      <c r="F77" s="381"/>
    </row>
    <row r="78" spans="2:6" s="112" customFormat="1" ht="51" customHeight="1" x14ac:dyDescent="0.25">
      <c r="B78" s="392" t="s">
        <v>732</v>
      </c>
      <c r="C78" s="383"/>
      <c r="D78" s="383"/>
      <c r="E78" s="383"/>
      <c r="F78" s="384"/>
    </row>
    <row r="79" spans="2:6" s="112" customFormat="1" x14ac:dyDescent="0.25"/>
    <row r="80" spans="2:6" s="112" customFormat="1" x14ac:dyDescent="0.25"/>
    <row r="81" spans="2:6" s="112" customFormat="1" x14ac:dyDescent="0.25">
      <c r="B81" s="128" t="s">
        <v>241</v>
      </c>
      <c r="C81" s="128" t="s">
        <v>242</v>
      </c>
      <c r="D81" s="379" t="s">
        <v>243</v>
      </c>
      <c r="E81" s="380"/>
      <c r="F81" s="381"/>
    </row>
    <row r="82" spans="2:6" s="112" customFormat="1" x14ac:dyDescent="0.25">
      <c r="B82" s="127" t="s">
        <v>544</v>
      </c>
      <c r="C82" s="127" t="s">
        <v>281</v>
      </c>
      <c r="D82" s="405"/>
      <c r="E82" s="406"/>
      <c r="F82" s="407"/>
    </row>
    <row r="83" spans="2:6" s="112" customFormat="1" x14ac:dyDescent="0.25">
      <c r="B83" s="127" t="s">
        <v>657</v>
      </c>
      <c r="C83" s="127" t="s">
        <v>281</v>
      </c>
      <c r="D83" s="405"/>
      <c r="E83" s="406"/>
      <c r="F83" s="407"/>
    </row>
    <row r="84" spans="2:6" s="112" customFormat="1" x14ac:dyDescent="0.25">
      <c r="B84" s="131"/>
      <c r="C84" s="131"/>
      <c r="D84" s="405"/>
      <c r="E84" s="406"/>
      <c r="F84" s="407"/>
    </row>
    <row r="85" spans="2:6" s="112" customFormat="1" x14ac:dyDescent="0.25"/>
    <row r="86" spans="2:6" s="112" customFormat="1" x14ac:dyDescent="0.25">
      <c r="B86" s="379" t="s">
        <v>543</v>
      </c>
      <c r="C86" s="380"/>
      <c r="D86" s="380"/>
      <c r="E86" s="380"/>
      <c r="F86" s="381"/>
    </row>
    <row r="87" spans="2:6" s="112" customFormat="1" x14ac:dyDescent="0.25">
      <c r="B87" s="128" t="s">
        <v>542</v>
      </c>
      <c r="C87" s="128" t="s">
        <v>541</v>
      </c>
      <c r="D87" s="379" t="s">
        <v>540</v>
      </c>
      <c r="E87" s="380"/>
      <c r="F87" s="381"/>
    </row>
    <row r="88" spans="2:6" s="112" customFormat="1" ht="15.75" customHeight="1" x14ac:dyDescent="0.25">
      <c r="B88" s="127" t="s">
        <v>733</v>
      </c>
      <c r="C88" s="127" t="s">
        <v>653</v>
      </c>
      <c r="D88" s="513" t="s">
        <v>734</v>
      </c>
      <c r="E88" s="514"/>
      <c r="F88" s="515"/>
    </row>
    <row r="89" spans="2:6" s="112" customFormat="1" x14ac:dyDescent="0.25"/>
    <row r="90" spans="2:6" s="112" customFormat="1" x14ac:dyDescent="0.25">
      <c r="B90" s="379" t="s">
        <v>107</v>
      </c>
      <c r="C90" s="380"/>
      <c r="D90" s="380"/>
      <c r="E90" s="380"/>
      <c r="F90" s="381"/>
    </row>
    <row r="91" spans="2:6" s="112" customFormat="1" ht="48" customHeight="1" x14ac:dyDescent="0.25">
      <c r="B91" s="382" t="s">
        <v>692</v>
      </c>
      <c r="C91" s="393"/>
      <c r="D91" s="393"/>
      <c r="E91" s="393"/>
      <c r="F91" s="394"/>
    </row>
    <row r="92" spans="2:6" s="112" customFormat="1" x14ac:dyDescent="0.25"/>
    <row r="93" spans="2:6" s="112" customFormat="1" x14ac:dyDescent="0.25"/>
  </sheetData>
  <mergeCells count="83">
    <mergeCell ref="B91:F91"/>
    <mergeCell ref="D83:F83"/>
    <mergeCell ref="D84:F84"/>
    <mergeCell ref="B86:F86"/>
    <mergeCell ref="D87:F87"/>
    <mergeCell ref="D88:F88"/>
    <mergeCell ref="B90:F90"/>
    <mergeCell ref="D82:F82"/>
    <mergeCell ref="B67:F67"/>
    <mergeCell ref="B68:F68"/>
    <mergeCell ref="B70:F70"/>
    <mergeCell ref="C71:F71"/>
    <mergeCell ref="C72:F72"/>
    <mergeCell ref="C73:F73"/>
    <mergeCell ref="C74:F74"/>
    <mergeCell ref="C75:F75"/>
    <mergeCell ref="B77:F77"/>
    <mergeCell ref="B78:F78"/>
    <mergeCell ref="D81:F81"/>
    <mergeCell ref="B62:B63"/>
    <mergeCell ref="C62:F62"/>
    <mergeCell ref="C63:F63"/>
    <mergeCell ref="B64:B65"/>
    <mergeCell ref="C64:F64"/>
    <mergeCell ref="C65:F65"/>
    <mergeCell ref="B57:F57"/>
    <mergeCell ref="C58:F58"/>
    <mergeCell ref="B59:B61"/>
    <mergeCell ref="C59:F59"/>
    <mergeCell ref="C60:F60"/>
    <mergeCell ref="C61:F61"/>
    <mergeCell ref="B52:B53"/>
    <mergeCell ref="C52:F52"/>
    <mergeCell ref="C53:F53"/>
    <mergeCell ref="B54:B55"/>
    <mergeCell ref="C54:F54"/>
    <mergeCell ref="C55:F55"/>
    <mergeCell ref="B46:B48"/>
    <mergeCell ref="C46:F46"/>
    <mergeCell ref="C47:F47"/>
    <mergeCell ref="C48:F48"/>
    <mergeCell ref="B49:B51"/>
    <mergeCell ref="C49:F49"/>
    <mergeCell ref="C50:F50"/>
    <mergeCell ref="C51:F51"/>
    <mergeCell ref="C45:F45"/>
    <mergeCell ref="B31:F31"/>
    <mergeCell ref="B32:F32"/>
    <mergeCell ref="B34:F34"/>
    <mergeCell ref="B35:F35"/>
    <mergeCell ref="B37:F37"/>
    <mergeCell ref="C38:F38"/>
    <mergeCell ref="C39:F39"/>
    <mergeCell ref="C40:F40"/>
    <mergeCell ref="C41:F41"/>
    <mergeCell ref="C42:F42"/>
    <mergeCell ref="B44:F44"/>
    <mergeCell ref="B29:F29"/>
    <mergeCell ref="B15:C15"/>
    <mergeCell ref="D15:F15"/>
    <mergeCell ref="B17:F17"/>
    <mergeCell ref="B18:D18"/>
    <mergeCell ref="E18:F18"/>
    <mergeCell ref="B19:D19"/>
    <mergeCell ref="E19:F19"/>
    <mergeCell ref="B20:D20"/>
    <mergeCell ref="E20:F20"/>
    <mergeCell ref="B25:F25"/>
    <mergeCell ref="B26:F26"/>
    <mergeCell ref="B28:F28"/>
    <mergeCell ref="B14:C14"/>
    <mergeCell ref="D14:F14"/>
    <mergeCell ref="C4:F4"/>
    <mergeCell ref="C5:F5"/>
    <mergeCell ref="C6:F6"/>
    <mergeCell ref="C7:F7"/>
    <mergeCell ref="C8:F8"/>
    <mergeCell ref="C9:F9"/>
    <mergeCell ref="B11:F11"/>
    <mergeCell ref="B12:C12"/>
    <mergeCell ref="D12:F12"/>
    <mergeCell ref="B13:C13"/>
    <mergeCell ref="D13:F13"/>
  </mergeCells>
  <dataValidations count="3">
    <dataValidation type="list" allowBlank="1" showInputMessage="1" showErrorMessage="1" sqref="C88">
      <formula1>"Formation, Certification, Stage / projet, Autre"</formula1>
    </dataValidation>
    <dataValidation type="list" allowBlank="1" showInputMessage="1" showErrorMessage="1" sqref="C82:C84">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r:id="rId1" location="'Schéma d''enseignement'!A1"/>
  </hyperlinks>
  <pageMargins left="0.7" right="0.7" top="0.74545454545454548" bottom="0.75" header="0.3" footer="0.3"/>
  <pageSetup paperSize="9" orientation="portrait" horizontalDpi="300" verticalDpi="300" r:id="rId2"/>
  <rowBreaks count="1" manualBreakCount="1">
    <brk id="30"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rgb="FFFFC000"/>
  </sheetPr>
  <dimension ref="D7:E19"/>
  <sheetViews>
    <sheetView topLeftCell="C1" workbookViewId="0">
      <selection activeCell="E19" sqref="E19"/>
    </sheetView>
  </sheetViews>
  <sheetFormatPr baseColWidth="10" defaultColWidth="8.85546875" defaultRowHeight="15" x14ac:dyDescent="0.25"/>
  <cols>
    <col min="1" max="3" width="8.85546875" style="1"/>
    <col min="4" max="4" width="40.85546875" style="1" bestFit="1" customWidth="1"/>
    <col min="5" max="5" width="50.140625" style="1" customWidth="1"/>
    <col min="6" max="16384" width="8.85546875" style="1"/>
  </cols>
  <sheetData>
    <row r="7" spans="4:5" x14ac:dyDescent="0.25">
      <c r="D7" s="378" t="s">
        <v>41</v>
      </c>
      <c r="E7" s="378"/>
    </row>
    <row r="8" spans="4:5" x14ac:dyDescent="0.25">
      <c r="D8" s="29" t="s">
        <v>109</v>
      </c>
      <c r="E8" s="29" t="s">
        <v>23</v>
      </c>
    </row>
    <row r="9" spans="4:5" ht="14.45" customHeight="1" x14ac:dyDescent="0.25">
      <c r="D9" s="100" t="s">
        <v>208</v>
      </c>
      <c r="E9" s="90" t="s">
        <v>209</v>
      </c>
    </row>
    <row r="10" spans="4:5" x14ac:dyDescent="0.25">
      <c r="D10" s="101"/>
      <c r="E10" s="90" t="s">
        <v>210</v>
      </c>
    </row>
    <row r="11" spans="4:5" x14ac:dyDescent="0.25">
      <c r="D11" s="82" t="s">
        <v>211</v>
      </c>
      <c r="E11" s="90" t="s">
        <v>212</v>
      </c>
    </row>
    <row r="12" spans="4:5" x14ac:dyDescent="0.25">
      <c r="D12" s="86"/>
      <c r="E12" s="90" t="s">
        <v>213</v>
      </c>
    </row>
    <row r="13" spans="4:5" x14ac:dyDescent="0.25">
      <c r="D13" s="82" t="s">
        <v>214</v>
      </c>
      <c r="E13" s="17" t="s">
        <v>215</v>
      </c>
    </row>
    <row r="14" spans="4:5" x14ac:dyDescent="0.25">
      <c r="D14" s="86"/>
      <c r="E14" s="17" t="s">
        <v>31</v>
      </c>
    </row>
    <row r="15" spans="4:5" x14ac:dyDescent="0.25">
      <c r="D15" s="82" t="s">
        <v>216</v>
      </c>
      <c r="E15" s="90" t="s">
        <v>217</v>
      </c>
    </row>
    <row r="16" spans="4:5" x14ac:dyDescent="0.25">
      <c r="D16" s="102"/>
      <c r="E16" s="90" t="s">
        <v>218</v>
      </c>
    </row>
    <row r="17" spans="4:5" ht="14.45" customHeight="1" x14ac:dyDescent="0.25">
      <c r="D17" s="86"/>
      <c r="E17" s="90" t="s">
        <v>219</v>
      </c>
    </row>
    <row r="18" spans="4:5" x14ac:dyDescent="0.25">
      <c r="D18" s="164" t="s">
        <v>461</v>
      </c>
      <c r="E18" s="17" t="s">
        <v>819</v>
      </c>
    </row>
    <row r="19" spans="4:5" x14ac:dyDescent="0.25">
      <c r="D19" s="165"/>
      <c r="E19" s="19" t="s">
        <v>463</v>
      </c>
    </row>
  </sheetData>
  <mergeCells count="1">
    <mergeCell ref="D7:E7"/>
  </mergeCells>
  <conditionalFormatting sqref="E19">
    <cfRule type="colorScale" priority="1">
      <colorScale>
        <cfvo type="num" val="0"/>
        <cfvo type="num" val="0"/>
        <color rgb="FFFF0000"/>
        <color rgb="FF00B050"/>
      </colorScale>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theme="5"/>
  </sheetPr>
  <dimension ref="B1:J1048542"/>
  <sheetViews>
    <sheetView zoomScaleNormal="100"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360</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359</v>
      </c>
      <c r="D10" s="395"/>
      <c r="E10" s="395"/>
      <c r="F10" s="395"/>
      <c r="G10" s="114"/>
    </row>
    <row r="11" spans="2:10" s="112" customFormat="1" x14ac:dyDescent="0.25">
      <c r="B11" s="113" t="s">
        <v>91</v>
      </c>
      <c r="C11" s="395" t="s">
        <v>358</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43438</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23.25" customHeight="1" x14ac:dyDescent="0.25">
      <c r="B18" s="119" t="s">
        <v>209</v>
      </c>
      <c r="C18" s="23">
        <v>21</v>
      </c>
      <c r="D18" s="23">
        <v>3</v>
      </c>
      <c r="E18" s="23">
        <v>3</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27" customHeight="1" x14ac:dyDescent="0.25">
      <c r="B21" s="382" t="s">
        <v>357</v>
      </c>
      <c r="C21" s="383"/>
      <c r="D21" s="383"/>
      <c r="E21" s="383"/>
      <c r="F21" s="384"/>
      <c r="G21" s="122"/>
    </row>
    <row r="22" spans="2:7" s="112" customFormat="1" x14ac:dyDescent="0.25">
      <c r="B22" s="379" t="s">
        <v>101</v>
      </c>
      <c r="C22" s="380"/>
      <c r="D22" s="380"/>
      <c r="E22" s="380"/>
      <c r="F22" s="381"/>
      <c r="G22" s="121"/>
    </row>
    <row r="23" spans="2:7" s="112" customFormat="1" ht="117.75" customHeight="1" x14ac:dyDescent="0.25">
      <c r="B23" s="382" t="s">
        <v>356</v>
      </c>
      <c r="C23" s="544"/>
      <c r="D23" s="544"/>
      <c r="E23" s="544"/>
      <c r="F23" s="545"/>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92" t="s">
        <v>425</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145</v>
      </c>
      <c r="C29" s="390"/>
      <c r="D29" s="390"/>
      <c r="E29" s="390"/>
      <c r="F29" s="391"/>
      <c r="G29" s="124"/>
    </row>
    <row r="30" spans="2:7" s="112" customFormat="1" x14ac:dyDescent="0.25">
      <c r="B30" s="389" t="s">
        <v>11</v>
      </c>
      <c r="C30" s="390"/>
      <c r="D30" s="390"/>
      <c r="E30" s="390"/>
      <c r="F30" s="391"/>
      <c r="G30" s="124"/>
    </row>
    <row r="31" spans="2:7" s="112" customFormat="1" x14ac:dyDescent="0.25">
      <c r="B31" s="389" t="s">
        <v>12</v>
      </c>
      <c r="C31" s="390"/>
      <c r="D31" s="390"/>
      <c r="E31" s="390"/>
      <c r="F31" s="391"/>
      <c r="G31" s="124"/>
    </row>
    <row r="32" spans="2:7" s="112" customFormat="1" x14ac:dyDescent="0.25">
      <c r="B32" s="389" t="s">
        <v>15</v>
      </c>
      <c r="C32" s="390"/>
      <c r="D32" s="390"/>
      <c r="E32" s="390"/>
      <c r="F32" s="391"/>
      <c r="G32" s="124"/>
    </row>
    <row r="33" spans="2:7" s="112" customFormat="1" x14ac:dyDescent="0.25">
      <c r="B33" s="389"/>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105" customHeight="1" x14ac:dyDescent="0.25">
      <c r="B40" s="382" t="s">
        <v>426</v>
      </c>
      <c r="C40" s="383"/>
      <c r="D40" s="383"/>
      <c r="E40" s="383"/>
      <c r="F40" s="384"/>
      <c r="G40" s="122"/>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234</v>
      </c>
      <c r="C43" s="388"/>
      <c r="D43" s="388"/>
      <c r="E43" s="388"/>
      <c r="F43" s="388"/>
      <c r="G43" s="123"/>
    </row>
    <row r="44" spans="2:7" s="112" customFormat="1" x14ac:dyDescent="0.25">
      <c r="B44" s="127" t="s">
        <v>235</v>
      </c>
      <c r="C44" s="388"/>
      <c r="D44" s="388"/>
      <c r="E44" s="388"/>
      <c r="F44" s="388"/>
      <c r="G44" s="123"/>
    </row>
    <row r="45" spans="2:7" s="112" customFormat="1" x14ac:dyDescent="0.25">
      <c r="B45" s="127" t="s">
        <v>236</v>
      </c>
      <c r="C45" s="392" t="s">
        <v>258</v>
      </c>
      <c r="D45" s="383"/>
      <c r="E45" s="383"/>
      <c r="F45" s="384"/>
      <c r="G45" s="123"/>
    </row>
    <row r="46" spans="2:7" s="112" customFormat="1" x14ac:dyDescent="0.25">
      <c r="B46" s="127" t="s">
        <v>237</v>
      </c>
      <c r="C46" s="388" t="s">
        <v>258</v>
      </c>
      <c r="D46" s="388"/>
      <c r="E46" s="388"/>
      <c r="F46" s="388"/>
      <c r="G46" s="123"/>
    </row>
    <row r="47" spans="2:7" s="112" customFormat="1" x14ac:dyDescent="0.25">
      <c r="B47" s="127" t="s">
        <v>238</v>
      </c>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82" t="s">
        <v>427</v>
      </c>
      <c r="C50" s="393"/>
      <c r="D50" s="393"/>
      <c r="E50" s="393"/>
      <c r="F50" s="394"/>
      <c r="G50" s="126"/>
    </row>
    <row r="51" spans="2:7" s="112" customFormat="1" x14ac:dyDescent="0.25"/>
    <row r="52" spans="2:7" s="112" customFormat="1" x14ac:dyDescent="0.25"/>
    <row r="53" spans="2:7" s="112" customFormat="1" x14ac:dyDescent="0.25">
      <c r="B53" s="379" t="s">
        <v>107</v>
      </c>
      <c r="C53" s="380"/>
      <c r="D53" s="380"/>
      <c r="E53" s="380"/>
      <c r="F53" s="381"/>
      <c r="G53" s="121"/>
    </row>
    <row r="54" spans="2:7" s="112" customFormat="1" ht="114" customHeight="1" x14ac:dyDescent="0.25">
      <c r="B54" s="382" t="s">
        <v>355</v>
      </c>
      <c r="C54" s="383"/>
      <c r="D54" s="383"/>
      <c r="E54" s="383"/>
      <c r="F54" s="384"/>
      <c r="G54" s="126"/>
    </row>
    <row r="55" spans="2:7" s="112" customFormat="1" x14ac:dyDescent="0.25"/>
    <row r="56" spans="2:7" s="112" customFormat="1" x14ac:dyDescent="0.25">
      <c r="B56" s="379" t="s">
        <v>108</v>
      </c>
      <c r="C56" s="380"/>
      <c r="D56" s="380"/>
      <c r="E56" s="380"/>
      <c r="F56" s="381"/>
      <c r="G56" s="121"/>
    </row>
    <row r="57" spans="2:7" ht="80.45" customHeight="1" x14ac:dyDescent="0.25">
      <c r="B57" s="385"/>
      <c r="C57" s="386"/>
      <c r="D57" s="386"/>
      <c r="E57" s="386"/>
      <c r="F57" s="387"/>
      <c r="G57" s="126"/>
    </row>
    <row r="1048542" spans="8:9" x14ac:dyDescent="0.25">
      <c r="H1048542" s="121"/>
      <c r="I1048542" s="121"/>
    </row>
  </sheetData>
  <mergeCells count="42">
    <mergeCell ref="C10:F10"/>
    <mergeCell ref="B2:I2"/>
    <mergeCell ref="C6:F6"/>
    <mergeCell ref="C7:F7"/>
    <mergeCell ref="C8:F8"/>
    <mergeCell ref="C9:F9"/>
    <mergeCell ref="C11:F11"/>
    <mergeCell ref="B13:F13"/>
    <mergeCell ref="B14:C14"/>
    <mergeCell ref="D14:F14"/>
    <mergeCell ref="B15:C15"/>
    <mergeCell ref="D15:F15"/>
    <mergeCell ref="B33:F33"/>
    <mergeCell ref="B20:F20"/>
    <mergeCell ref="B21:F21"/>
    <mergeCell ref="B22:F22"/>
    <mergeCell ref="B23:F23"/>
    <mergeCell ref="B25:F25"/>
    <mergeCell ref="B26:F26"/>
    <mergeCell ref="B28:F28"/>
    <mergeCell ref="B29:F29"/>
    <mergeCell ref="B30:F30"/>
    <mergeCell ref="B31:F31"/>
    <mergeCell ref="B32:F32"/>
    <mergeCell ref="C47:F47"/>
    <mergeCell ref="B34:F34"/>
    <mergeCell ref="B35:F35"/>
    <mergeCell ref="B36:F36"/>
    <mergeCell ref="B37:F37"/>
    <mergeCell ref="B39:F39"/>
    <mergeCell ref="B40:F40"/>
    <mergeCell ref="B42:F42"/>
    <mergeCell ref="C43:F43"/>
    <mergeCell ref="C44:F44"/>
    <mergeCell ref="C45:F45"/>
    <mergeCell ref="C46:F46"/>
    <mergeCell ref="B53:F53"/>
    <mergeCell ref="B54:F54"/>
    <mergeCell ref="B56:F56"/>
    <mergeCell ref="B57:F57"/>
    <mergeCell ref="B49:F49"/>
    <mergeCell ref="B50:F50"/>
  </mergeCells>
  <dataValidations count="1">
    <dataValidation type="list" allowBlank="1" showInputMessage="1" showErrorMessage="1" sqref="C6">
      <formula1>"Mise à jour à partir du plan d'études, Nouvelle création"</formula1>
    </dataValidation>
  </dataValidations>
  <hyperlinks>
    <hyperlink ref="B1" location="'Schéma d''enseignement'!G32"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theme="5"/>
  </sheetPr>
  <dimension ref="B1:J1048545"/>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364</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359</v>
      </c>
      <c r="D10" s="395"/>
      <c r="E10" s="395"/>
      <c r="F10" s="395"/>
      <c r="G10" s="114"/>
    </row>
    <row r="11" spans="2:10" s="112" customFormat="1" x14ac:dyDescent="0.25">
      <c r="B11" s="113" t="s">
        <v>91</v>
      </c>
      <c r="C11" s="395" t="s">
        <v>358</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43438</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31.5" customHeight="1" x14ac:dyDescent="0.25">
      <c r="B18" s="119" t="s">
        <v>363</v>
      </c>
      <c r="C18" s="23">
        <v>21</v>
      </c>
      <c r="D18" s="23">
        <v>2</v>
      </c>
      <c r="E18" s="23">
        <v>2</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66.75" customHeight="1" x14ac:dyDescent="0.25">
      <c r="B21" s="382" t="s">
        <v>357</v>
      </c>
      <c r="C21" s="383"/>
      <c r="D21" s="383"/>
      <c r="E21" s="383"/>
      <c r="F21" s="384"/>
      <c r="G21" s="122"/>
    </row>
    <row r="22" spans="2:7" s="112" customFormat="1" x14ac:dyDescent="0.25">
      <c r="B22" s="379" t="s">
        <v>101</v>
      </c>
      <c r="C22" s="380"/>
      <c r="D22" s="380"/>
      <c r="E22" s="380"/>
      <c r="F22" s="381"/>
      <c r="G22" s="121"/>
    </row>
    <row r="23" spans="2:7" s="112" customFormat="1" ht="114" customHeight="1" x14ac:dyDescent="0.25">
      <c r="B23" s="382" t="s">
        <v>356</v>
      </c>
      <c r="C23" s="544"/>
      <c r="D23" s="544"/>
      <c r="E23" s="544"/>
      <c r="F23" s="545"/>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92" t="s">
        <v>428</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145</v>
      </c>
      <c r="C29" s="390"/>
      <c r="D29" s="390"/>
      <c r="E29" s="390"/>
      <c r="F29" s="391"/>
      <c r="G29" s="124"/>
    </row>
    <row r="30" spans="2:7" s="112" customFormat="1" x14ac:dyDescent="0.25">
      <c r="B30" s="389" t="s">
        <v>11</v>
      </c>
      <c r="C30" s="390"/>
      <c r="D30" s="390"/>
      <c r="E30" s="390"/>
      <c r="F30" s="391"/>
      <c r="G30" s="124"/>
    </row>
    <row r="31" spans="2:7" s="112" customFormat="1" x14ac:dyDescent="0.25">
      <c r="B31" s="389" t="s">
        <v>12</v>
      </c>
      <c r="C31" s="390"/>
      <c r="D31" s="390"/>
      <c r="E31" s="390"/>
      <c r="F31" s="391"/>
      <c r="G31" s="124"/>
    </row>
    <row r="32" spans="2:7" s="112" customFormat="1" x14ac:dyDescent="0.25">
      <c r="B32" s="389" t="s">
        <v>15</v>
      </c>
      <c r="C32" s="390"/>
      <c r="D32" s="390"/>
      <c r="E32" s="390"/>
      <c r="F32" s="391"/>
      <c r="G32" s="124"/>
    </row>
    <row r="33" spans="2:7" s="112" customFormat="1" x14ac:dyDescent="0.25">
      <c r="B33" s="389"/>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133.5" customHeight="1" x14ac:dyDescent="0.25">
      <c r="B40" s="408" t="s">
        <v>429</v>
      </c>
      <c r="C40" s="383"/>
      <c r="D40" s="383"/>
      <c r="E40" s="383"/>
      <c r="F40" s="384"/>
      <c r="G40" s="122"/>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32"/>
    </row>
    <row r="43" spans="2:7" s="112" customFormat="1" x14ac:dyDescent="0.25">
      <c r="B43" s="127" t="s">
        <v>249</v>
      </c>
      <c r="C43" s="388"/>
      <c r="D43" s="388"/>
      <c r="E43" s="388"/>
      <c r="F43" s="388"/>
      <c r="G43" s="123"/>
    </row>
    <row r="44" spans="2:7" s="112" customFormat="1" x14ac:dyDescent="0.25">
      <c r="B44" s="127" t="s">
        <v>250</v>
      </c>
      <c r="C44" s="388"/>
      <c r="D44" s="388"/>
      <c r="E44" s="388"/>
      <c r="F44" s="388"/>
      <c r="G44" s="123"/>
    </row>
    <row r="45" spans="2:7" s="112" customFormat="1" ht="31.5" x14ac:dyDescent="0.25">
      <c r="B45" s="135" t="s">
        <v>362</v>
      </c>
      <c r="C45" s="392"/>
      <c r="D45" s="383"/>
      <c r="E45" s="383"/>
      <c r="F45" s="384"/>
      <c r="G45" s="123"/>
    </row>
    <row r="46" spans="2:7" s="112" customFormat="1" x14ac:dyDescent="0.25">
      <c r="B46" s="127"/>
      <c r="C46" s="388"/>
      <c r="D46" s="388"/>
      <c r="E46" s="388"/>
      <c r="F46" s="388"/>
      <c r="G46" s="123"/>
    </row>
    <row r="47" spans="2:7" s="112" customFormat="1" x14ac:dyDescent="0.25">
      <c r="B47" s="127"/>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82" t="s">
        <v>427</v>
      </c>
      <c r="C50" s="393"/>
      <c r="D50" s="393"/>
      <c r="E50" s="393"/>
      <c r="F50" s="394"/>
      <c r="G50" s="122"/>
    </row>
    <row r="51" spans="2:7" s="112" customFormat="1" x14ac:dyDescent="0.25"/>
    <row r="52" spans="2:7" s="112" customFormat="1" x14ac:dyDescent="0.25">
      <c r="B52" s="379" t="s">
        <v>240</v>
      </c>
      <c r="C52" s="380"/>
      <c r="D52" s="380"/>
      <c r="E52" s="380"/>
      <c r="F52" s="381"/>
      <c r="G52" s="121"/>
    </row>
    <row r="53" spans="2:7" s="112" customFormat="1" x14ac:dyDescent="0.25">
      <c r="B53" s="128" t="s">
        <v>241</v>
      </c>
      <c r="C53" s="128" t="s">
        <v>242</v>
      </c>
      <c r="D53" s="379" t="s">
        <v>243</v>
      </c>
      <c r="E53" s="380"/>
      <c r="F53" s="381"/>
      <c r="G53" s="121"/>
    </row>
    <row r="54" spans="2:7" s="112" customFormat="1" x14ac:dyDescent="0.25">
      <c r="B54" s="127" t="s">
        <v>361</v>
      </c>
      <c r="C54" s="127" t="s">
        <v>281</v>
      </c>
      <c r="D54" s="392" t="s">
        <v>36</v>
      </c>
      <c r="E54" s="383"/>
      <c r="F54" s="384"/>
      <c r="G54" s="138"/>
    </row>
    <row r="55" spans="2:7" s="112" customFormat="1" x14ac:dyDescent="0.25">
      <c r="B55" s="129"/>
      <c r="C55" s="129"/>
      <c r="D55" s="405"/>
      <c r="E55" s="406"/>
      <c r="F55" s="407"/>
      <c r="G55" s="130"/>
    </row>
    <row r="56" spans="2:7" s="112" customFormat="1" x14ac:dyDescent="0.25">
      <c r="B56" s="131"/>
      <c r="C56" s="131"/>
      <c r="D56" s="405"/>
      <c r="E56" s="406"/>
      <c r="F56" s="407"/>
      <c r="G56" s="130"/>
    </row>
    <row r="57" spans="2:7" s="112" customFormat="1" x14ac:dyDescent="0.25"/>
    <row r="58" spans="2:7" s="112" customFormat="1" x14ac:dyDescent="0.25">
      <c r="B58" s="379" t="s">
        <v>107</v>
      </c>
      <c r="C58" s="380"/>
      <c r="D58" s="380"/>
      <c r="E58" s="380"/>
      <c r="F58" s="381"/>
      <c r="G58" s="121"/>
    </row>
    <row r="59" spans="2:7" s="112" customFormat="1" ht="115.5" customHeight="1" x14ac:dyDescent="0.25">
      <c r="B59" s="382" t="s">
        <v>355</v>
      </c>
      <c r="C59" s="383"/>
      <c r="D59" s="383"/>
      <c r="E59" s="383"/>
      <c r="F59" s="384"/>
      <c r="G59" s="126"/>
    </row>
    <row r="60" spans="2:7" s="112" customFormat="1" x14ac:dyDescent="0.25"/>
    <row r="1048545" spans="8:9" x14ac:dyDescent="0.25">
      <c r="H1048545" s="121"/>
      <c r="I1048545" s="121"/>
    </row>
  </sheetData>
  <mergeCells count="45">
    <mergeCell ref="C10:F10"/>
    <mergeCell ref="B2:I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40:F40"/>
    <mergeCell ref="B28:F28"/>
    <mergeCell ref="B29:F29"/>
    <mergeCell ref="B30:F30"/>
    <mergeCell ref="B31:F31"/>
    <mergeCell ref="B32:F32"/>
    <mergeCell ref="B33:F33"/>
    <mergeCell ref="B34:F34"/>
    <mergeCell ref="B35:F35"/>
    <mergeCell ref="B36:F36"/>
    <mergeCell ref="B37:F37"/>
    <mergeCell ref="B39:F39"/>
    <mergeCell ref="D56:F56"/>
    <mergeCell ref="B58:F58"/>
    <mergeCell ref="B59:F59"/>
    <mergeCell ref="D55:F55"/>
    <mergeCell ref="B42:F42"/>
    <mergeCell ref="C43:F43"/>
    <mergeCell ref="C44:F44"/>
    <mergeCell ref="C45:F45"/>
    <mergeCell ref="C46:F46"/>
    <mergeCell ref="C47:F47"/>
    <mergeCell ref="B49:F49"/>
    <mergeCell ref="B50:F50"/>
    <mergeCell ref="B52:F52"/>
    <mergeCell ref="D53:F53"/>
    <mergeCell ref="D54:F54"/>
  </mergeCells>
  <dataValidations count="2">
    <dataValidation type="list" allowBlank="1" showInputMessage="1" showErrorMessage="1" sqref="C6">
      <formula1>"Mise à jour à partir du plan d'études, Nouvelle création"</formula1>
    </dataValidation>
    <dataValidation type="list" allowBlank="1" showInputMessage="1" showErrorMessage="1" sqref="C54:C56">
      <formula1>"Académique, Professionnel, Associatif, Autre"</formula1>
    </dataValidation>
  </dataValidations>
  <hyperlinks>
    <hyperlink ref="B1" location="'Schéma d''enseignement'!G33"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5"/>
  </sheetPr>
  <dimension ref="B1:J1048540"/>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372</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371</v>
      </c>
      <c r="D10" s="395"/>
      <c r="E10" s="395"/>
      <c r="F10" s="395"/>
      <c r="G10" s="114"/>
    </row>
    <row r="11" spans="2:10" s="112" customFormat="1" x14ac:dyDescent="0.25">
      <c r="B11" s="113" t="s">
        <v>91</v>
      </c>
      <c r="C11" s="395" t="s">
        <v>358</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43194</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23.25" customHeight="1" x14ac:dyDescent="0.25">
      <c r="B18" s="119" t="s">
        <v>212</v>
      </c>
      <c r="C18" s="23">
        <v>21</v>
      </c>
      <c r="D18" s="23">
        <v>3</v>
      </c>
      <c r="E18" s="23">
        <v>3</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41.25" customHeight="1" x14ac:dyDescent="0.25">
      <c r="B21" s="382" t="s">
        <v>370</v>
      </c>
      <c r="C21" s="383"/>
      <c r="D21" s="383"/>
      <c r="E21" s="383"/>
      <c r="F21" s="384"/>
      <c r="G21" s="122"/>
    </row>
    <row r="22" spans="2:7" s="112" customFormat="1" x14ac:dyDescent="0.25">
      <c r="B22" s="379" t="s">
        <v>101</v>
      </c>
      <c r="C22" s="380"/>
      <c r="D22" s="380"/>
      <c r="E22" s="380"/>
      <c r="F22" s="381"/>
      <c r="G22" s="121"/>
    </row>
    <row r="23" spans="2:7" s="112" customFormat="1" ht="142.5" customHeight="1" x14ac:dyDescent="0.25">
      <c r="B23" s="382" t="s">
        <v>369</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92" t="s">
        <v>368</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9</v>
      </c>
      <c r="C29" s="390"/>
      <c r="D29" s="390"/>
      <c r="E29" s="390"/>
      <c r="F29" s="391"/>
      <c r="G29" s="124"/>
    </row>
    <row r="30" spans="2:7" s="112" customFormat="1" x14ac:dyDescent="0.25">
      <c r="B30" s="389" t="s">
        <v>14</v>
      </c>
      <c r="C30" s="390"/>
      <c r="D30" s="390"/>
      <c r="E30" s="390"/>
      <c r="F30" s="391"/>
      <c r="G30" s="124"/>
    </row>
    <row r="31" spans="2:7" s="112" customFormat="1" x14ac:dyDescent="0.25">
      <c r="B31" s="389"/>
      <c r="C31" s="390"/>
      <c r="D31" s="390"/>
      <c r="E31" s="390"/>
      <c r="F31" s="391"/>
      <c r="G31" s="124"/>
    </row>
    <row r="32" spans="2:7" s="112" customFormat="1" x14ac:dyDescent="0.25">
      <c r="B32" s="389"/>
      <c r="C32" s="390"/>
      <c r="D32" s="390"/>
      <c r="E32" s="390"/>
      <c r="F32" s="391"/>
      <c r="G32" s="124"/>
    </row>
    <row r="33" spans="2:7" s="112" customFormat="1" x14ac:dyDescent="0.25">
      <c r="B33" s="389"/>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133.5" customHeight="1" x14ac:dyDescent="0.25">
      <c r="B40" s="382" t="s">
        <v>367</v>
      </c>
      <c r="C40" s="383"/>
      <c r="D40" s="383"/>
      <c r="E40" s="383"/>
      <c r="F40" s="384"/>
      <c r="G40" s="12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234</v>
      </c>
      <c r="C43" s="388"/>
      <c r="D43" s="388"/>
      <c r="E43" s="388"/>
      <c r="F43" s="388"/>
      <c r="G43" s="123"/>
    </row>
    <row r="44" spans="2:7" s="112" customFormat="1" x14ac:dyDescent="0.25">
      <c r="B44" s="127" t="s">
        <v>235</v>
      </c>
      <c r="C44" s="388"/>
      <c r="D44" s="388"/>
      <c r="E44" s="388"/>
      <c r="F44" s="388"/>
      <c r="G44" s="123"/>
    </row>
    <row r="45" spans="2:7" s="112" customFormat="1" x14ac:dyDescent="0.25">
      <c r="B45" s="127" t="s">
        <v>236</v>
      </c>
      <c r="C45" s="392"/>
      <c r="D45" s="383"/>
      <c r="E45" s="383"/>
      <c r="F45" s="384"/>
      <c r="G45" s="123"/>
    </row>
    <row r="46" spans="2:7" s="112" customFormat="1" x14ac:dyDescent="0.25">
      <c r="B46" s="127" t="s">
        <v>237</v>
      </c>
      <c r="C46" s="388"/>
      <c r="D46" s="388"/>
      <c r="E46" s="388"/>
      <c r="F46" s="388"/>
      <c r="G46" s="123"/>
    </row>
    <row r="47" spans="2:7" s="112" customFormat="1" x14ac:dyDescent="0.25">
      <c r="B47" s="127" t="s">
        <v>238</v>
      </c>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92" t="s">
        <v>366</v>
      </c>
      <c r="C50" s="383"/>
      <c r="D50" s="383"/>
      <c r="E50" s="383"/>
      <c r="F50" s="384"/>
      <c r="G50" s="126"/>
    </row>
    <row r="51" spans="2:7" s="112" customFormat="1" x14ac:dyDescent="0.25"/>
    <row r="52" spans="2:7" s="112" customFormat="1" x14ac:dyDescent="0.25"/>
    <row r="53" spans="2:7" s="112" customFormat="1" x14ac:dyDescent="0.25">
      <c r="B53" s="379" t="s">
        <v>107</v>
      </c>
      <c r="C53" s="380"/>
      <c r="D53" s="380"/>
      <c r="E53" s="380"/>
      <c r="F53" s="381"/>
      <c r="G53" s="121"/>
    </row>
    <row r="54" spans="2:7" s="112" customFormat="1" ht="87" customHeight="1" x14ac:dyDescent="0.25">
      <c r="B54" s="382" t="s">
        <v>365</v>
      </c>
      <c r="C54" s="383"/>
      <c r="D54" s="383"/>
      <c r="E54" s="383"/>
      <c r="F54" s="384"/>
      <c r="G54" s="126"/>
    </row>
    <row r="55" spans="2:7" s="112" customFormat="1" x14ac:dyDescent="0.25"/>
    <row r="1048540" spans="8:9" x14ac:dyDescent="0.25">
      <c r="H1048540" s="121"/>
      <c r="I1048540" s="121"/>
    </row>
  </sheetData>
  <mergeCells count="40">
    <mergeCell ref="C10:F10"/>
    <mergeCell ref="B2:I2"/>
    <mergeCell ref="C6:F6"/>
    <mergeCell ref="C7:F7"/>
    <mergeCell ref="C8:F8"/>
    <mergeCell ref="C9:F9"/>
    <mergeCell ref="C11:F11"/>
    <mergeCell ref="B13:F13"/>
    <mergeCell ref="B14:C14"/>
    <mergeCell ref="D14:F14"/>
    <mergeCell ref="B15:C15"/>
    <mergeCell ref="D15:F15"/>
    <mergeCell ref="C46:F46"/>
    <mergeCell ref="B33:F33"/>
    <mergeCell ref="B20:F20"/>
    <mergeCell ref="B21:F21"/>
    <mergeCell ref="B22:F22"/>
    <mergeCell ref="B23:F23"/>
    <mergeCell ref="B25:F25"/>
    <mergeCell ref="B26:F26"/>
    <mergeCell ref="B28:F28"/>
    <mergeCell ref="B29:F29"/>
    <mergeCell ref="B30:F30"/>
    <mergeCell ref="B31:F31"/>
    <mergeCell ref="B32:F32"/>
    <mergeCell ref="B40:F40"/>
    <mergeCell ref="B42:F42"/>
    <mergeCell ref="C43:F43"/>
    <mergeCell ref="C44:F44"/>
    <mergeCell ref="C45:F45"/>
    <mergeCell ref="B34:F34"/>
    <mergeCell ref="B35:F35"/>
    <mergeCell ref="B36:F36"/>
    <mergeCell ref="B37:F37"/>
    <mergeCell ref="B39:F39"/>
    <mergeCell ref="B53:F53"/>
    <mergeCell ref="B54:F54"/>
    <mergeCell ref="B49:F49"/>
    <mergeCell ref="B50:F50"/>
    <mergeCell ref="C47:F47"/>
  </mergeCells>
  <dataValidations count="1">
    <dataValidation type="list" allowBlank="1" showInputMessage="1" showErrorMessage="1" sqref="C6">
      <formula1>"Mise à jour à partir du plan d'études, Nouvelle création"</formula1>
    </dataValidation>
  </dataValidations>
  <hyperlinks>
    <hyperlink ref="B1" location="'Schéma d''enseignement'!G34"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theme="5"/>
  </sheetPr>
  <dimension ref="B1:J1048538"/>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379</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371</v>
      </c>
      <c r="D10" s="395"/>
      <c r="E10" s="395"/>
      <c r="F10" s="395"/>
      <c r="G10" s="114"/>
    </row>
    <row r="11" spans="2:10" s="112" customFormat="1" x14ac:dyDescent="0.25">
      <c r="B11" s="113" t="s">
        <v>91</v>
      </c>
      <c r="C11" s="395" t="s">
        <v>358</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43194</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31.5" customHeight="1" x14ac:dyDescent="0.25">
      <c r="B18" s="119" t="s">
        <v>378</v>
      </c>
      <c r="C18" s="23">
        <v>42</v>
      </c>
      <c r="D18" s="23">
        <v>3</v>
      </c>
      <c r="E18" s="23">
        <v>3</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66.75" customHeight="1" x14ac:dyDescent="0.25">
      <c r="B21" s="382" t="s">
        <v>377</v>
      </c>
      <c r="C21" s="383"/>
      <c r="D21" s="383"/>
      <c r="E21" s="383"/>
      <c r="F21" s="384"/>
      <c r="G21" s="122"/>
    </row>
    <row r="22" spans="2:7" s="112" customFormat="1" x14ac:dyDescent="0.25">
      <c r="B22" s="379" t="s">
        <v>101</v>
      </c>
      <c r="C22" s="380"/>
      <c r="D22" s="380"/>
      <c r="E22" s="380"/>
      <c r="F22" s="381"/>
      <c r="G22" s="121"/>
    </row>
    <row r="23" spans="2:7" s="112" customFormat="1" ht="75.95" customHeight="1" x14ac:dyDescent="0.25">
      <c r="B23" s="382" t="s">
        <v>376</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51" customHeight="1" x14ac:dyDescent="0.25">
      <c r="B26" s="382" t="s">
        <v>375</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9</v>
      </c>
      <c r="C29" s="390"/>
      <c r="D29" s="390"/>
      <c r="E29" s="390"/>
      <c r="F29" s="391"/>
      <c r="G29" s="124"/>
    </row>
    <row r="30" spans="2:7" s="112" customFormat="1" x14ac:dyDescent="0.25">
      <c r="B30" s="389" t="s">
        <v>14</v>
      </c>
      <c r="C30" s="390"/>
      <c r="D30" s="390"/>
      <c r="E30" s="390"/>
      <c r="F30" s="391"/>
      <c r="G30" s="124"/>
    </row>
    <row r="31" spans="2:7" s="112" customFormat="1" x14ac:dyDescent="0.25">
      <c r="B31" s="389"/>
      <c r="C31" s="390"/>
      <c r="D31" s="390"/>
      <c r="E31" s="390"/>
      <c r="F31" s="391"/>
      <c r="G31" s="124"/>
    </row>
    <row r="32" spans="2:7" s="112" customFormat="1" x14ac:dyDescent="0.25">
      <c r="B32" s="389"/>
      <c r="C32" s="390"/>
      <c r="D32" s="390"/>
      <c r="E32" s="390"/>
      <c r="F32" s="391"/>
      <c r="G32" s="124"/>
    </row>
    <row r="33" spans="2:7" s="112" customFormat="1" x14ac:dyDescent="0.25">
      <c r="B33" s="389"/>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261" customHeight="1" x14ac:dyDescent="0.25">
      <c r="B40" s="382" t="s">
        <v>374</v>
      </c>
      <c r="C40" s="383"/>
      <c r="D40" s="383"/>
      <c r="E40" s="383"/>
      <c r="F40" s="384"/>
      <c r="G40" s="12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249</v>
      </c>
      <c r="C43" s="388"/>
      <c r="D43" s="388"/>
      <c r="E43" s="388"/>
      <c r="F43" s="388"/>
      <c r="G43" s="123"/>
    </row>
    <row r="44" spans="2:7" s="112" customFormat="1" x14ac:dyDescent="0.25">
      <c r="B44" s="127" t="s">
        <v>250</v>
      </c>
      <c r="C44" s="388"/>
      <c r="D44" s="388"/>
      <c r="E44" s="388"/>
      <c r="F44" s="388"/>
      <c r="G44" s="123"/>
    </row>
    <row r="45" spans="2:7" s="112" customFormat="1" x14ac:dyDescent="0.25">
      <c r="B45" s="135" t="s">
        <v>353</v>
      </c>
      <c r="C45" s="392"/>
      <c r="D45" s="383"/>
      <c r="E45" s="383"/>
      <c r="F45" s="384"/>
      <c r="G45" s="123"/>
    </row>
    <row r="46" spans="2:7" s="112" customFormat="1" x14ac:dyDescent="0.25">
      <c r="B46" s="127"/>
      <c r="C46" s="388"/>
      <c r="D46" s="388"/>
      <c r="E46" s="388"/>
      <c r="F46" s="388"/>
      <c r="G46" s="123"/>
    </row>
    <row r="47" spans="2:7" s="112" customFormat="1" x14ac:dyDescent="0.25">
      <c r="B47" s="127"/>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92" t="s">
        <v>299</v>
      </c>
      <c r="C50" s="383"/>
      <c r="D50" s="383"/>
      <c r="E50" s="383"/>
      <c r="F50" s="384"/>
      <c r="G50" s="126"/>
    </row>
    <row r="51" spans="2:7" s="112" customFormat="1" x14ac:dyDescent="0.25"/>
    <row r="52" spans="2:7" s="112" customFormat="1" x14ac:dyDescent="0.25">
      <c r="B52" s="379" t="s">
        <v>107</v>
      </c>
      <c r="C52" s="380"/>
      <c r="D52" s="380"/>
      <c r="E52" s="380"/>
      <c r="F52" s="381"/>
      <c r="G52" s="121"/>
    </row>
    <row r="53" spans="2:7" s="112" customFormat="1" ht="35.450000000000003" customHeight="1" x14ac:dyDescent="0.25">
      <c r="B53" s="382" t="s">
        <v>373</v>
      </c>
      <c r="C53" s="383"/>
      <c r="D53" s="383"/>
      <c r="E53" s="383"/>
      <c r="F53" s="384"/>
      <c r="G53" s="126"/>
    </row>
    <row r="54" spans="2:7" s="112" customFormat="1" x14ac:dyDescent="0.25"/>
    <row r="1048538" spans="8:9" x14ac:dyDescent="0.25">
      <c r="H1048538" s="121"/>
      <c r="I1048538" s="121"/>
    </row>
  </sheetData>
  <mergeCells count="40">
    <mergeCell ref="C10:F10"/>
    <mergeCell ref="B2:I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40:F40"/>
    <mergeCell ref="B28:F28"/>
    <mergeCell ref="B29:F29"/>
    <mergeCell ref="B30:F30"/>
    <mergeCell ref="B31:F31"/>
    <mergeCell ref="B32:F32"/>
    <mergeCell ref="B33:F33"/>
    <mergeCell ref="B34:F34"/>
    <mergeCell ref="B35:F35"/>
    <mergeCell ref="B36:F36"/>
    <mergeCell ref="B37:F37"/>
    <mergeCell ref="B39:F39"/>
    <mergeCell ref="B52:F52"/>
    <mergeCell ref="B53:F53"/>
    <mergeCell ref="B42:F42"/>
    <mergeCell ref="C43:F43"/>
    <mergeCell ref="C44:F44"/>
    <mergeCell ref="C45:F45"/>
    <mergeCell ref="C46:F46"/>
    <mergeCell ref="C47:F47"/>
    <mergeCell ref="B49:F49"/>
    <mergeCell ref="B50:F50"/>
  </mergeCells>
  <dataValidations count="1">
    <dataValidation type="list" allowBlank="1" showInputMessage="1" showErrorMessage="1" sqref="C6">
      <formula1>"Mise à jour à partir du plan d'études, Nouvelle création"</formula1>
    </dataValidation>
  </dataValidations>
  <hyperlinks>
    <hyperlink ref="B1" location="'Schéma d''enseignement'!G35"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theme="5"/>
  </sheetPr>
  <dimension ref="B1:J1048539"/>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386</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214</v>
      </c>
      <c r="D10" s="395"/>
      <c r="E10" s="395"/>
      <c r="F10" s="395"/>
      <c r="G10" s="114"/>
    </row>
    <row r="11" spans="2:10" s="112" customFormat="1" x14ac:dyDescent="0.25">
      <c r="B11" s="113" t="s">
        <v>91</v>
      </c>
      <c r="C11" s="395" t="s">
        <v>358</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43194</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33" customHeight="1" x14ac:dyDescent="0.25">
      <c r="B18" s="119" t="s">
        <v>215</v>
      </c>
      <c r="C18" s="23">
        <v>21</v>
      </c>
      <c r="D18" s="23">
        <v>3</v>
      </c>
      <c r="E18" s="23">
        <v>3</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34.5" customHeight="1" x14ac:dyDescent="0.25">
      <c r="B21" s="382" t="s">
        <v>385</v>
      </c>
      <c r="C21" s="383"/>
      <c r="D21" s="383"/>
      <c r="E21" s="383"/>
      <c r="F21" s="384"/>
      <c r="G21" s="122"/>
    </row>
    <row r="22" spans="2:7" s="112" customFormat="1" x14ac:dyDescent="0.25">
      <c r="B22" s="379" t="s">
        <v>101</v>
      </c>
      <c r="C22" s="380"/>
      <c r="D22" s="380"/>
      <c r="E22" s="380"/>
      <c r="F22" s="381"/>
      <c r="G22" s="121"/>
    </row>
    <row r="23" spans="2:7" s="112" customFormat="1" ht="75.95" customHeight="1" x14ac:dyDescent="0.25">
      <c r="B23" s="382" t="s">
        <v>384</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82" t="s">
        <v>383</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10</v>
      </c>
      <c r="C29" s="390"/>
      <c r="D29" s="390"/>
      <c r="E29" s="390"/>
      <c r="F29" s="391"/>
      <c r="G29" s="124"/>
    </row>
    <row r="30" spans="2:7" s="112" customFormat="1" x14ac:dyDescent="0.25">
      <c r="B30" s="389" t="s">
        <v>18</v>
      </c>
      <c r="C30" s="390"/>
      <c r="D30" s="390"/>
      <c r="E30" s="390"/>
      <c r="F30" s="391"/>
      <c r="G30" s="124"/>
    </row>
    <row r="31" spans="2:7" s="112" customFormat="1" x14ac:dyDescent="0.25">
      <c r="B31" s="389" t="s">
        <v>19</v>
      </c>
      <c r="C31" s="390"/>
      <c r="D31" s="390"/>
      <c r="E31" s="390"/>
      <c r="F31" s="391"/>
      <c r="G31" s="124"/>
    </row>
    <row r="32" spans="2:7" s="112" customFormat="1" x14ac:dyDescent="0.25">
      <c r="B32" s="389" t="s">
        <v>148</v>
      </c>
      <c r="C32" s="390"/>
      <c r="D32" s="390"/>
      <c r="E32" s="390"/>
      <c r="F32" s="391"/>
      <c r="G32" s="124"/>
    </row>
    <row r="33" spans="2:7" s="112" customFormat="1" x14ac:dyDescent="0.25">
      <c r="B33" s="389" t="s">
        <v>20</v>
      </c>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118.5" customHeight="1" x14ac:dyDescent="0.25">
      <c r="B40" s="382" t="s">
        <v>382</v>
      </c>
      <c r="C40" s="383"/>
      <c r="D40" s="383"/>
      <c r="E40" s="383"/>
      <c r="F40" s="384"/>
      <c r="G40" s="12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234</v>
      </c>
      <c r="C43" s="388"/>
      <c r="D43" s="388"/>
      <c r="E43" s="388"/>
      <c r="F43" s="388"/>
      <c r="G43" s="123"/>
    </row>
    <row r="44" spans="2:7" s="112" customFormat="1" x14ac:dyDescent="0.25">
      <c r="B44" s="127" t="s">
        <v>235</v>
      </c>
      <c r="C44" s="388"/>
      <c r="D44" s="388"/>
      <c r="E44" s="388"/>
      <c r="F44" s="388"/>
      <c r="G44" s="123"/>
    </row>
    <row r="45" spans="2:7" s="112" customFormat="1" x14ac:dyDescent="0.25">
      <c r="B45" s="127" t="s">
        <v>236</v>
      </c>
      <c r="C45" s="392"/>
      <c r="D45" s="383"/>
      <c r="E45" s="383"/>
      <c r="F45" s="384"/>
      <c r="G45" s="123"/>
    </row>
    <row r="46" spans="2:7" s="112" customFormat="1" x14ac:dyDescent="0.25">
      <c r="B46" s="127" t="s">
        <v>237</v>
      </c>
      <c r="C46" s="388"/>
      <c r="D46" s="388"/>
      <c r="E46" s="388"/>
      <c r="F46" s="388"/>
      <c r="G46" s="123"/>
    </row>
    <row r="47" spans="2:7" s="112" customFormat="1" x14ac:dyDescent="0.25">
      <c r="B47" s="127" t="s">
        <v>238</v>
      </c>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92" t="s">
        <v>381</v>
      </c>
      <c r="C50" s="383"/>
      <c r="D50" s="383"/>
      <c r="E50" s="383"/>
      <c r="F50" s="384"/>
      <c r="G50" s="126"/>
    </row>
    <row r="51" spans="2:7" s="112" customFormat="1" x14ac:dyDescent="0.25"/>
    <row r="52" spans="2:7" s="112" customFormat="1" x14ac:dyDescent="0.25">
      <c r="B52" s="379" t="s">
        <v>107</v>
      </c>
      <c r="C52" s="380"/>
      <c r="D52" s="380"/>
      <c r="E52" s="380"/>
      <c r="F52" s="381"/>
      <c r="G52" s="121"/>
    </row>
    <row r="53" spans="2:7" s="112" customFormat="1" ht="125.25" customHeight="1" x14ac:dyDescent="0.25">
      <c r="B53" s="382" t="s">
        <v>380</v>
      </c>
      <c r="C53" s="383"/>
      <c r="D53" s="383"/>
      <c r="E53" s="383"/>
      <c r="F53" s="384"/>
      <c r="G53" s="126"/>
    </row>
    <row r="54" spans="2:7" s="112" customFormat="1" x14ac:dyDescent="0.25"/>
    <row r="1048539" spans="8:9" x14ac:dyDescent="0.25">
      <c r="H1048539" s="121"/>
      <c r="I1048539" s="121"/>
    </row>
  </sheetData>
  <mergeCells count="40">
    <mergeCell ref="C10:F10"/>
    <mergeCell ref="B2:I2"/>
    <mergeCell ref="C6:F6"/>
    <mergeCell ref="C7:F7"/>
    <mergeCell ref="C8:F8"/>
    <mergeCell ref="C9:F9"/>
    <mergeCell ref="C11:F11"/>
    <mergeCell ref="B13:F13"/>
    <mergeCell ref="B14:C14"/>
    <mergeCell ref="D14:F14"/>
    <mergeCell ref="B15:C15"/>
    <mergeCell ref="D15:F15"/>
    <mergeCell ref="C46:F46"/>
    <mergeCell ref="B33:F33"/>
    <mergeCell ref="B20:F20"/>
    <mergeCell ref="B21:F21"/>
    <mergeCell ref="B22:F22"/>
    <mergeCell ref="B23:F23"/>
    <mergeCell ref="B25:F25"/>
    <mergeCell ref="B26:F26"/>
    <mergeCell ref="B28:F28"/>
    <mergeCell ref="B29:F29"/>
    <mergeCell ref="B30:F30"/>
    <mergeCell ref="B31:F31"/>
    <mergeCell ref="B32:F32"/>
    <mergeCell ref="B40:F40"/>
    <mergeCell ref="B42:F42"/>
    <mergeCell ref="C43:F43"/>
    <mergeCell ref="C44:F44"/>
    <mergeCell ref="C45:F45"/>
    <mergeCell ref="B34:F34"/>
    <mergeCell ref="B35:F35"/>
    <mergeCell ref="B36:F36"/>
    <mergeCell ref="B37:F37"/>
    <mergeCell ref="B39:F39"/>
    <mergeCell ref="B52:F52"/>
    <mergeCell ref="B53:F53"/>
    <mergeCell ref="B49:F49"/>
    <mergeCell ref="B50:F50"/>
    <mergeCell ref="C47:F47"/>
  </mergeCells>
  <dataValidations count="1">
    <dataValidation type="list" allowBlank="1" showInputMessage="1" showErrorMessage="1" sqref="C6">
      <formula1>"Mise à jour à partir du plan d'études, Nouvelle création"</formula1>
    </dataValidation>
  </dataValidations>
  <hyperlinks>
    <hyperlink ref="B1" location="'Schéma d''enseignement'!G36"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theme="5"/>
  </sheetPr>
  <dimension ref="B1:J1048539"/>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300</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214</v>
      </c>
      <c r="D10" s="395"/>
      <c r="E10" s="395"/>
      <c r="F10" s="395"/>
      <c r="G10" s="114"/>
    </row>
    <row r="11" spans="2:10" s="112" customFormat="1" x14ac:dyDescent="0.25">
      <c r="B11" s="113" t="s">
        <v>91</v>
      </c>
      <c r="C11" s="395" t="s">
        <v>358</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43194</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21" customHeight="1" x14ac:dyDescent="0.25">
      <c r="B18" s="119" t="s">
        <v>31</v>
      </c>
      <c r="C18" s="23">
        <v>21</v>
      </c>
      <c r="D18" s="23">
        <v>2</v>
      </c>
      <c r="E18" s="23">
        <v>2</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19.5" customHeight="1" x14ac:dyDescent="0.25">
      <c r="B21" s="382" t="s">
        <v>303</v>
      </c>
      <c r="C21" s="383"/>
      <c r="D21" s="383"/>
      <c r="E21" s="383"/>
      <c r="F21" s="384"/>
      <c r="G21" s="122"/>
    </row>
    <row r="22" spans="2:7" s="112" customFormat="1" x14ac:dyDescent="0.25">
      <c r="B22" s="379" t="s">
        <v>101</v>
      </c>
      <c r="C22" s="380"/>
      <c r="D22" s="380"/>
      <c r="E22" s="380"/>
      <c r="F22" s="381"/>
      <c r="G22" s="121"/>
    </row>
    <row r="23" spans="2:7" s="112" customFormat="1" ht="75.95" customHeight="1" x14ac:dyDescent="0.25">
      <c r="B23" s="382" t="s">
        <v>391</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3.75" customHeight="1" x14ac:dyDescent="0.25">
      <c r="B26" s="382" t="s">
        <v>390</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15</v>
      </c>
      <c r="C29" s="390"/>
      <c r="D29" s="390"/>
      <c r="E29" s="390"/>
      <c r="F29" s="391"/>
      <c r="G29" s="124"/>
    </row>
    <row r="30" spans="2:7" s="112" customFormat="1" x14ac:dyDescent="0.25">
      <c r="B30" s="389" t="s">
        <v>17</v>
      </c>
      <c r="C30" s="390"/>
      <c r="D30" s="390"/>
      <c r="E30" s="390"/>
      <c r="F30" s="391"/>
      <c r="G30" s="124"/>
    </row>
    <row r="31" spans="2:7" s="112" customFormat="1" x14ac:dyDescent="0.25">
      <c r="B31" s="389" t="s">
        <v>18</v>
      </c>
      <c r="C31" s="390"/>
      <c r="D31" s="390"/>
      <c r="E31" s="390"/>
      <c r="F31" s="391"/>
      <c r="G31" s="124"/>
    </row>
    <row r="32" spans="2:7" s="112" customFormat="1" x14ac:dyDescent="0.25">
      <c r="B32" s="389" t="s">
        <v>19</v>
      </c>
      <c r="C32" s="390"/>
      <c r="D32" s="390"/>
      <c r="E32" s="390"/>
      <c r="F32" s="391"/>
      <c r="G32" s="124"/>
    </row>
    <row r="33" spans="2:7" s="112" customFormat="1" x14ac:dyDescent="0.25">
      <c r="B33" s="389" t="s">
        <v>147</v>
      </c>
      <c r="C33" s="390"/>
      <c r="D33" s="390"/>
      <c r="E33" s="390"/>
      <c r="F33" s="391"/>
      <c r="G33" s="124"/>
    </row>
    <row r="34" spans="2:7" s="112" customFormat="1" x14ac:dyDescent="0.25">
      <c r="B34" s="389" t="s">
        <v>20</v>
      </c>
      <c r="C34" s="390"/>
      <c r="D34" s="390"/>
      <c r="E34" s="390"/>
      <c r="F34" s="391"/>
      <c r="G34" s="124"/>
    </row>
    <row r="35" spans="2:7" s="112" customFormat="1" x14ac:dyDescent="0.25">
      <c r="B35" s="389" t="s">
        <v>21</v>
      </c>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270.75" customHeight="1" x14ac:dyDescent="0.25">
      <c r="B40" s="382" t="s">
        <v>389</v>
      </c>
      <c r="C40" s="383"/>
      <c r="D40" s="383"/>
      <c r="E40" s="383"/>
      <c r="F40" s="384"/>
      <c r="G40" s="12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249</v>
      </c>
      <c r="C43" s="388"/>
      <c r="D43" s="388"/>
      <c r="E43" s="388"/>
      <c r="F43" s="388"/>
      <c r="G43" s="123"/>
    </row>
    <row r="44" spans="2:7" s="112" customFormat="1" x14ac:dyDescent="0.25">
      <c r="B44" s="127" t="s">
        <v>250</v>
      </c>
      <c r="C44" s="388"/>
      <c r="D44" s="388"/>
      <c r="E44" s="388"/>
      <c r="F44" s="388"/>
      <c r="G44" s="123"/>
    </row>
    <row r="45" spans="2:7" s="112" customFormat="1" x14ac:dyDescent="0.25">
      <c r="B45" s="135" t="s">
        <v>353</v>
      </c>
      <c r="C45" s="392"/>
      <c r="D45" s="383"/>
      <c r="E45" s="383"/>
      <c r="F45" s="384"/>
      <c r="G45" s="123"/>
    </row>
    <row r="46" spans="2:7" s="112" customFormat="1" ht="31.5" x14ac:dyDescent="0.25">
      <c r="B46" s="135" t="s">
        <v>339</v>
      </c>
      <c r="C46" s="388"/>
      <c r="D46" s="388"/>
      <c r="E46" s="388"/>
      <c r="F46" s="388"/>
      <c r="G46" s="123"/>
    </row>
    <row r="47" spans="2:7" s="112" customFormat="1" x14ac:dyDescent="0.25">
      <c r="B47" s="127"/>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82" t="s">
        <v>388</v>
      </c>
      <c r="C50" s="383"/>
      <c r="D50" s="383"/>
      <c r="E50" s="383"/>
      <c r="F50" s="384"/>
      <c r="G50" s="126"/>
    </row>
    <row r="51" spans="2:7" s="112" customFormat="1" x14ac:dyDescent="0.25"/>
    <row r="52" spans="2:7" s="112" customFormat="1" x14ac:dyDescent="0.25">
      <c r="B52" s="379" t="s">
        <v>107</v>
      </c>
      <c r="C52" s="380"/>
      <c r="D52" s="380"/>
      <c r="E52" s="380"/>
      <c r="F52" s="381"/>
      <c r="G52" s="121"/>
    </row>
    <row r="53" spans="2:7" s="112" customFormat="1" ht="35.450000000000003" customHeight="1" x14ac:dyDescent="0.25">
      <c r="B53" s="382" t="s">
        <v>387</v>
      </c>
      <c r="C53" s="393"/>
      <c r="D53" s="393"/>
      <c r="E53" s="393"/>
      <c r="F53" s="394"/>
      <c r="G53" s="126"/>
    </row>
    <row r="54" spans="2:7" s="112" customFormat="1" x14ac:dyDescent="0.25"/>
    <row r="1048539" spans="8:9" x14ac:dyDescent="0.25">
      <c r="H1048539" s="121"/>
      <c r="I1048539" s="121"/>
    </row>
  </sheetData>
  <mergeCells count="40">
    <mergeCell ref="C10:F10"/>
    <mergeCell ref="B2:I2"/>
    <mergeCell ref="C6:F6"/>
    <mergeCell ref="C7:F7"/>
    <mergeCell ref="C8:F8"/>
    <mergeCell ref="C9:F9"/>
    <mergeCell ref="C11:F11"/>
    <mergeCell ref="B13:F13"/>
    <mergeCell ref="B14:C14"/>
    <mergeCell ref="D14:F14"/>
    <mergeCell ref="B15:C15"/>
    <mergeCell ref="D15:F15"/>
    <mergeCell ref="C46:F46"/>
    <mergeCell ref="B33:F33"/>
    <mergeCell ref="B20:F20"/>
    <mergeCell ref="B21:F21"/>
    <mergeCell ref="B22:F22"/>
    <mergeCell ref="B23:F23"/>
    <mergeCell ref="B25:F25"/>
    <mergeCell ref="B26:F26"/>
    <mergeCell ref="B28:F28"/>
    <mergeCell ref="B29:F29"/>
    <mergeCell ref="B30:F30"/>
    <mergeCell ref="B31:F31"/>
    <mergeCell ref="B32:F32"/>
    <mergeCell ref="B40:F40"/>
    <mergeCell ref="B42:F42"/>
    <mergeCell ref="C43:F43"/>
    <mergeCell ref="C44:F44"/>
    <mergeCell ref="C45:F45"/>
    <mergeCell ref="B34:F34"/>
    <mergeCell ref="B35:F35"/>
    <mergeCell ref="B36:F36"/>
    <mergeCell ref="B37:F37"/>
    <mergeCell ref="B39:F39"/>
    <mergeCell ref="B52:F52"/>
    <mergeCell ref="B53:F53"/>
    <mergeCell ref="B49:F49"/>
    <mergeCell ref="B50:F50"/>
    <mergeCell ref="C47:F47"/>
  </mergeCells>
  <dataValidations count="1">
    <dataValidation type="list" allowBlank="1" showInputMessage="1" showErrorMessage="1" sqref="C6">
      <formula1>"Mise à jour à partir du plan d'études, Nouvelle création"</formula1>
    </dataValidation>
  </dataValidations>
  <hyperlinks>
    <hyperlink ref="B1" location="'Schéma d''enseignement'!G37"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theme="5"/>
  </sheetPr>
  <dimension ref="B1:J1048539"/>
  <sheetViews>
    <sheetView zoomScale="87" zoomScaleNormal="87"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392</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393</v>
      </c>
      <c r="D10" s="395"/>
      <c r="E10" s="395"/>
      <c r="F10" s="395"/>
      <c r="G10" s="114"/>
    </row>
    <row r="11" spans="2:10" s="112" customFormat="1" x14ac:dyDescent="0.25">
      <c r="B11" s="113" t="s">
        <v>91</v>
      </c>
      <c r="C11" s="395" t="s">
        <v>358</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43194</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23.25" customHeight="1" x14ac:dyDescent="0.25">
      <c r="B18" s="119" t="s">
        <v>217</v>
      </c>
      <c r="C18" s="23">
        <v>21</v>
      </c>
      <c r="D18" s="23">
        <v>2</v>
      </c>
      <c r="E18" s="23">
        <v>2</v>
      </c>
      <c r="F18" s="23" t="s">
        <v>228</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36.75" customHeight="1" x14ac:dyDescent="0.25">
      <c r="B21" s="382" t="s">
        <v>394</v>
      </c>
      <c r="C21" s="383"/>
      <c r="D21" s="383"/>
      <c r="E21" s="383"/>
      <c r="F21" s="384"/>
      <c r="G21" s="122"/>
    </row>
    <row r="22" spans="2:7" s="112" customFormat="1" x14ac:dyDescent="0.25">
      <c r="B22" s="379" t="s">
        <v>101</v>
      </c>
      <c r="C22" s="380"/>
      <c r="D22" s="380"/>
      <c r="E22" s="380"/>
      <c r="F22" s="381"/>
      <c r="G22" s="121"/>
    </row>
    <row r="23" spans="2:7" s="112" customFormat="1" ht="124.5" customHeight="1" x14ac:dyDescent="0.25">
      <c r="B23" s="382" t="s">
        <v>395</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92" t="s">
        <v>396</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11</v>
      </c>
      <c r="C29" s="390"/>
      <c r="D29" s="390"/>
      <c r="E29" s="390"/>
      <c r="F29" s="391"/>
      <c r="G29" s="124"/>
    </row>
    <row r="30" spans="2:7" s="112" customFormat="1" x14ac:dyDescent="0.25">
      <c r="B30" s="389" t="s">
        <v>12</v>
      </c>
      <c r="C30" s="390"/>
      <c r="D30" s="390"/>
      <c r="E30" s="390"/>
      <c r="F30" s="391"/>
      <c r="G30" s="124"/>
    </row>
    <row r="31" spans="2:7" s="112" customFormat="1" x14ac:dyDescent="0.25">
      <c r="B31" s="389" t="s">
        <v>147</v>
      </c>
      <c r="C31" s="390"/>
      <c r="D31" s="390"/>
      <c r="E31" s="390"/>
      <c r="F31" s="391"/>
      <c r="G31" s="124"/>
    </row>
    <row r="32" spans="2:7" s="112" customFormat="1" x14ac:dyDescent="0.25">
      <c r="B32" s="389" t="s">
        <v>20</v>
      </c>
      <c r="C32" s="390"/>
      <c r="D32" s="390"/>
      <c r="E32" s="390"/>
      <c r="F32" s="391"/>
      <c r="G32" s="124"/>
    </row>
    <row r="33" spans="2:7" s="112" customFormat="1" x14ac:dyDescent="0.25">
      <c r="B33" s="389"/>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167.25" customHeight="1" x14ac:dyDescent="0.25">
      <c r="B40" s="382" t="s">
        <v>397</v>
      </c>
      <c r="C40" s="383"/>
      <c r="D40" s="383"/>
      <c r="E40" s="383"/>
      <c r="F40" s="384"/>
      <c r="G40" s="12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21"/>
    </row>
    <row r="43" spans="2:7" s="112" customFormat="1" x14ac:dyDescent="0.25">
      <c r="B43" s="127" t="s">
        <v>234</v>
      </c>
      <c r="C43" s="388"/>
      <c r="D43" s="388"/>
      <c r="E43" s="388"/>
      <c r="F43" s="388"/>
      <c r="G43" s="123"/>
    </row>
    <row r="44" spans="2:7" s="112" customFormat="1" x14ac:dyDescent="0.25">
      <c r="B44" s="127" t="s">
        <v>235</v>
      </c>
      <c r="C44" s="388"/>
      <c r="D44" s="388"/>
      <c r="E44" s="388"/>
      <c r="F44" s="388"/>
      <c r="G44" s="123"/>
    </row>
    <row r="45" spans="2:7" s="112" customFormat="1" x14ac:dyDescent="0.25">
      <c r="B45" s="127" t="s">
        <v>236</v>
      </c>
      <c r="C45" s="392"/>
      <c r="D45" s="383"/>
      <c r="E45" s="383"/>
      <c r="F45" s="384"/>
      <c r="G45" s="123"/>
    </row>
    <row r="46" spans="2:7" s="112" customFormat="1" x14ac:dyDescent="0.25">
      <c r="B46" s="127" t="s">
        <v>237</v>
      </c>
      <c r="C46" s="388"/>
      <c r="D46" s="388"/>
      <c r="E46" s="388"/>
      <c r="F46" s="388"/>
      <c r="G46" s="123"/>
    </row>
    <row r="47" spans="2:7" s="112" customFormat="1" x14ac:dyDescent="0.25">
      <c r="B47" s="127" t="s">
        <v>238</v>
      </c>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92" t="s">
        <v>398</v>
      </c>
      <c r="C50" s="383"/>
      <c r="D50" s="383"/>
      <c r="E50" s="383"/>
      <c r="F50" s="384"/>
      <c r="G50" s="126"/>
    </row>
    <row r="51" spans="2:7" s="112" customFormat="1" x14ac:dyDescent="0.25"/>
    <row r="52" spans="2:7" s="112" customFormat="1" x14ac:dyDescent="0.25">
      <c r="B52" s="379" t="s">
        <v>107</v>
      </c>
      <c r="C52" s="380"/>
      <c r="D52" s="380"/>
      <c r="E52" s="380"/>
      <c r="F52" s="381"/>
      <c r="G52" s="121"/>
    </row>
    <row r="53" spans="2:7" s="112" customFormat="1" ht="90.75" customHeight="1" x14ac:dyDescent="0.25">
      <c r="B53" s="382" t="s">
        <v>399</v>
      </c>
      <c r="C53" s="383"/>
      <c r="D53" s="383"/>
      <c r="E53" s="383"/>
      <c r="F53" s="384"/>
      <c r="G53" s="126"/>
    </row>
    <row r="54" spans="2:7" s="112" customFormat="1" x14ac:dyDescent="0.25"/>
    <row r="1048539" spans="8:9" x14ac:dyDescent="0.25">
      <c r="H1048539" s="121"/>
      <c r="I1048539" s="121"/>
    </row>
  </sheetData>
  <mergeCells count="40">
    <mergeCell ref="C10:F10"/>
    <mergeCell ref="B2:I2"/>
    <mergeCell ref="C6:F6"/>
    <mergeCell ref="C7:F7"/>
    <mergeCell ref="C8:F8"/>
    <mergeCell ref="C9:F9"/>
    <mergeCell ref="C11:F11"/>
    <mergeCell ref="B13:F13"/>
    <mergeCell ref="B14:C14"/>
    <mergeCell ref="D14:F14"/>
    <mergeCell ref="B15:C15"/>
    <mergeCell ref="D15:F15"/>
    <mergeCell ref="C46:F46"/>
    <mergeCell ref="B33:F33"/>
    <mergeCell ref="B20:F20"/>
    <mergeCell ref="B21:F21"/>
    <mergeCell ref="B22:F22"/>
    <mergeCell ref="B23:F23"/>
    <mergeCell ref="B25:F25"/>
    <mergeCell ref="B26:F26"/>
    <mergeCell ref="B28:F28"/>
    <mergeCell ref="B29:F29"/>
    <mergeCell ref="B30:F30"/>
    <mergeCell ref="B31:F31"/>
    <mergeCell ref="B32:F32"/>
    <mergeCell ref="B40:F40"/>
    <mergeCell ref="B42:F42"/>
    <mergeCell ref="C43:F43"/>
    <mergeCell ref="C44:F44"/>
    <mergeCell ref="C45:F45"/>
    <mergeCell ref="B34:F34"/>
    <mergeCell ref="B35:F35"/>
    <mergeCell ref="B36:F36"/>
    <mergeCell ref="B37:F37"/>
    <mergeCell ref="B39:F39"/>
    <mergeCell ref="B52:F52"/>
    <mergeCell ref="B53:F53"/>
    <mergeCell ref="B49:F49"/>
    <mergeCell ref="B50:F50"/>
    <mergeCell ref="C47:F47"/>
  </mergeCells>
  <dataValidations count="1">
    <dataValidation type="list" allowBlank="1" showInputMessage="1" showErrorMessage="1" sqref="C6">
      <formula1>"Mise à jour à partir du plan d'études, Nouvelle création"</formula1>
    </dataValidation>
  </dataValidations>
  <hyperlinks>
    <hyperlink ref="B1" location="'Schéma d''enseignement'!G38"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theme="5"/>
  </sheetPr>
  <dimension ref="B1:J1048539"/>
  <sheetViews>
    <sheetView zoomScale="90" zoomScaleNormal="90"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1" spans="2:10" x14ac:dyDescent="0.25">
      <c r="B1" s="309" t="s">
        <v>857</v>
      </c>
    </row>
    <row r="2" spans="2:10" ht="45" customHeight="1" x14ac:dyDescent="0.25">
      <c r="B2" s="401" t="s">
        <v>400</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393</v>
      </c>
      <c r="D10" s="395"/>
      <c r="E10" s="395"/>
      <c r="F10" s="395"/>
      <c r="G10" s="114"/>
    </row>
    <row r="11" spans="2:10" s="112" customFormat="1" x14ac:dyDescent="0.25">
      <c r="B11" s="113" t="s">
        <v>91</v>
      </c>
      <c r="C11" s="395" t="s">
        <v>358</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43438</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33" customHeight="1" x14ac:dyDescent="0.25">
      <c r="B18" s="119" t="s">
        <v>401</v>
      </c>
      <c r="C18" s="23">
        <v>42</v>
      </c>
      <c r="D18" s="23">
        <v>2</v>
      </c>
      <c r="E18" s="23">
        <v>2</v>
      </c>
      <c r="F18" s="119" t="s">
        <v>433</v>
      </c>
      <c r="G18" s="137"/>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24.75" customHeight="1" x14ac:dyDescent="0.25">
      <c r="B21" s="382" t="s">
        <v>402</v>
      </c>
      <c r="C21" s="383"/>
      <c r="D21" s="383"/>
      <c r="E21" s="383"/>
      <c r="F21" s="384"/>
      <c r="G21" s="122"/>
    </row>
    <row r="22" spans="2:7" s="112" customFormat="1" x14ac:dyDescent="0.25">
      <c r="B22" s="379" t="s">
        <v>101</v>
      </c>
      <c r="C22" s="380"/>
      <c r="D22" s="380"/>
      <c r="E22" s="380"/>
      <c r="F22" s="381"/>
      <c r="G22" s="121"/>
    </row>
    <row r="23" spans="2:7" s="112" customFormat="1" ht="86.25" customHeight="1" x14ac:dyDescent="0.25">
      <c r="B23" s="382" t="s">
        <v>432</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92" t="s">
        <v>434</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11</v>
      </c>
      <c r="C29" s="390"/>
      <c r="D29" s="390"/>
      <c r="E29" s="390"/>
      <c r="F29" s="391"/>
      <c r="G29" s="124"/>
    </row>
    <row r="30" spans="2:7" s="112" customFormat="1" x14ac:dyDescent="0.25">
      <c r="B30" s="389" t="s">
        <v>12</v>
      </c>
      <c r="C30" s="390"/>
      <c r="D30" s="390"/>
      <c r="E30" s="390"/>
      <c r="F30" s="391"/>
      <c r="G30" s="124"/>
    </row>
    <row r="31" spans="2:7" s="112" customFormat="1" x14ac:dyDescent="0.25">
      <c r="B31" s="389" t="s">
        <v>19</v>
      </c>
      <c r="C31" s="390"/>
      <c r="D31" s="390"/>
      <c r="E31" s="390"/>
      <c r="F31" s="391"/>
      <c r="G31" s="124"/>
    </row>
    <row r="32" spans="2:7" s="112" customFormat="1" x14ac:dyDescent="0.25">
      <c r="B32" s="389" t="s">
        <v>147</v>
      </c>
      <c r="C32" s="390"/>
      <c r="D32" s="390"/>
      <c r="E32" s="390"/>
      <c r="F32" s="391"/>
      <c r="G32" s="124"/>
    </row>
    <row r="33" spans="2:7" s="112" customFormat="1" x14ac:dyDescent="0.25">
      <c r="B33" s="389" t="s">
        <v>20</v>
      </c>
      <c r="C33" s="390"/>
      <c r="D33" s="390"/>
      <c r="E33" s="390"/>
      <c r="F33" s="391"/>
      <c r="G33" s="124"/>
    </row>
    <row r="34" spans="2:7" s="112" customFormat="1" x14ac:dyDescent="0.25">
      <c r="B34" s="546"/>
      <c r="C34" s="547"/>
      <c r="D34" s="547"/>
      <c r="E34" s="547"/>
      <c r="F34" s="548"/>
      <c r="G34" s="122"/>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133.5" customHeight="1" x14ac:dyDescent="0.25">
      <c r="B40" s="382" t="s">
        <v>431</v>
      </c>
      <c r="C40" s="383"/>
      <c r="D40" s="383"/>
      <c r="E40" s="383"/>
      <c r="F40" s="384"/>
      <c r="G40" s="123"/>
    </row>
    <row r="41" spans="2:7" s="112" customFormat="1" ht="16.5" customHeight="1" x14ac:dyDescent="0.25">
      <c r="B41" s="125"/>
      <c r="C41" s="126"/>
      <c r="D41" s="126"/>
      <c r="E41" s="126"/>
      <c r="F41" s="126"/>
      <c r="G41" s="126"/>
    </row>
    <row r="42" spans="2:7" s="112" customFormat="1" x14ac:dyDescent="0.25">
      <c r="B42" s="379" t="s">
        <v>233</v>
      </c>
      <c r="C42" s="380"/>
      <c r="D42" s="380"/>
      <c r="E42" s="380"/>
      <c r="F42" s="381"/>
      <c r="G42" s="132"/>
    </row>
    <row r="43" spans="2:7" s="112" customFormat="1" x14ac:dyDescent="0.25">
      <c r="B43" s="127" t="s">
        <v>249</v>
      </c>
      <c r="C43" s="388"/>
      <c r="D43" s="388"/>
      <c r="E43" s="388"/>
      <c r="F43" s="388"/>
      <c r="G43" s="123"/>
    </row>
    <row r="44" spans="2:7" s="112" customFormat="1" x14ac:dyDescent="0.25">
      <c r="B44" s="127" t="s">
        <v>250</v>
      </c>
      <c r="C44" s="388"/>
      <c r="D44" s="388"/>
      <c r="E44" s="388"/>
      <c r="F44" s="388"/>
      <c r="G44" s="123"/>
    </row>
    <row r="45" spans="2:7" s="112" customFormat="1" ht="31.5" x14ac:dyDescent="0.25">
      <c r="B45" s="135" t="s">
        <v>403</v>
      </c>
      <c r="C45" s="392"/>
      <c r="D45" s="383"/>
      <c r="E45" s="383"/>
      <c r="F45" s="384"/>
      <c r="G45" s="123"/>
    </row>
    <row r="46" spans="2:7" s="112" customFormat="1" x14ac:dyDescent="0.25">
      <c r="B46" s="127" t="s">
        <v>238</v>
      </c>
      <c r="C46" s="388"/>
      <c r="D46" s="388"/>
      <c r="E46" s="388"/>
      <c r="F46" s="388"/>
      <c r="G46" s="122"/>
    </row>
    <row r="47" spans="2:7" s="112" customFormat="1" x14ac:dyDescent="0.25">
      <c r="B47" s="127"/>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92" t="s">
        <v>430</v>
      </c>
      <c r="C50" s="383"/>
      <c r="D50" s="383"/>
      <c r="E50" s="383"/>
      <c r="F50" s="384"/>
      <c r="G50" s="122"/>
    </row>
    <row r="51" spans="2:7" s="112" customFormat="1" x14ac:dyDescent="0.25"/>
    <row r="52" spans="2:7" s="112" customFormat="1" x14ac:dyDescent="0.25">
      <c r="B52" s="379" t="s">
        <v>107</v>
      </c>
      <c r="C52" s="380"/>
      <c r="D52" s="380"/>
      <c r="E52" s="380"/>
      <c r="F52" s="381"/>
      <c r="G52" s="121"/>
    </row>
    <row r="53" spans="2:7" s="112" customFormat="1" ht="35.450000000000003" customHeight="1" x14ac:dyDescent="0.25">
      <c r="B53" s="382" t="s">
        <v>404</v>
      </c>
      <c r="C53" s="383"/>
      <c r="D53" s="383"/>
      <c r="E53" s="383"/>
      <c r="F53" s="384"/>
      <c r="G53" s="122"/>
    </row>
    <row r="54" spans="2:7" s="112" customFormat="1" x14ac:dyDescent="0.25"/>
    <row r="1048539" spans="8:9" x14ac:dyDescent="0.25">
      <c r="H1048539" s="121"/>
      <c r="I1048539" s="121"/>
    </row>
  </sheetData>
  <mergeCells count="40">
    <mergeCell ref="C10:F10"/>
    <mergeCell ref="B2:I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40:F40"/>
    <mergeCell ref="B28:F28"/>
    <mergeCell ref="B29:F29"/>
    <mergeCell ref="B30:F30"/>
    <mergeCell ref="B31:F31"/>
    <mergeCell ref="B32:F32"/>
    <mergeCell ref="B33:F33"/>
    <mergeCell ref="B34:F34"/>
    <mergeCell ref="B35:F35"/>
    <mergeCell ref="B36:F36"/>
    <mergeCell ref="B37:F37"/>
    <mergeCell ref="B39:F39"/>
    <mergeCell ref="B52:F52"/>
    <mergeCell ref="B53:F53"/>
    <mergeCell ref="B42:F42"/>
    <mergeCell ref="C43:F43"/>
    <mergeCell ref="C44:F44"/>
    <mergeCell ref="C45:F45"/>
    <mergeCell ref="C46:F46"/>
    <mergeCell ref="C47:F47"/>
    <mergeCell ref="B49:F49"/>
    <mergeCell ref="B50:F50"/>
  </mergeCells>
  <dataValidations count="1">
    <dataValidation type="list" allowBlank="1" showInputMessage="1" showErrorMessage="1" sqref="C6">
      <formula1>"Mise à jour à partir du plan d'études, Nouvelle création"</formula1>
    </dataValidation>
  </dataValidations>
  <hyperlinks>
    <hyperlink ref="B1" location="'Schéma d''enseignement'!G39"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theme="5"/>
  </sheetPr>
  <dimension ref="B2:J1048545"/>
  <sheetViews>
    <sheetView topLeftCell="B3" zoomScale="87" zoomScaleNormal="87" zoomScaleSheetLayoutView="85" zoomScalePageLayoutView="85" workbookViewId="0">
      <selection activeCell="B3" sqref="B3"/>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6.570312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16384" width="8.85546875" style="108"/>
  </cols>
  <sheetData>
    <row r="2" spans="2:10" ht="45" customHeight="1" x14ac:dyDescent="0.25">
      <c r="B2" s="401" t="s">
        <v>405</v>
      </c>
      <c r="C2" s="402"/>
      <c r="D2" s="402"/>
      <c r="E2" s="402"/>
      <c r="F2" s="402"/>
      <c r="G2" s="402"/>
      <c r="H2" s="402"/>
      <c r="I2" s="403"/>
      <c r="J2" s="107"/>
    </row>
    <row r="3" spans="2:10" x14ac:dyDescent="0.25">
      <c r="B3" s="309" t="s">
        <v>857</v>
      </c>
    </row>
    <row r="4" spans="2:10" ht="22.35" customHeight="1" x14ac:dyDescent="0.25">
      <c r="B4" s="109" t="s">
        <v>86</v>
      </c>
      <c r="C4" s="110"/>
      <c r="D4" s="110"/>
      <c r="E4" s="110"/>
      <c r="F4" s="110"/>
      <c r="G4" s="111"/>
    </row>
    <row r="5" spans="2:10" s="112" customFormat="1" x14ac:dyDescent="0.25"/>
    <row r="6" spans="2:10" s="112" customFormat="1" x14ac:dyDescent="0.25">
      <c r="B6" s="113" t="s">
        <v>87</v>
      </c>
      <c r="C6" s="395"/>
      <c r="D6" s="395"/>
      <c r="E6" s="395"/>
      <c r="F6" s="395"/>
      <c r="G6" s="114"/>
    </row>
    <row r="7" spans="2:10" s="112" customFormat="1" x14ac:dyDescent="0.25">
      <c r="B7" s="115" t="s">
        <v>88</v>
      </c>
      <c r="C7" s="404" t="s">
        <v>222</v>
      </c>
      <c r="D7" s="404"/>
      <c r="E7" s="404"/>
      <c r="F7" s="404"/>
      <c r="G7" s="116"/>
    </row>
    <row r="8" spans="2:10" s="112" customFormat="1" x14ac:dyDescent="0.25">
      <c r="B8" s="113" t="s">
        <v>89</v>
      </c>
      <c r="C8" s="395" t="s">
        <v>223</v>
      </c>
      <c r="D8" s="395"/>
      <c r="E8" s="395"/>
      <c r="F8" s="395"/>
      <c r="G8" s="114"/>
    </row>
    <row r="9" spans="2:10" s="112" customFormat="1" x14ac:dyDescent="0.25">
      <c r="B9" s="113" t="s">
        <v>90</v>
      </c>
      <c r="C9" s="395" t="s">
        <v>224</v>
      </c>
      <c r="D9" s="395"/>
      <c r="E9" s="395"/>
      <c r="F9" s="395"/>
      <c r="G9" s="114"/>
    </row>
    <row r="10" spans="2:10" s="112" customFormat="1" x14ac:dyDescent="0.25">
      <c r="B10" s="113" t="s">
        <v>225</v>
      </c>
      <c r="C10" s="395" t="s">
        <v>393</v>
      </c>
      <c r="D10" s="395"/>
      <c r="E10" s="395"/>
      <c r="F10" s="395"/>
      <c r="G10" s="114"/>
    </row>
    <row r="11" spans="2:10" s="112" customFormat="1" x14ac:dyDescent="0.25">
      <c r="B11" s="113" t="s">
        <v>91</v>
      </c>
      <c r="C11" s="395" t="s">
        <v>358</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v>43438</v>
      </c>
      <c r="C15" s="400"/>
      <c r="D15" s="395" t="s">
        <v>227</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33.6" customHeight="1" x14ac:dyDescent="0.25">
      <c r="B18" s="119" t="s">
        <v>406</v>
      </c>
      <c r="C18" s="23">
        <v>42</v>
      </c>
      <c r="D18" s="23">
        <v>2</v>
      </c>
      <c r="E18" s="23">
        <v>2</v>
      </c>
      <c r="F18" s="119" t="s">
        <v>438</v>
      </c>
      <c r="G18" s="137"/>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21.75" customHeight="1" x14ac:dyDescent="0.25">
      <c r="B21" s="382" t="s">
        <v>407</v>
      </c>
      <c r="C21" s="383"/>
      <c r="D21" s="383"/>
      <c r="E21" s="383"/>
      <c r="F21" s="384"/>
      <c r="G21" s="122"/>
    </row>
    <row r="22" spans="2:7" s="112" customFormat="1" x14ac:dyDescent="0.25">
      <c r="B22" s="379" t="s">
        <v>101</v>
      </c>
      <c r="C22" s="380"/>
      <c r="D22" s="380"/>
      <c r="E22" s="380"/>
      <c r="F22" s="381"/>
      <c r="G22" s="121"/>
    </row>
    <row r="23" spans="2:7" s="112" customFormat="1" ht="86.25" customHeight="1" x14ac:dyDescent="0.25">
      <c r="B23" s="382" t="s">
        <v>437</v>
      </c>
      <c r="C23" s="383"/>
      <c r="D23" s="383"/>
      <c r="E23" s="383"/>
      <c r="F23" s="384"/>
      <c r="G23" s="122"/>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92" t="s">
        <v>408</v>
      </c>
      <c r="C26" s="383"/>
      <c r="D26" s="383"/>
      <c r="E26" s="383"/>
      <c r="F26" s="384"/>
      <c r="G26" s="122"/>
    </row>
    <row r="27" spans="2:7" s="112" customFormat="1" x14ac:dyDescent="0.25"/>
    <row r="28" spans="2:7" s="112" customFormat="1" x14ac:dyDescent="0.25">
      <c r="B28" s="379" t="s">
        <v>103</v>
      </c>
      <c r="C28" s="380"/>
      <c r="D28" s="380"/>
      <c r="E28" s="380"/>
      <c r="F28" s="381"/>
      <c r="G28" s="117"/>
    </row>
    <row r="29" spans="2:7" s="112" customFormat="1" x14ac:dyDescent="0.25">
      <c r="B29" s="389" t="s">
        <v>11</v>
      </c>
      <c r="C29" s="390"/>
      <c r="D29" s="390"/>
      <c r="E29" s="390"/>
      <c r="F29" s="391"/>
      <c r="G29" s="124"/>
    </row>
    <row r="30" spans="2:7" s="112" customFormat="1" x14ac:dyDescent="0.25">
      <c r="B30" s="389" t="s">
        <v>12</v>
      </c>
      <c r="C30" s="390"/>
      <c r="D30" s="390"/>
      <c r="E30" s="390"/>
      <c r="F30" s="391"/>
      <c r="G30" s="124"/>
    </row>
    <row r="31" spans="2:7" s="112" customFormat="1" x14ac:dyDescent="0.25">
      <c r="B31" s="389" t="s">
        <v>19</v>
      </c>
      <c r="C31" s="390"/>
      <c r="D31" s="390"/>
      <c r="E31" s="390"/>
      <c r="F31" s="391"/>
      <c r="G31" s="124"/>
    </row>
    <row r="32" spans="2:7" s="112" customFormat="1" x14ac:dyDescent="0.25">
      <c r="B32" s="389" t="s">
        <v>147</v>
      </c>
      <c r="C32" s="390"/>
      <c r="D32" s="390"/>
      <c r="E32" s="390"/>
      <c r="F32" s="391"/>
      <c r="G32" s="124"/>
    </row>
    <row r="33" spans="2:7" s="112" customFormat="1" x14ac:dyDescent="0.25">
      <c r="B33" s="389" t="s">
        <v>20</v>
      </c>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97.5" customHeight="1" x14ac:dyDescent="0.25">
      <c r="B40" s="382" t="s">
        <v>436</v>
      </c>
      <c r="C40" s="383"/>
      <c r="D40" s="383"/>
      <c r="E40" s="383"/>
      <c r="F40" s="384"/>
      <c r="G40" s="123"/>
    </row>
    <row r="41" spans="2:7" s="112" customFormat="1" ht="16.5" customHeight="1" x14ac:dyDescent="0.35">
      <c r="B41" s="139" t="s">
        <v>409</v>
      </c>
      <c r="C41" s="126"/>
      <c r="D41" s="126"/>
      <c r="E41" s="126"/>
      <c r="F41" s="126"/>
      <c r="G41" s="126"/>
    </row>
    <row r="42" spans="2:7" s="112" customFormat="1" x14ac:dyDescent="0.25">
      <c r="B42" s="379" t="s">
        <v>233</v>
      </c>
      <c r="C42" s="380"/>
      <c r="D42" s="380"/>
      <c r="E42" s="380"/>
      <c r="F42" s="381"/>
      <c r="G42" s="132"/>
    </row>
    <row r="43" spans="2:7" s="112" customFormat="1" x14ac:dyDescent="0.25">
      <c r="B43" s="127" t="s">
        <v>249</v>
      </c>
      <c r="C43" s="388"/>
      <c r="D43" s="388"/>
      <c r="E43" s="388"/>
      <c r="F43" s="388"/>
      <c r="G43" s="123"/>
    </row>
    <row r="44" spans="2:7" s="112" customFormat="1" x14ac:dyDescent="0.25">
      <c r="B44" s="127" t="s">
        <v>250</v>
      </c>
      <c r="C44" s="388"/>
      <c r="D44" s="388"/>
      <c r="E44" s="388"/>
      <c r="F44" s="388"/>
      <c r="G44" s="123"/>
    </row>
    <row r="45" spans="2:7" s="112" customFormat="1" x14ac:dyDescent="0.25">
      <c r="B45" s="135" t="s">
        <v>410</v>
      </c>
      <c r="C45" s="392"/>
      <c r="D45" s="383"/>
      <c r="E45" s="383"/>
      <c r="F45" s="384"/>
      <c r="G45" s="123"/>
    </row>
    <row r="46" spans="2:7" s="112" customFormat="1" x14ac:dyDescent="0.25">
      <c r="B46" s="135" t="s">
        <v>238</v>
      </c>
      <c r="C46" s="388"/>
      <c r="D46" s="388"/>
      <c r="E46" s="388"/>
      <c r="F46" s="388"/>
      <c r="G46" s="122"/>
    </row>
    <row r="47" spans="2:7" s="112" customFormat="1" x14ac:dyDescent="0.25">
      <c r="B47" s="127"/>
      <c r="C47" s="388"/>
      <c r="D47" s="388"/>
      <c r="E47" s="388"/>
      <c r="F47" s="388"/>
      <c r="G47" s="123"/>
    </row>
    <row r="48" spans="2:7" s="112" customFormat="1" x14ac:dyDescent="0.25"/>
    <row r="49" spans="2:7" s="112" customFormat="1" x14ac:dyDescent="0.25">
      <c r="B49" s="379" t="s">
        <v>106</v>
      </c>
      <c r="C49" s="380"/>
      <c r="D49" s="380"/>
      <c r="E49" s="380"/>
      <c r="F49" s="381"/>
      <c r="G49" s="121"/>
    </row>
    <row r="50" spans="2:7" s="112" customFormat="1" ht="51" customHeight="1" x14ac:dyDescent="0.25">
      <c r="B50" s="392" t="s">
        <v>411</v>
      </c>
      <c r="C50" s="383"/>
      <c r="D50" s="383"/>
      <c r="E50" s="383"/>
      <c r="F50" s="384"/>
      <c r="G50" s="122"/>
    </row>
    <row r="51" spans="2:7" s="112" customFormat="1" x14ac:dyDescent="0.25"/>
    <row r="52" spans="2:7" s="112" customFormat="1" x14ac:dyDescent="0.25">
      <c r="B52" s="379" t="s">
        <v>240</v>
      </c>
      <c r="C52" s="380"/>
      <c r="D52" s="380"/>
      <c r="E52" s="380"/>
      <c r="F52" s="381"/>
      <c r="G52" s="121"/>
    </row>
    <row r="53" spans="2:7" s="112" customFormat="1" x14ac:dyDescent="0.25">
      <c r="B53" s="128" t="s">
        <v>241</v>
      </c>
      <c r="C53" s="128" t="s">
        <v>242</v>
      </c>
      <c r="D53" s="379" t="s">
        <v>243</v>
      </c>
      <c r="E53" s="380"/>
      <c r="F53" s="381"/>
      <c r="G53" s="121"/>
    </row>
    <row r="54" spans="2:7" s="112" customFormat="1" x14ac:dyDescent="0.25">
      <c r="B54" s="127" t="s">
        <v>412</v>
      </c>
      <c r="C54" s="127" t="s">
        <v>281</v>
      </c>
      <c r="D54" s="443" t="s">
        <v>36</v>
      </c>
      <c r="E54" s="465"/>
      <c r="F54" s="466"/>
      <c r="G54" s="138"/>
    </row>
    <row r="55" spans="2:7" s="112" customFormat="1" x14ac:dyDescent="0.25">
      <c r="B55" s="129"/>
      <c r="C55" s="129"/>
      <c r="D55" s="405"/>
      <c r="E55" s="406"/>
      <c r="F55" s="407"/>
      <c r="G55" s="130"/>
    </row>
    <row r="56" spans="2:7" s="112" customFormat="1" x14ac:dyDescent="0.25">
      <c r="B56" s="131"/>
      <c r="C56" s="131"/>
      <c r="D56" s="405"/>
      <c r="E56" s="406"/>
      <c r="F56" s="407"/>
      <c r="G56" s="130"/>
    </row>
    <row r="57" spans="2:7" s="112" customFormat="1" x14ac:dyDescent="0.25"/>
    <row r="58" spans="2:7" s="112" customFormat="1" x14ac:dyDescent="0.25">
      <c r="B58" s="379" t="s">
        <v>107</v>
      </c>
      <c r="C58" s="380"/>
      <c r="D58" s="380"/>
      <c r="E58" s="380"/>
      <c r="F58" s="381"/>
      <c r="G58" s="121"/>
    </row>
    <row r="59" spans="2:7" s="112" customFormat="1" ht="68.45" customHeight="1" x14ac:dyDescent="0.25">
      <c r="B59" s="382" t="s">
        <v>435</v>
      </c>
      <c r="C59" s="383"/>
      <c r="D59" s="383"/>
      <c r="E59" s="383"/>
      <c r="F59" s="384"/>
      <c r="G59" s="122"/>
    </row>
    <row r="60" spans="2:7" s="112" customFormat="1" x14ac:dyDescent="0.25"/>
    <row r="1048545" spans="8:9" x14ac:dyDescent="0.25">
      <c r="H1048545" s="121"/>
      <c r="I1048545" s="121"/>
    </row>
  </sheetData>
  <mergeCells count="45">
    <mergeCell ref="C10:F10"/>
    <mergeCell ref="B2:I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B40:F40"/>
    <mergeCell ref="B28:F28"/>
    <mergeCell ref="B29:F29"/>
    <mergeCell ref="B30:F30"/>
    <mergeCell ref="B31:F31"/>
    <mergeCell ref="B32:F32"/>
    <mergeCell ref="B33:F33"/>
    <mergeCell ref="B34:F34"/>
    <mergeCell ref="B35:F35"/>
    <mergeCell ref="B36:F36"/>
    <mergeCell ref="B37:F37"/>
    <mergeCell ref="B39:F39"/>
    <mergeCell ref="D56:F56"/>
    <mergeCell ref="B58:F58"/>
    <mergeCell ref="B59:F59"/>
    <mergeCell ref="D55:F55"/>
    <mergeCell ref="B42:F42"/>
    <mergeCell ref="C43:F43"/>
    <mergeCell ref="C44:F44"/>
    <mergeCell ref="C45:F45"/>
    <mergeCell ref="C46:F46"/>
    <mergeCell ref="C47:F47"/>
    <mergeCell ref="B49:F49"/>
    <mergeCell ref="B50:F50"/>
    <mergeCell ref="B52:F52"/>
    <mergeCell ref="D53:F53"/>
    <mergeCell ref="D54:F54"/>
  </mergeCells>
  <dataValidations count="2">
    <dataValidation type="list" allowBlank="1" showInputMessage="1" showErrorMessage="1" sqref="C54:C56">
      <formula1>"Académique, Professionnel, Associatif, Autre"</formula1>
    </dataValidation>
    <dataValidation type="list" allowBlank="1" showInputMessage="1" showErrorMessage="1" sqref="C6">
      <formula1>"Mise à jour à partir du plan d'études, Nouvelle création"</formula1>
    </dataValidation>
  </dataValidations>
  <hyperlinks>
    <hyperlink ref="B3" location="'Schéma d''enseignement'!G40"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rgb="FFFF8080"/>
  </sheetPr>
  <dimension ref="A1:J57"/>
  <sheetViews>
    <sheetView zoomScaleNormal="100" zoomScaleSheetLayoutView="85" zoomScalePageLayoutView="85"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21.85546875" style="108" customWidth="1"/>
    <col min="7" max="7" width="8.140625" style="108" customWidth="1"/>
    <col min="8" max="8" width="20.140625" style="108" customWidth="1"/>
    <col min="9" max="9" width="119.85546875" style="108" customWidth="1"/>
    <col min="10" max="10" width="8.85546875" style="108"/>
    <col min="11" max="11" width="128.140625" style="108" customWidth="1"/>
    <col min="12" max="256" width="8.85546875" style="108"/>
    <col min="257" max="257" width="1.140625" style="108" customWidth="1"/>
    <col min="258" max="258" width="29.42578125" style="108" customWidth="1"/>
    <col min="259" max="259" width="15.5703125" style="108" customWidth="1"/>
    <col min="260" max="260" width="11.85546875" style="108" customWidth="1"/>
    <col min="261" max="261" width="7" style="108" customWidth="1"/>
    <col min="262" max="262" width="21.85546875" style="108" customWidth="1"/>
    <col min="263" max="263" width="8.140625" style="108" customWidth="1"/>
    <col min="264" max="264" width="20.140625" style="108" customWidth="1"/>
    <col min="265" max="265" width="119.85546875" style="108" customWidth="1"/>
    <col min="266" max="266" width="8.85546875" style="108"/>
    <col min="267" max="267" width="128.140625" style="108" customWidth="1"/>
    <col min="268" max="512" width="8.85546875" style="108"/>
    <col min="513" max="513" width="1.140625" style="108" customWidth="1"/>
    <col min="514" max="514" width="29.42578125" style="108" customWidth="1"/>
    <col min="515" max="515" width="15.5703125" style="108" customWidth="1"/>
    <col min="516" max="516" width="11.85546875" style="108" customWidth="1"/>
    <col min="517" max="517" width="7" style="108" customWidth="1"/>
    <col min="518" max="518" width="21.85546875" style="108" customWidth="1"/>
    <col min="519" max="519" width="8.140625" style="108" customWidth="1"/>
    <col min="520" max="520" width="20.140625" style="108" customWidth="1"/>
    <col min="521" max="521" width="119.85546875" style="108" customWidth="1"/>
    <col min="522" max="522" width="8.85546875" style="108"/>
    <col min="523" max="523" width="128.140625" style="108" customWidth="1"/>
    <col min="524" max="768" width="8.85546875" style="108"/>
    <col min="769" max="769" width="1.140625" style="108" customWidth="1"/>
    <col min="770" max="770" width="29.42578125" style="108" customWidth="1"/>
    <col min="771" max="771" width="15.5703125" style="108" customWidth="1"/>
    <col min="772" max="772" width="11.85546875" style="108" customWidth="1"/>
    <col min="773" max="773" width="7" style="108" customWidth="1"/>
    <col min="774" max="774" width="21.85546875" style="108" customWidth="1"/>
    <col min="775" max="775" width="8.140625" style="108" customWidth="1"/>
    <col min="776" max="776" width="20.140625" style="108" customWidth="1"/>
    <col min="777" max="777" width="119.85546875" style="108" customWidth="1"/>
    <col min="778" max="778" width="8.85546875" style="108"/>
    <col min="779" max="779" width="128.140625" style="108" customWidth="1"/>
    <col min="780" max="1024" width="8.85546875" style="108"/>
    <col min="1025" max="1025" width="1.140625" style="108" customWidth="1"/>
    <col min="1026" max="1026" width="29.42578125" style="108" customWidth="1"/>
    <col min="1027" max="1027" width="15.5703125" style="108" customWidth="1"/>
    <col min="1028" max="1028" width="11.85546875" style="108" customWidth="1"/>
    <col min="1029" max="1029" width="7" style="108" customWidth="1"/>
    <col min="1030" max="1030" width="21.85546875" style="108" customWidth="1"/>
    <col min="1031" max="1031" width="8.140625" style="108" customWidth="1"/>
    <col min="1032" max="1032" width="20.140625" style="108" customWidth="1"/>
    <col min="1033" max="1033" width="119.85546875" style="108" customWidth="1"/>
    <col min="1034" max="1034" width="8.85546875" style="108"/>
    <col min="1035" max="1035" width="128.140625" style="108" customWidth="1"/>
    <col min="1036" max="1280" width="8.85546875" style="108"/>
    <col min="1281" max="1281" width="1.140625" style="108" customWidth="1"/>
    <col min="1282" max="1282" width="29.42578125" style="108" customWidth="1"/>
    <col min="1283" max="1283" width="15.5703125" style="108" customWidth="1"/>
    <col min="1284" max="1284" width="11.85546875" style="108" customWidth="1"/>
    <col min="1285" max="1285" width="7" style="108" customWidth="1"/>
    <col min="1286" max="1286" width="21.85546875" style="108" customWidth="1"/>
    <col min="1287" max="1287" width="8.140625" style="108" customWidth="1"/>
    <col min="1288" max="1288" width="20.140625" style="108" customWidth="1"/>
    <col min="1289" max="1289" width="119.85546875" style="108" customWidth="1"/>
    <col min="1290" max="1290" width="8.85546875" style="108"/>
    <col min="1291" max="1291" width="128.140625" style="108" customWidth="1"/>
    <col min="1292" max="1536" width="8.85546875" style="108"/>
    <col min="1537" max="1537" width="1.140625" style="108" customWidth="1"/>
    <col min="1538" max="1538" width="29.42578125" style="108" customWidth="1"/>
    <col min="1539" max="1539" width="15.5703125" style="108" customWidth="1"/>
    <col min="1540" max="1540" width="11.85546875" style="108" customWidth="1"/>
    <col min="1541" max="1541" width="7" style="108" customWidth="1"/>
    <col min="1542" max="1542" width="21.85546875" style="108" customWidth="1"/>
    <col min="1543" max="1543" width="8.140625" style="108" customWidth="1"/>
    <col min="1544" max="1544" width="20.140625" style="108" customWidth="1"/>
    <col min="1545" max="1545" width="119.85546875" style="108" customWidth="1"/>
    <col min="1546" max="1546" width="8.85546875" style="108"/>
    <col min="1547" max="1547" width="128.140625" style="108" customWidth="1"/>
    <col min="1548" max="1792" width="8.85546875" style="108"/>
    <col min="1793" max="1793" width="1.140625" style="108" customWidth="1"/>
    <col min="1794" max="1794" width="29.42578125" style="108" customWidth="1"/>
    <col min="1795" max="1795" width="15.5703125" style="108" customWidth="1"/>
    <col min="1796" max="1796" width="11.85546875" style="108" customWidth="1"/>
    <col min="1797" max="1797" width="7" style="108" customWidth="1"/>
    <col min="1798" max="1798" width="21.85546875" style="108" customWidth="1"/>
    <col min="1799" max="1799" width="8.140625" style="108" customWidth="1"/>
    <col min="1800" max="1800" width="20.140625" style="108" customWidth="1"/>
    <col min="1801" max="1801" width="119.85546875" style="108" customWidth="1"/>
    <col min="1802" max="1802" width="8.85546875" style="108"/>
    <col min="1803" max="1803" width="128.140625" style="108" customWidth="1"/>
    <col min="1804" max="2048" width="8.85546875" style="108"/>
    <col min="2049" max="2049" width="1.140625" style="108" customWidth="1"/>
    <col min="2050" max="2050" width="29.42578125" style="108" customWidth="1"/>
    <col min="2051" max="2051" width="15.5703125" style="108" customWidth="1"/>
    <col min="2052" max="2052" width="11.85546875" style="108" customWidth="1"/>
    <col min="2053" max="2053" width="7" style="108" customWidth="1"/>
    <col min="2054" max="2054" width="21.85546875" style="108" customWidth="1"/>
    <col min="2055" max="2055" width="8.140625" style="108" customWidth="1"/>
    <col min="2056" max="2056" width="20.140625" style="108" customWidth="1"/>
    <col min="2057" max="2057" width="119.85546875" style="108" customWidth="1"/>
    <col min="2058" max="2058" width="8.85546875" style="108"/>
    <col min="2059" max="2059" width="128.140625" style="108" customWidth="1"/>
    <col min="2060" max="2304" width="8.85546875" style="108"/>
    <col min="2305" max="2305" width="1.140625" style="108" customWidth="1"/>
    <col min="2306" max="2306" width="29.42578125" style="108" customWidth="1"/>
    <col min="2307" max="2307" width="15.5703125" style="108" customWidth="1"/>
    <col min="2308" max="2308" width="11.85546875" style="108" customWidth="1"/>
    <col min="2309" max="2309" width="7" style="108" customWidth="1"/>
    <col min="2310" max="2310" width="21.85546875" style="108" customWidth="1"/>
    <col min="2311" max="2311" width="8.140625" style="108" customWidth="1"/>
    <col min="2312" max="2312" width="20.140625" style="108" customWidth="1"/>
    <col min="2313" max="2313" width="119.85546875" style="108" customWidth="1"/>
    <col min="2314" max="2314" width="8.85546875" style="108"/>
    <col min="2315" max="2315" width="128.140625" style="108" customWidth="1"/>
    <col min="2316" max="2560" width="8.85546875" style="108"/>
    <col min="2561" max="2561" width="1.140625" style="108" customWidth="1"/>
    <col min="2562" max="2562" width="29.42578125" style="108" customWidth="1"/>
    <col min="2563" max="2563" width="15.5703125" style="108" customWidth="1"/>
    <col min="2564" max="2564" width="11.85546875" style="108" customWidth="1"/>
    <col min="2565" max="2565" width="7" style="108" customWidth="1"/>
    <col min="2566" max="2566" width="21.85546875" style="108" customWidth="1"/>
    <col min="2567" max="2567" width="8.140625" style="108" customWidth="1"/>
    <col min="2568" max="2568" width="20.140625" style="108" customWidth="1"/>
    <col min="2569" max="2569" width="119.85546875" style="108" customWidth="1"/>
    <col min="2570" max="2570" width="8.85546875" style="108"/>
    <col min="2571" max="2571" width="128.140625" style="108" customWidth="1"/>
    <col min="2572" max="2816" width="8.85546875" style="108"/>
    <col min="2817" max="2817" width="1.140625" style="108" customWidth="1"/>
    <col min="2818" max="2818" width="29.42578125" style="108" customWidth="1"/>
    <col min="2819" max="2819" width="15.5703125" style="108" customWidth="1"/>
    <col min="2820" max="2820" width="11.85546875" style="108" customWidth="1"/>
    <col min="2821" max="2821" width="7" style="108" customWidth="1"/>
    <col min="2822" max="2822" width="21.85546875" style="108" customWidth="1"/>
    <col min="2823" max="2823" width="8.140625" style="108" customWidth="1"/>
    <col min="2824" max="2824" width="20.140625" style="108" customWidth="1"/>
    <col min="2825" max="2825" width="119.85546875" style="108" customWidth="1"/>
    <col min="2826" max="2826" width="8.85546875" style="108"/>
    <col min="2827" max="2827" width="128.140625" style="108" customWidth="1"/>
    <col min="2828" max="3072" width="8.85546875" style="108"/>
    <col min="3073" max="3073" width="1.140625" style="108" customWidth="1"/>
    <col min="3074" max="3074" width="29.42578125" style="108" customWidth="1"/>
    <col min="3075" max="3075" width="15.5703125" style="108" customWidth="1"/>
    <col min="3076" max="3076" width="11.85546875" style="108" customWidth="1"/>
    <col min="3077" max="3077" width="7" style="108" customWidth="1"/>
    <col min="3078" max="3078" width="21.85546875" style="108" customWidth="1"/>
    <col min="3079" max="3079" width="8.140625" style="108" customWidth="1"/>
    <col min="3080" max="3080" width="20.140625" style="108" customWidth="1"/>
    <col min="3081" max="3081" width="119.85546875" style="108" customWidth="1"/>
    <col min="3082" max="3082" width="8.85546875" style="108"/>
    <col min="3083" max="3083" width="128.140625" style="108" customWidth="1"/>
    <col min="3084" max="3328" width="8.85546875" style="108"/>
    <col min="3329" max="3329" width="1.140625" style="108" customWidth="1"/>
    <col min="3330" max="3330" width="29.42578125" style="108" customWidth="1"/>
    <col min="3331" max="3331" width="15.5703125" style="108" customWidth="1"/>
    <col min="3332" max="3332" width="11.85546875" style="108" customWidth="1"/>
    <col min="3333" max="3333" width="7" style="108" customWidth="1"/>
    <col min="3334" max="3334" width="21.85546875" style="108" customWidth="1"/>
    <col min="3335" max="3335" width="8.140625" style="108" customWidth="1"/>
    <col min="3336" max="3336" width="20.140625" style="108" customWidth="1"/>
    <col min="3337" max="3337" width="119.85546875" style="108" customWidth="1"/>
    <col min="3338" max="3338" width="8.85546875" style="108"/>
    <col min="3339" max="3339" width="128.140625" style="108" customWidth="1"/>
    <col min="3340" max="3584" width="8.85546875" style="108"/>
    <col min="3585" max="3585" width="1.140625" style="108" customWidth="1"/>
    <col min="3586" max="3586" width="29.42578125" style="108" customWidth="1"/>
    <col min="3587" max="3587" width="15.5703125" style="108" customWidth="1"/>
    <col min="3588" max="3588" width="11.85546875" style="108" customWidth="1"/>
    <col min="3589" max="3589" width="7" style="108" customWidth="1"/>
    <col min="3590" max="3590" width="21.85546875" style="108" customWidth="1"/>
    <col min="3591" max="3591" width="8.140625" style="108" customWidth="1"/>
    <col min="3592" max="3592" width="20.140625" style="108" customWidth="1"/>
    <col min="3593" max="3593" width="119.85546875" style="108" customWidth="1"/>
    <col min="3594" max="3594" width="8.85546875" style="108"/>
    <col min="3595" max="3595" width="128.140625" style="108" customWidth="1"/>
    <col min="3596" max="3840" width="8.85546875" style="108"/>
    <col min="3841" max="3841" width="1.140625" style="108" customWidth="1"/>
    <col min="3842" max="3842" width="29.42578125" style="108" customWidth="1"/>
    <col min="3843" max="3843" width="15.5703125" style="108" customWidth="1"/>
    <col min="3844" max="3844" width="11.85546875" style="108" customWidth="1"/>
    <col min="3845" max="3845" width="7" style="108" customWidth="1"/>
    <col min="3846" max="3846" width="21.85546875" style="108" customWidth="1"/>
    <col min="3847" max="3847" width="8.140625" style="108" customWidth="1"/>
    <col min="3848" max="3848" width="20.140625" style="108" customWidth="1"/>
    <col min="3849" max="3849" width="119.85546875" style="108" customWidth="1"/>
    <col min="3850" max="3850" width="8.85546875" style="108"/>
    <col min="3851" max="3851" width="128.140625" style="108" customWidth="1"/>
    <col min="3852" max="4096" width="8.85546875" style="108"/>
    <col min="4097" max="4097" width="1.140625" style="108" customWidth="1"/>
    <col min="4098" max="4098" width="29.42578125" style="108" customWidth="1"/>
    <col min="4099" max="4099" width="15.5703125" style="108" customWidth="1"/>
    <col min="4100" max="4100" width="11.85546875" style="108" customWidth="1"/>
    <col min="4101" max="4101" width="7" style="108" customWidth="1"/>
    <col min="4102" max="4102" width="21.85546875" style="108" customWidth="1"/>
    <col min="4103" max="4103" width="8.140625" style="108" customWidth="1"/>
    <col min="4104" max="4104" width="20.140625" style="108" customWidth="1"/>
    <col min="4105" max="4105" width="119.85546875" style="108" customWidth="1"/>
    <col min="4106" max="4106" width="8.85546875" style="108"/>
    <col min="4107" max="4107" width="128.140625" style="108" customWidth="1"/>
    <col min="4108" max="4352" width="8.85546875" style="108"/>
    <col min="4353" max="4353" width="1.140625" style="108" customWidth="1"/>
    <col min="4354" max="4354" width="29.42578125" style="108" customWidth="1"/>
    <col min="4355" max="4355" width="15.5703125" style="108" customWidth="1"/>
    <col min="4356" max="4356" width="11.85546875" style="108" customWidth="1"/>
    <col min="4357" max="4357" width="7" style="108" customWidth="1"/>
    <col min="4358" max="4358" width="21.85546875" style="108" customWidth="1"/>
    <col min="4359" max="4359" width="8.140625" style="108" customWidth="1"/>
    <col min="4360" max="4360" width="20.140625" style="108" customWidth="1"/>
    <col min="4361" max="4361" width="119.85546875" style="108" customWidth="1"/>
    <col min="4362" max="4362" width="8.85546875" style="108"/>
    <col min="4363" max="4363" width="128.140625" style="108" customWidth="1"/>
    <col min="4364" max="4608" width="8.85546875" style="108"/>
    <col min="4609" max="4609" width="1.140625" style="108" customWidth="1"/>
    <col min="4610" max="4610" width="29.42578125" style="108" customWidth="1"/>
    <col min="4611" max="4611" width="15.5703125" style="108" customWidth="1"/>
    <col min="4612" max="4612" width="11.85546875" style="108" customWidth="1"/>
    <col min="4613" max="4613" width="7" style="108" customWidth="1"/>
    <col min="4614" max="4614" width="21.85546875" style="108" customWidth="1"/>
    <col min="4615" max="4615" width="8.140625" style="108" customWidth="1"/>
    <col min="4616" max="4616" width="20.140625" style="108" customWidth="1"/>
    <col min="4617" max="4617" width="119.85546875" style="108" customWidth="1"/>
    <col min="4618" max="4618" width="8.85546875" style="108"/>
    <col min="4619" max="4619" width="128.140625" style="108" customWidth="1"/>
    <col min="4620" max="4864" width="8.85546875" style="108"/>
    <col min="4865" max="4865" width="1.140625" style="108" customWidth="1"/>
    <col min="4866" max="4866" width="29.42578125" style="108" customWidth="1"/>
    <col min="4867" max="4867" width="15.5703125" style="108" customWidth="1"/>
    <col min="4868" max="4868" width="11.85546875" style="108" customWidth="1"/>
    <col min="4869" max="4869" width="7" style="108" customWidth="1"/>
    <col min="4870" max="4870" width="21.85546875" style="108" customWidth="1"/>
    <col min="4871" max="4871" width="8.140625" style="108" customWidth="1"/>
    <col min="4872" max="4872" width="20.140625" style="108" customWidth="1"/>
    <col min="4873" max="4873" width="119.85546875" style="108" customWidth="1"/>
    <col min="4874" max="4874" width="8.85546875" style="108"/>
    <col min="4875" max="4875" width="128.140625" style="108" customWidth="1"/>
    <col min="4876" max="5120" width="8.85546875" style="108"/>
    <col min="5121" max="5121" width="1.140625" style="108" customWidth="1"/>
    <col min="5122" max="5122" width="29.42578125" style="108" customWidth="1"/>
    <col min="5123" max="5123" width="15.5703125" style="108" customWidth="1"/>
    <col min="5124" max="5124" width="11.85546875" style="108" customWidth="1"/>
    <col min="5125" max="5125" width="7" style="108" customWidth="1"/>
    <col min="5126" max="5126" width="21.85546875" style="108" customWidth="1"/>
    <col min="5127" max="5127" width="8.140625" style="108" customWidth="1"/>
    <col min="5128" max="5128" width="20.140625" style="108" customWidth="1"/>
    <col min="5129" max="5129" width="119.85546875" style="108" customWidth="1"/>
    <col min="5130" max="5130" width="8.85546875" style="108"/>
    <col min="5131" max="5131" width="128.140625" style="108" customWidth="1"/>
    <col min="5132" max="5376" width="8.85546875" style="108"/>
    <col min="5377" max="5377" width="1.140625" style="108" customWidth="1"/>
    <col min="5378" max="5378" width="29.42578125" style="108" customWidth="1"/>
    <col min="5379" max="5379" width="15.5703125" style="108" customWidth="1"/>
    <col min="5380" max="5380" width="11.85546875" style="108" customWidth="1"/>
    <col min="5381" max="5381" width="7" style="108" customWidth="1"/>
    <col min="5382" max="5382" width="21.85546875" style="108" customWidth="1"/>
    <col min="5383" max="5383" width="8.140625" style="108" customWidth="1"/>
    <col min="5384" max="5384" width="20.140625" style="108" customWidth="1"/>
    <col min="5385" max="5385" width="119.85546875" style="108" customWidth="1"/>
    <col min="5386" max="5386" width="8.85546875" style="108"/>
    <col min="5387" max="5387" width="128.140625" style="108" customWidth="1"/>
    <col min="5388" max="5632" width="8.85546875" style="108"/>
    <col min="5633" max="5633" width="1.140625" style="108" customWidth="1"/>
    <col min="5634" max="5634" width="29.42578125" style="108" customWidth="1"/>
    <col min="5635" max="5635" width="15.5703125" style="108" customWidth="1"/>
    <col min="5636" max="5636" width="11.85546875" style="108" customWidth="1"/>
    <col min="5637" max="5637" width="7" style="108" customWidth="1"/>
    <col min="5638" max="5638" width="21.85546875" style="108" customWidth="1"/>
    <col min="5639" max="5639" width="8.140625" style="108" customWidth="1"/>
    <col min="5640" max="5640" width="20.140625" style="108" customWidth="1"/>
    <col min="5641" max="5641" width="119.85546875" style="108" customWidth="1"/>
    <col min="5642" max="5642" width="8.85546875" style="108"/>
    <col min="5643" max="5643" width="128.140625" style="108" customWidth="1"/>
    <col min="5644" max="5888" width="8.85546875" style="108"/>
    <col min="5889" max="5889" width="1.140625" style="108" customWidth="1"/>
    <col min="5890" max="5890" width="29.42578125" style="108" customWidth="1"/>
    <col min="5891" max="5891" width="15.5703125" style="108" customWidth="1"/>
    <col min="5892" max="5892" width="11.85546875" style="108" customWidth="1"/>
    <col min="5893" max="5893" width="7" style="108" customWidth="1"/>
    <col min="5894" max="5894" width="21.85546875" style="108" customWidth="1"/>
    <col min="5895" max="5895" width="8.140625" style="108" customWidth="1"/>
    <col min="5896" max="5896" width="20.140625" style="108" customWidth="1"/>
    <col min="5897" max="5897" width="119.85546875" style="108" customWidth="1"/>
    <col min="5898" max="5898" width="8.85546875" style="108"/>
    <col min="5899" max="5899" width="128.140625" style="108" customWidth="1"/>
    <col min="5900" max="6144" width="8.85546875" style="108"/>
    <col min="6145" max="6145" width="1.140625" style="108" customWidth="1"/>
    <col min="6146" max="6146" width="29.42578125" style="108" customWidth="1"/>
    <col min="6147" max="6147" width="15.5703125" style="108" customWidth="1"/>
    <col min="6148" max="6148" width="11.85546875" style="108" customWidth="1"/>
    <col min="6149" max="6149" width="7" style="108" customWidth="1"/>
    <col min="6150" max="6150" width="21.85546875" style="108" customWidth="1"/>
    <col min="6151" max="6151" width="8.140625" style="108" customWidth="1"/>
    <col min="6152" max="6152" width="20.140625" style="108" customWidth="1"/>
    <col min="6153" max="6153" width="119.85546875" style="108" customWidth="1"/>
    <col min="6154" max="6154" width="8.85546875" style="108"/>
    <col min="6155" max="6155" width="128.140625" style="108" customWidth="1"/>
    <col min="6156" max="6400" width="8.85546875" style="108"/>
    <col min="6401" max="6401" width="1.140625" style="108" customWidth="1"/>
    <col min="6402" max="6402" width="29.42578125" style="108" customWidth="1"/>
    <col min="6403" max="6403" width="15.5703125" style="108" customWidth="1"/>
    <col min="6404" max="6404" width="11.85546875" style="108" customWidth="1"/>
    <col min="6405" max="6405" width="7" style="108" customWidth="1"/>
    <col min="6406" max="6406" width="21.85546875" style="108" customWidth="1"/>
    <col min="6407" max="6407" width="8.140625" style="108" customWidth="1"/>
    <col min="6408" max="6408" width="20.140625" style="108" customWidth="1"/>
    <col min="6409" max="6409" width="119.85546875" style="108" customWidth="1"/>
    <col min="6410" max="6410" width="8.85546875" style="108"/>
    <col min="6411" max="6411" width="128.140625" style="108" customWidth="1"/>
    <col min="6412" max="6656" width="8.85546875" style="108"/>
    <col min="6657" max="6657" width="1.140625" style="108" customWidth="1"/>
    <col min="6658" max="6658" width="29.42578125" style="108" customWidth="1"/>
    <col min="6659" max="6659" width="15.5703125" style="108" customWidth="1"/>
    <col min="6660" max="6660" width="11.85546875" style="108" customWidth="1"/>
    <col min="6661" max="6661" width="7" style="108" customWidth="1"/>
    <col min="6662" max="6662" width="21.85546875" style="108" customWidth="1"/>
    <col min="6663" max="6663" width="8.140625" style="108" customWidth="1"/>
    <col min="6664" max="6664" width="20.140625" style="108" customWidth="1"/>
    <col min="6665" max="6665" width="119.85546875" style="108" customWidth="1"/>
    <col min="6666" max="6666" width="8.85546875" style="108"/>
    <col min="6667" max="6667" width="128.140625" style="108" customWidth="1"/>
    <col min="6668" max="6912" width="8.85546875" style="108"/>
    <col min="6913" max="6913" width="1.140625" style="108" customWidth="1"/>
    <col min="6914" max="6914" width="29.42578125" style="108" customWidth="1"/>
    <col min="6915" max="6915" width="15.5703125" style="108" customWidth="1"/>
    <col min="6916" max="6916" width="11.85546875" style="108" customWidth="1"/>
    <col min="6917" max="6917" width="7" style="108" customWidth="1"/>
    <col min="6918" max="6918" width="21.85546875" style="108" customWidth="1"/>
    <col min="6919" max="6919" width="8.140625" style="108" customWidth="1"/>
    <col min="6920" max="6920" width="20.140625" style="108" customWidth="1"/>
    <col min="6921" max="6921" width="119.85546875" style="108" customWidth="1"/>
    <col min="6922" max="6922" width="8.85546875" style="108"/>
    <col min="6923" max="6923" width="128.140625" style="108" customWidth="1"/>
    <col min="6924" max="7168" width="8.85546875" style="108"/>
    <col min="7169" max="7169" width="1.140625" style="108" customWidth="1"/>
    <col min="7170" max="7170" width="29.42578125" style="108" customWidth="1"/>
    <col min="7171" max="7171" width="15.5703125" style="108" customWidth="1"/>
    <col min="7172" max="7172" width="11.85546875" style="108" customWidth="1"/>
    <col min="7173" max="7173" width="7" style="108" customWidth="1"/>
    <col min="7174" max="7174" width="21.85546875" style="108" customWidth="1"/>
    <col min="7175" max="7175" width="8.140625" style="108" customWidth="1"/>
    <col min="7176" max="7176" width="20.140625" style="108" customWidth="1"/>
    <col min="7177" max="7177" width="119.85546875" style="108" customWidth="1"/>
    <col min="7178" max="7178" width="8.85546875" style="108"/>
    <col min="7179" max="7179" width="128.140625" style="108" customWidth="1"/>
    <col min="7180" max="7424" width="8.85546875" style="108"/>
    <col min="7425" max="7425" width="1.140625" style="108" customWidth="1"/>
    <col min="7426" max="7426" width="29.42578125" style="108" customWidth="1"/>
    <col min="7427" max="7427" width="15.5703125" style="108" customWidth="1"/>
    <col min="7428" max="7428" width="11.85546875" style="108" customWidth="1"/>
    <col min="7429" max="7429" width="7" style="108" customWidth="1"/>
    <col min="7430" max="7430" width="21.85546875" style="108" customWidth="1"/>
    <col min="7431" max="7431" width="8.140625" style="108" customWidth="1"/>
    <col min="7432" max="7432" width="20.140625" style="108" customWidth="1"/>
    <col min="7433" max="7433" width="119.85546875" style="108" customWidth="1"/>
    <col min="7434" max="7434" width="8.85546875" style="108"/>
    <col min="7435" max="7435" width="128.140625" style="108" customWidth="1"/>
    <col min="7436" max="7680" width="8.85546875" style="108"/>
    <col min="7681" max="7681" width="1.140625" style="108" customWidth="1"/>
    <col min="7682" max="7682" width="29.42578125" style="108" customWidth="1"/>
    <col min="7683" max="7683" width="15.5703125" style="108" customWidth="1"/>
    <col min="7684" max="7684" width="11.85546875" style="108" customWidth="1"/>
    <col min="7685" max="7685" width="7" style="108" customWidth="1"/>
    <col min="7686" max="7686" width="21.85546875" style="108" customWidth="1"/>
    <col min="7687" max="7687" width="8.140625" style="108" customWidth="1"/>
    <col min="7688" max="7688" width="20.140625" style="108" customWidth="1"/>
    <col min="7689" max="7689" width="119.85546875" style="108" customWidth="1"/>
    <col min="7690" max="7690" width="8.85546875" style="108"/>
    <col min="7691" max="7691" width="128.140625" style="108" customWidth="1"/>
    <col min="7692" max="7936" width="8.85546875" style="108"/>
    <col min="7937" max="7937" width="1.140625" style="108" customWidth="1"/>
    <col min="7938" max="7938" width="29.42578125" style="108" customWidth="1"/>
    <col min="7939" max="7939" width="15.5703125" style="108" customWidth="1"/>
    <col min="7940" max="7940" width="11.85546875" style="108" customWidth="1"/>
    <col min="7941" max="7941" width="7" style="108" customWidth="1"/>
    <col min="7942" max="7942" width="21.85546875" style="108" customWidth="1"/>
    <col min="7943" max="7943" width="8.140625" style="108" customWidth="1"/>
    <col min="7944" max="7944" width="20.140625" style="108" customWidth="1"/>
    <col min="7945" max="7945" width="119.85546875" style="108" customWidth="1"/>
    <col min="7946" max="7946" width="8.85546875" style="108"/>
    <col min="7947" max="7947" width="128.140625" style="108" customWidth="1"/>
    <col min="7948" max="8192" width="8.85546875" style="108"/>
    <col min="8193" max="8193" width="1.140625" style="108" customWidth="1"/>
    <col min="8194" max="8194" width="29.42578125" style="108" customWidth="1"/>
    <col min="8195" max="8195" width="15.5703125" style="108" customWidth="1"/>
    <col min="8196" max="8196" width="11.85546875" style="108" customWidth="1"/>
    <col min="8197" max="8197" width="7" style="108" customWidth="1"/>
    <col min="8198" max="8198" width="21.85546875" style="108" customWidth="1"/>
    <col min="8199" max="8199" width="8.140625" style="108" customWidth="1"/>
    <col min="8200" max="8200" width="20.140625" style="108" customWidth="1"/>
    <col min="8201" max="8201" width="119.85546875" style="108" customWidth="1"/>
    <col min="8202" max="8202" width="8.85546875" style="108"/>
    <col min="8203" max="8203" width="128.140625" style="108" customWidth="1"/>
    <col min="8204" max="8448" width="8.85546875" style="108"/>
    <col min="8449" max="8449" width="1.140625" style="108" customWidth="1"/>
    <col min="8450" max="8450" width="29.42578125" style="108" customWidth="1"/>
    <col min="8451" max="8451" width="15.5703125" style="108" customWidth="1"/>
    <col min="8452" max="8452" width="11.85546875" style="108" customWidth="1"/>
    <col min="8453" max="8453" width="7" style="108" customWidth="1"/>
    <col min="8454" max="8454" width="21.85546875" style="108" customWidth="1"/>
    <col min="8455" max="8455" width="8.140625" style="108" customWidth="1"/>
    <col min="8456" max="8456" width="20.140625" style="108" customWidth="1"/>
    <col min="8457" max="8457" width="119.85546875" style="108" customWidth="1"/>
    <col min="8458" max="8458" width="8.85546875" style="108"/>
    <col min="8459" max="8459" width="128.140625" style="108" customWidth="1"/>
    <col min="8460" max="8704" width="8.85546875" style="108"/>
    <col min="8705" max="8705" width="1.140625" style="108" customWidth="1"/>
    <col min="8706" max="8706" width="29.42578125" style="108" customWidth="1"/>
    <col min="8707" max="8707" width="15.5703125" style="108" customWidth="1"/>
    <col min="8708" max="8708" width="11.85546875" style="108" customWidth="1"/>
    <col min="8709" max="8709" width="7" style="108" customWidth="1"/>
    <col min="8710" max="8710" width="21.85546875" style="108" customWidth="1"/>
    <col min="8711" max="8711" width="8.140625" style="108" customWidth="1"/>
    <col min="8712" max="8712" width="20.140625" style="108" customWidth="1"/>
    <col min="8713" max="8713" width="119.85546875" style="108" customWidth="1"/>
    <col min="8714" max="8714" width="8.85546875" style="108"/>
    <col min="8715" max="8715" width="128.140625" style="108" customWidth="1"/>
    <col min="8716" max="8960" width="8.85546875" style="108"/>
    <col min="8961" max="8961" width="1.140625" style="108" customWidth="1"/>
    <col min="8962" max="8962" width="29.42578125" style="108" customWidth="1"/>
    <col min="8963" max="8963" width="15.5703125" style="108" customWidth="1"/>
    <col min="8964" max="8964" width="11.85546875" style="108" customWidth="1"/>
    <col min="8965" max="8965" width="7" style="108" customWidth="1"/>
    <col min="8966" max="8966" width="21.85546875" style="108" customWidth="1"/>
    <col min="8967" max="8967" width="8.140625" style="108" customWidth="1"/>
    <col min="8968" max="8968" width="20.140625" style="108" customWidth="1"/>
    <col min="8969" max="8969" width="119.85546875" style="108" customWidth="1"/>
    <col min="8970" max="8970" width="8.85546875" style="108"/>
    <col min="8971" max="8971" width="128.140625" style="108" customWidth="1"/>
    <col min="8972" max="9216" width="8.85546875" style="108"/>
    <col min="9217" max="9217" width="1.140625" style="108" customWidth="1"/>
    <col min="9218" max="9218" width="29.42578125" style="108" customWidth="1"/>
    <col min="9219" max="9219" width="15.5703125" style="108" customWidth="1"/>
    <col min="9220" max="9220" width="11.85546875" style="108" customWidth="1"/>
    <col min="9221" max="9221" width="7" style="108" customWidth="1"/>
    <col min="9222" max="9222" width="21.85546875" style="108" customWidth="1"/>
    <col min="9223" max="9223" width="8.140625" style="108" customWidth="1"/>
    <col min="9224" max="9224" width="20.140625" style="108" customWidth="1"/>
    <col min="9225" max="9225" width="119.85546875" style="108" customWidth="1"/>
    <col min="9226" max="9226" width="8.85546875" style="108"/>
    <col min="9227" max="9227" width="128.140625" style="108" customWidth="1"/>
    <col min="9228" max="9472" width="8.85546875" style="108"/>
    <col min="9473" max="9473" width="1.140625" style="108" customWidth="1"/>
    <col min="9474" max="9474" width="29.42578125" style="108" customWidth="1"/>
    <col min="9475" max="9475" width="15.5703125" style="108" customWidth="1"/>
    <col min="9476" max="9476" width="11.85546875" style="108" customWidth="1"/>
    <col min="9477" max="9477" width="7" style="108" customWidth="1"/>
    <col min="9478" max="9478" width="21.85546875" style="108" customWidth="1"/>
    <col min="9479" max="9479" width="8.140625" style="108" customWidth="1"/>
    <col min="9480" max="9480" width="20.140625" style="108" customWidth="1"/>
    <col min="9481" max="9481" width="119.85546875" style="108" customWidth="1"/>
    <col min="9482" max="9482" width="8.85546875" style="108"/>
    <col min="9483" max="9483" width="128.140625" style="108" customWidth="1"/>
    <col min="9484" max="9728" width="8.85546875" style="108"/>
    <col min="9729" max="9729" width="1.140625" style="108" customWidth="1"/>
    <col min="9730" max="9730" width="29.42578125" style="108" customWidth="1"/>
    <col min="9731" max="9731" width="15.5703125" style="108" customWidth="1"/>
    <col min="9732" max="9732" width="11.85546875" style="108" customWidth="1"/>
    <col min="9733" max="9733" width="7" style="108" customWidth="1"/>
    <col min="9734" max="9734" width="21.85546875" style="108" customWidth="1"/>
    <col min="9735" max="9735" width="8.140625" style="108" customWidth="1"/>
    <col min="9736" max="9736" width="20.140625" style="108" customWidth="1"/>
    <col min="9737" max="9737" width="119.85546875" style="108" customWidth="1"/>
    <col min="9738" max="9738" width="8.85546875" style="108"/>
    <col min="9739" max="9739" width="128.140625" style="108" customWidth="1"/>
    <col min="9740" max="9984" width="8.85546875" style="108"/>
    <col min="9985" max="9985" width="1.140625" style="108" customWidth="1"/>
    <col min="9986" max="9986" width="29.42578125" style="108" customWidth="1"/>
    <col min="9987" max="9987" width="15.5703125" style="108" customWidth="1"/>
    <col min="9988" max="9988" width="11.85546875" style="108" customWidth="1"/>
    <col min="9989" max="9989" width="7" style="108" customWidth="1"/>
    <col min="9990" max="9990" width="21.85546875" style="108" customWidth="1"/>
    <col min="9991" max="9991" width="8.140625" style="108" customWidth="1"/>
    <col min="9992" max="9992" width="20.140625" style="108" customWidth="1"/>
    <col min="9993" max="9993" width="119.85546875" style="108" customWidth="1"/>
    <col min="9994" max="9994" width="8.85546875" style="108"/>
    <col min="9995" max="9995" width="128.140625" style="108" customWidth="1"/>
    <col min="9996" max="10240" width="8.85546875" style="108"/>
    <col min="10241" max="10241" width="1.140625" style="108" customWidth="1"/>
    <col min="10242" max="10242" width="29.42578125" style="108" customWidth="1"/>
    <col min="10243" max="10243" width="15.5703125" style="108" customWidth="1"/>
    <col min="10244" max="10244" width="11.85546875" style="108" customWidth="1"/>
    <col min="10245" max="10245" width="7" style="108" customWidth="1"/>
    <col min="10246" max="10246" width="21.85546875" style="108" customWidth="1"/>
    <col min="10247" max="10247" width="8.140625" style="108" customWidth="1"/>
    <col min="10248" max="10248" width="20.140625" style="108" customWidth="1"/>
    <col min="10249" max="10249" width="119.85546875" style="108" customWidth="1"/>
    <col min="10250" max="10250" width="8.85546875" style="108"/>
    <col min="10251" max="10251" width="128.140625" style="108" customWidth="1"/>
    <col min="10252" max="10496" width="8.85546875" style="108"/>
    <col min="10497" max="10497" width="1.140625" style="108" customWidth="1"/>
    <col min="10498" max="10498" width="29.42578125" style="108" customWidth="1"/>
    <col min="10499" max="10499" width="15.5703125" style="108" customWidth="1"/>
    <col min="10500" max="10500" width="11.85546875" style="108" customWidth="1"/>
    <col min="10501" max="10501" width="7" style="108" customWidth="1"/>
    <col min="10502" max="10502" width="21.85546875" style="108" customWidth="1"/>
    <col min="10503" max="10503" width="8.140625" style="108" customWidth="1"/>
    <col min="10504" max="10504" width="20.140625" style="108" customWidth="1"/>
    <col min="10505" max="10505" width="119.85546875" style="108" customWidth="1"/>
    <col min="10506" max="10506" width="8.85546875" style="108"/>
    <col min="10507" max="10507" width="128.140625" style="108" customWidth="1"/>
    <col min="10508" max="10752" width="8.85546875" style="108"/>
    <col min="10753" max="10753" width="1.140625" style="108" customWidth="1"/>
    <col min="10754" max="10754" width="29.42578125" style="108" customWidth="1"/>
    <col min="10755" max="10755" width="15.5703125" style="108" customWidth="1"/>
    <col min="10756" max="10756" width="11.85546875" style="108" customWidth="1"/>
    <col min="10757" max="10757" width="7" style="108" customWidth="1"/>
    <col min="10758" max="10758" width="21.85546875" style="108" customWidth="1"/>
    <col min="10759" max="10759" width="8.140625" style="108" customWidth="1"/>
    <col min="10760" max="10760" width="20.140625" style="108" customWidth="1"/>
    <col min="10761" max="10761" width="119.85546875" style="108" customWidth="1"/>
    <col min="10762" max="10762" width="8.85546875" style="108"/>
    <col min="10763" max="10763" width="128.140625" style="108" customWidth="1"/>
    <col min="10764" max="11008" width="8.85546875" style="108"/>
    <col min="11009" max="11009" width="1.140625" style="108" customWidth="1"/>
    <col min="11010" max="11010" width="29.42578125" style="108" customWidth="1"/>
    <col min="11011" max="11011" width="15.5703125" style="108" customWidth="1"/>
    <col min="11012" max="11012" width="11.85546875" style="108" customWidth="1"/>
    <col min="11013" max="11013" width="7" style="108" customWidth="1"/>
    <col min="11014" max="11014" width="21.85546875" style="108" customWidth="1"/>
    <col min="11015" max="11015" width="8.140625" style="108" customWidth="1"/>
    <col min="11016" max="11016" width="20.140625" style="108" customWidth="1"/>
    <col min="11017" max="11017" width="119.85546875" style="108" customWidth="1"/>
    <col min="11018" max="11018" width="8.85546875" style="108"/>
    <col min="11019" max="11019" width="128.140625" style="108" customWidth="1"/>
    <col min="11020" max="11264" width="8.85546875" style="108"/>
    <col min="11265" max="11265" width="1.140625" style="108" customWidth="1"/>
    <col min="11266" max="11266" width="29.42578125" style="108" customWidth="1"/>
    <col min="11267" max="11267" width="15.5703125" style="108" customWidth="1"/>
    <col min="11268" max="11268" width="11.85546875" style="108" customWidth="1"/>
    <col min="11269" max="11269" width="7" style="108" customWidth="1"/>
    <col min="11270" max="11270" width="21.85546875" style="108" customWidth="1"/>
    <col min="11271" max="11271" width="8.140625" style="108" customWidth="1"/>
    <col min="11272" max="11272" width="20.140625" style="108" customWidth="1"/>
    <col min="11273" max="11273" width="119.85546875" style="108" customWidth="1"/>
    <col min="11274" max="11274" width="8.85546875" style="108"/>
    <col min="11275" max="11275" width="128.140625" style="108" customWidth="1"/>
    <col min="11276" max="11520" width="8.85546875" style="108"/>
    <col min="11521" max="11521" width="1.140625" style="108" customWidth="1"/>
    <col min="11522" max="11522" width="29.42578125" style="108" customWidth="1"/>
    <col min="11523" max="11523" width="15.5703125" style="108" customWidth="1"/>
    <col min="11524" max="11524" width="11.85546875" style="108" customWidth="1"/>
    <col min="11525" max="11525" width="7" style="108" customWidth="1"/>
    <col min="11526" max="11526" width="21.85546875" style="108" customWidth="1"/>
    <col min="11527" max="11527" width="8.140625" style="108" customWidth="1"/>
    <col min="11528" max="11528" width="20.140625" style="108" customWidth="1"/>
    <col min="11529" max="11529" width="119.85546875" style="108" customWidth="1"/>
    <col min="11530" max="11530" width="8.85546875" style="108"/>
    <col min="11531" max="11531" width="128.140625" style="108" customWidth="1"/>
    <col min="11532" max="11776" width="8.85546875" style="108"/>
    <col min="11777" max="11777" width="1.140625" style="108" customWidth="1"/>
    <col min="11778" max="11778" width="29.42578125" style="108" customWidth="1"/>
    <col min="11779" max="11779" width="15.5703125" style="108" customWidth="1"/>
    <col min="11780" max="11780" width="11.85546875" style="108" customWidth="1"/>
    <col min="11781" max="11781" width="7" style="108" customWidth="1"/>
    <col min="11782" max="11782" width="21.85546875" style="108" customWidth="1"/>
    <col min="11783" max="11783" width="8.140625" style="108" customWidth="1"/>
    <col min="11784" max="11784" width="20.140625" style="108" customWidth="1"/>
    <col min="11785" max="11785" width="119.85546875" style="108" customWidth="1"/>
    <col min="11786" max="11786" width="8.85546875" style="108"/>
    <col min="11787" max="11787" width="128.140625" style="108" customWidth="1"/>
    <col min="11788" max="12032" width="8.85546875" style="108"/>
    <col min="12033" max="12033" width="1.140625" style="108" customWidth="1"/>
    <col min="12034" max="12034" width="29.42578125" style="108" customWidth="1"/>
    <col min="12035" max="12035" width="15.5703125" style="108" customWidth="1"/>
    <col min="12036" max="12036" width="11.85546875" style="108" customWidth="1"/>
    <col min="12037" max="12037" width="7" style="108" customWidth="1"/>
    <col min="12038" max="12038" width="21.85546875" style="108" customWidth="1"/>
    <col min="12039" max="12039" width="8.140625" style="108" customWidth="1"/>
    <col min="12040" max="12040" width="20.140625" style="108" customWidth="1"/>
    <col min="12041" max="12041" width="119.85546875" style="108" customWidth="1"/>
    <col min="12042" max="12042" width="8.85546875" style="108"/>
    <col min="12043" max="12043" width="128.140625" style="108" customWidth="1"/>
    <col min="12044" max="12288" width="8.85546875" style="108"/>
    <col min="12289" max="12289" width="1.140625" style="108" customWidth="1"/>
    <col min="12290" max="12290" width="29.42578125" style="108" customWidth="1"/>
    <col min="12291" max="12291" width="15.5703125" style="108" customWidth="1"/>
    <col min="12292" max="12292" width="11.85546875" style="108" customWidth="1"/>
    <col min="12293" max="12293" width="7" style="108" customWidth="1"/>
    <col min="12294" max="12294" width="21.85546875" style="108" customWidth="1"/>
    <col min="12295" max="12295" width="8.140625" style="108" customWidth="1"/>
    <col min="12296" max="12296" width="20.140625" style="108" customWidth="1"/>
    <col min="12297" max="12297" width="119.85546875" style="108" customWidth="1"/>
    <col min="12298" max="12298" width="8.85546875" style="108"/>
    <col min="12299" max="12299" width="128.140625" style="108" customWidth="1"/>
    <col min="12300" max="12544" width="8.85546875" style="108"/>
    <col min="12545" max="12545" width="1.140625" style="108" customWidth="1"/>
    <col min="12546" max="12546" width="29.42578125" style="108" customWidth="1"/>
    <col min="12547" max="12547" width="15.5703125" style="108" customWidth="1"/>
    <col min="12548" max="12548" width="11.85546875" style="108" customWidth="1"/>
    <col min="12549" max="12549" width="7" style="108" customWidth="1"/>
    <col min="12550" max="12550" width="21.85546875" style="108" customWidth="1"/>
    <col min="12551" max="12551" width="8.140625" style="108" customWidth="1"/>
    <col min="12552" max="12552" width="20.140625" style="108" customWidth="1"/>
    <col min="12553" max="12553" width="119.85546875" style="108" customWidth="1"/>
    <col min="12554" max="12554" width="8.85546875" style="108"/>
    <col min="12555" max="12555" width="128.140625" style="108" customWidth="1"/>
    <col min="12556" max="12800" width="8.85546875" style="108"/>
    <col min="12801" max="12801" width="1.140625" style="108" customWidth="1"/>
    <col min="12802" max="12802" width="29.42578125" style="108" customWidth="1"/>
    <col min="12803" max="12803" width="15.5703125" style="108" customWidth="1"/>
    <col min="12804" max="12804" width="11.85546875" style="108" customWidth="1"/>
    <col min="12805" max="12805" width="7" style="108" customWidth="1"/>
    <col min="12806" max="12806" width="21.85546875" style="108" customWidth="1"/>
    <col min="12807" max="12807" width="8.140625" style="108" customWidth="1"/>
    <col min="12808" max="12808" width="20.140625" style="108" customWidth="1"/>
    <col min="12809" max="12809" width="119.85546875" style="108" customWidth="1"/>
    <col min="12810" max="12810" width="8.85546875" style="108"/>
    <col min="12811" max="12811" width="128.140625" style="108" customWidth="1"/>
    <col min="12812" max="13056" width="8.85546875" style="108"/>
    <col min="13057" max="13057" width="1.140625" style="108" customWidth="1"/>
    <col min="13058" max="13058" width="29.42578125" style="108" customWidth="1"/>
    <col min="13059" max="13059" width="15.5703125" style="108" customWidth="1"/>
    <col min="13060" max="13060" width="11.85546875" style="108" customWidth="1"/>
    <col min="13061" max="13061" width="7" style="108" customWidth="1"/>
    <col min="13062" max="13062" width="21.85546875" style="108" customWidth="1"/>
    <col min="13063" max="13063" width="8.140625" style="108" customWidth="1"/>
    <col min="13064" max="13064" width="20.140625" style="108" customWidth="1"/>
    <col min="13065" max="13065" width="119.85546875" style="108" customWidth="1"/>
    <col min="13066" max="13066" width="8.85546875" style="108"/>
    <col min="13067" max="13067" width="128.140625" style="108" customWidth="1"/>
    <col min="13068" max="13312" width="8.85546875" style="108"/>
    <col min="13313" max="13313" width="1.140625" style="108" customWidth="1"/>
    <col min="13314" max="13314" width="29.42578125" style="108" customWidth="1"/>
    <col min="13315" max="13315" width="15.5703125" style="108" customWidth="1"/>
    <col min="13316" max="13316" width="11.85546875" style="108" customWidth="1"/>
    <col min="13317" max="13317" width="7" style="108" customWidth="1"/>
    <col min="13318" max="13318" width="21.85546875" style="108" customWidth="1"/>
    <col min="13319" max="13319" width="8.140625" style="108" customWidth="1"/>
    <col min="13320" max="13320" width="20.140625" style="108" customWidth="1"/>
    <col min="13321" max="13321" width="119.85546875" style="108" customWidth="1"/>
    <col min="13322" max="13322" width="8.85546875" style="108"/>
    <col min="13323" max="13323" width="128.140625" style="108" customWidth="1"/>
    <col min="13324" max="13568" width="8.85546875" style="108"/>
    <col min="13569" max="13569" width="1.140625" style="108" customWidth="1"/>
    <col min="13570" max="13570" width="29.42578125" style="108" customWidth="1"/>
    <col min="13571" max="13571" width="15.5703125" style="108" customWidth="1"/>
    <col min="13572" max="13572" width="11.85546875" style="108" customWidth="1"/>
    <col min="13573" max="13573" width="7" style="108" customWidth="1"/>
    <col min="13574" max="13574" width="21.85546875" style="108" customWidth="1"/>
    <col min="13575" max="13575" width="8.140625" style="108" customWidth="1"/>
    <col min="13576" max="13576" width="20.140625" style="108" customWidth="1"/>
    <col min="13577" max="13577" width="119.85546875" style="108" customWidth="1"/>
    <col min="13578" max="13578" width="8.85546875" style="108"/>
    <col min="13579" max="13579" width="128.140625" style="108" customWidth="1"/>
    <col min="13580" max="13824" width="8.85546875" style="108"/>
    <col min="13825" max="13825" width="1.140625" style="108" customWidth="1"/>
    <col min="13826" max="13826" width="29.42578125" style="108" customWidth="1"/>
    <col min="13827" max="13827" width="15.5703125" style="108" customWidth="1"/>
    <col min="13828" max="13828" width="11.85546875" style="108" customWidth="1"/>
    <col min="13829" max="13829" width="7" style="108" customWidth="1"/>
    <col min="13830" max="13830" width="21.85546875" style="108" customWidth="1"/>
    <col min="13831" max="13831" width="8.140625" style="108" customWidth="1"/>
    <col min="13832" max="13832" width="20.140625" style="108" customWidth="1"/>
    <col min="13833" max="13833" width="119.85546875" style="108" customWidth="1"/>
    <col min="13834" max="13834" width="8.85546875" style="108"/>
    <col min="13835" max="13835" width="128.140625" style="108" customWidth="1"/>
    <col min="13836" max="14080" width="8.85546875" style="108"/>
    <col min="14081" max="14081" width="1.140625" style="108" customWidth="1"/>
    <col min="14082" max="14082" width="29.42578125" style="108" customWidth="1"/>
    <col min="14083" max="14083" width="15.5703125" style="108" customWidth="1"/>
    <col min="14084" max="14084" width="11.85546875" style="108" customWidth="1"/>
    <col min="14085" max="14085" width="7" style="108" customWidth="1"/>
    <col min="14086" max="14086" width="21.85546875" style="108" customWidth="1"/>
    <col min="14087" max="14087" width="8.140625" style="108" customWidth="1"/>
    <col min="14088" max="14088" width="20.140625" style="108" customWidth="1"/>
    <col min="14089" max="14089" width="119.85546875" style="108" customWidth="1"/>
    <col min="14090" max="14090" width="8.85546875" style="108"/>
    <col min="14091" max="14091" width="128.140625" style="108" customWidth="1"/>
    <col min="14092" max="14336" width="8.85546875" style="108"/>
    <col min="14337" max="14337" width="1.140625" style="108" customWidth="1"/>
    <col min="14338" max="14338" width="29.42578125" style="108" customWidth="1"/>
    <col min="14339" max="14339" width="15.5703125" style="108" customWidth="1"/>
    <col min="14340" max="14340" width="11.85546875" style="108" customWidth="1"/>
    <col min="14341" max="14341" width="7" style="108" customWidth="1"/>
    <col min="14342" max="14342" width="21.85546875" style="108" customWidth="1"/>
    <col min="14343" max="14343" width="8.140625" style="108" customWidth="1"/>
    <col min="14344" max="14344" width="20.140625" style="108" customWidth="1"/>
    <col min="14345" max="14345" width="119.85546875" style="108" customWidth="1"/>
    <col min="14346" max="14346" width="8.85546875" style="108"/>
    <col min="14347" max="14347" width="128.140625" style="108" customWidth="1"/>
    <col min="14348" max="14592" width="8.85546875" style="108"/>
    <col min="14593" max="14593" width="1.140625" style="108" customWidth="1"/>
    <col min="14594" max="14594" width="29.42578125" style="108" customWidth="1"/>
    <col min="14595" max="14595" width="15.5703125" style="108" customWidth="1"/>
    <col min="14596" max="14596" width="11.85546875" style="108" customWidth="1"/>
    <col min="14597" max="14597" width="7" style="108" customWidth="1"/>
    <col min="14598" max="14598" width="21.85546875" style="108" customWidth="1"/>
    <col min="14599" max="14599" width="8.140625" style="108" customWidth="1"/>
    <col min="14600" max="14600" width="20.140625" style="108" customWidth="1"/>
    <col min="14601" max="14601" width="119.85546875" style="108" customWidth="1"/>
    <col min="14602" max="14602" width="8.85546875" style="108"/>
    <col min="14603" max="14603" width="128.140625" style="108" customWidth="1"/>
    <col min="14604" max="14848" width="8.85546875" style="108"/>
    <col min="14849" max="14849" width="1.140625" style="108" customWidth="1"/>
    <col min="14850" max="14850" width="29.42578125" style="108" customWidth="1"/>
    <col min="14851" max="14851" width="15.5703125" style="108" customWidth="1"/>
    <col min="14852" max="14852" width="11.85546875" style="108" customWidth="1"/>
    <col min="14853" max="14853" width="7" style="108" customWidth="1"/>
    <col min="14854" max="14854" width="21.85546875" style="108" customWidth="1"/>
    <col min="14855" max="14855" width="8.140625" style="108" customWidth="1"/>
    <col min="14856" max="14856" width="20.140625" style="108" customWidth="1"/>
    <col min="14857" max="14857" width="119.85546875" style="108" customWidth="1"/>
    <col min="14858" max="14858" width="8.85546875" style="108"/>
    <col min="14859" max="14859" width="128.140625" style="108" customWidth="1"/>
    <col min="14860" max="15104" width="8.85546875" style="108"/>
    <col min="15105" max="15105" width="1.140625" style="108" customWidth="1"/>
    <col min="15106" max="15106" width="29.42578125" style="108" customWidth="1"/>
    <col min="15107" max="15107" width="15.5703125" style="108" customWidth="1"/>
    <col min="15108" max="15108" width="11.85546875" style="108" customWidth="1"/>
    <col min="15109" max="15109" width="7" style="108" customWidth="1"/>
    <col min="15110" max="15110" width="21.85546875" style="108" customWidth="1"/>
    <col min="15111" max="15111" width="8.140625" style="108" customWidth="1"/>
    <col min="15112" max="15112" width="20.140625" style="108" customWidth="1"/>
    <col min="15113" max="15113" width="119.85546875" style="108" customWidth="1"/>
    <col min="15114" max="15114" width="8.85546875" style="108"/>
    <col min="15115" max="15115" width="128.140625" style="108" customWidth="1"/>
    <col min="15116" max="15360" width="8.85546875" style="108"/>
    <col min="15361" max="15361" width="1.140625" style="108" customWidth="1"/>
    <col min="15362" max="15362" width="29.42578125" style="108" customWidth="1"/>
    <col min="15363" max="15363" width="15.5703125" style="108" customWidth="1"/>
    <col min="15364" max="15364" width="11.85546875" style="108" customWidth="1"/>
    <col min="15365" max="15365" width="7" style="108" customWidth="1"/>
    <col min="15366" max="15366" width="21.85546875" style="108" customWidth="1"/>
    <col min="15367" max="15367" width="8.140625" style="108" customWidth="1"/>
    <col min="15368" max="15368" width="20.140625" style="108" customWidth="1"/>
    <col min="15369" max="15369" width="119.85546875" style="108" customWidth="1"/>
    <col min="15370" max="15370" width="8.85546875" style="108"/>
    <col min="15371" max="15371" width="128.140625" style="108" customWidth="1"/>
    <col min="15372" max="15616" width="8.85546875" style="108"/>
    <col min="15617" max="15617" width="1.140625" style="108" customWidth="1"/>
    <col min="15618" max="15618" width="29.42578125" style="108" customWidth="1"/>
    <col min="15619" max="15619" width="15.5703125" style="108" customWidth="1"/>
    <col min="15620" max="15620" width="11.85546875" style="108" customWidth="1"/>
    <col min="15621" max="15621" width="7" style="108" customWidth="1"/>
    <col min="15622" max="15622" width="21.85546875" style="108" customWidth="1"/>
    <col min="15623" max="15623" width="8.140625" style="108" customWidth="1"/>
    <col min="15624" max="15624" width="20.140625" style="108" customWidth="1"/>
    <col min="15625" max="15625" width="119.85546875" style="108" customWidth="1"/>
    <col min="15626" max="15626" width="8.85546875" style="108"/>
    <col min="15627" max="15627" width="128.140625" style="108" customWidth="1"/>
    <col min="15628" max="15872" width="8.85546875" style="108"/>
    <col min="15873" max="15873" width="1.140625" style="108" customWidth="1"/>
    <col min="15874" max="15874" width="29.42578125" style="108" customWidth="1"/>
    <col min="15875" max="15875" width="15.5703125" style="108" customWidth="1"/>
    <col min="15876" max="15876" width="11.85546875" style="108" customWidth="1"/>
    <col min="15877" max="15877" width="7" style="108" customWidth="1"/>
    <col min="15878" max="15878" width="21.85546875" style="108" customWidth="1"/>
    <col min="15879" max="15879" width="8.140625" style="108" customWidth="1"/>
    <col min="15880" max="15880" width="20.140625" style="108" customWidth="1"/>
    <col min="15881" max="15881" width="119.85546875" style="108" customWidth="1"/>
    <col min="15882" max="15882" width="8.85546875" style="108"/>
    <col min="15883" max="15883" width="128.140625" style="108" customWidth="1"/>
    <col min="15884" max="16128" width="8.85546875" style="108"/>
    <col min="16129" max="16129" width="1.140625" style="108" customWidth="1"/>
    <col min="16130" max="16130" width="29.42578125" style="108" customWidth="1"/>
    <col min="16131" max="16131" width="15.5703125" style="108" customWidth="1"/>
    <col min="16132" max="16132" width="11.85546875" style="108" customWidth="1"/>
    <col min="16133" max="16133" width="7" style="108" customWidth="1"/>
    <col min="16134" max="16134" width="21.85546875" style="108" customWidth="1"/>
    <col min="16135" max="16135" width="8.140625" style="108" customWidth="1"/>
    <col min="16136" max="16136" width="20.140625" style="108" customWidth="1"/>
    <col min="16137" max="16137" width="119.85546875" style="108" customWidth="1"/>
    <col min="16138" max="16138" width="8.85546875" style="108"/>
    <col min="16139" max="16139" width="128.140625" style="108" customWidth="1"/>
    <col min="16140" max="16384" width="8.85546875" style="108"/>
  </cols>
  <sheetData>
    <row r="1" spans="2:10" x14ac:dyDescent="0.25">
      <c r="B1" s="309" t="s">
        <v>857</v>
      </c>
    </row>
    <row r="2" spans="2:10" ht="45" customHeight="1" x14ac:dyDescent="0.25">
      <c r="B2" s="401" t="s">
        <v>464</v>
      </c>
      <c r="C2" s="402"/>
      <c r="D2" s="402"/>
      <c r="E2" s="402"/>
      <c r="F2" s="402"/>
      <c r="G2" s="402"/>
      <c r="H2" s="402"/>
      <c r="I2" s="403"/>
      <c r="J2" s="107"/>
    </row>
    <row r="4" spans="2:10" ht="22.35" customHeight="1" x14ac:dyDescent="0.25">
      <c r="B4" s="109" t="s">
        <v>86</v>
      </c>
      <c r="C4" s="110"/>
      <c r="D4" s="110"/>
      <c r="E4" s="110"/>
      <c r="F4" s="110"/>
      <c r="G4" s="111"/>
    </row>
    <row r="5" spans="2:10" s="112" customFormat="1" x14ac:dyDescent="0.25"/>
    <row r="6" spans="2:10" s="112" customFormat="1" x14ac:dyDescent="0.25">
      <c r="B6" s="113" t="s">
        <v>87</v>
      </c>
      <c r="C6" s="395" t="s">
        <v>465</v>
      </c>
      <c r="D6" s="395"/>
      <c r="E6" s="395"/>
      <c r="F6" s="395"/>
      <c r="G6" s="114"/>
    </row>
    <row r="7" spans="2:10" s="112" customFormat="1" x14ac:dyDescent="0.25">
      <c r="B7" s="115" t="s">
        <v>88</v>
      </c>
      <c r="C7" s="404" t="s">
        <v>466</v>
      </c>
      <c r="D7" s="404"/>
      <c r="E7" s="404"/>
      <c r="F7" s="404"/>
      <c r="G7" s="116"/>
    </row>
    <row r="8" spans="2:10" s="112" customFormat="1" x14ac:dyDescent="0.25">
      <c r="B8" s="113" t="s">
        <v>89</v>
      </c>
      <c r="C8" s="395" t="s">
        <v>467</v>
      </c>
      <c r="D8" s="395"/>
      <c r="E8" s="395"/>
      <c r="F8" s="395"/>
      <c r="G8" s="114"/>
    </row>
    <row r="9" spans="2:10" s="112" customFormat="1" x14ac:dyDescent="0.25">
      <c r="B9" s="113" t="s">
        <v>90</v>
      </c>
      <c r="C9" s="395" t="s">
        <v>468</v>
      </c>
      <c r="D9" s="395"/>
      <c r="E9" s="395"/>
      <c r="F9" s="395"/>
      <c r="G9" s="114"/>
    </row>
    <row r="10" spans="2:10" s="112" customFormat="1" x14ac:dyDescent="0.25">
      <c r="B10" s="113" t="s">
        <v>225</v>
      </c>
      <c r="C10" s="395" t="s">
        <v>469</v>
      </c>
      <c r="D10" s="395"/>
      <c r="E10" s="395"/>
      <c r="F10" s="395"/>
      <c r="G10" s="114"/>
    </row>
    <row r="11" spans="2:10" s="112" customFormat="1" x14ac:dyDescent="0.25">
      <c r="B11" s="113" t="s">
        <v>91</v>
      </c>
      <c r="C11" s="395">
        <v>5</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c r="C15" s="400"/>
      <c r="D15" s="395" t="s">
        <v>465</v>
      </c>
      <c r="E15" s="395"/>
      <c r="F15" s="395"/>
      <c r="G15" s="114"/>
    </row>
    <row r="16" spans="2:10" s="112" customFormat="1" x14ac:dyDescent="0.25"/>
    <row r="17" spans="2:7" s="112" customFormat="1" x14ac:dyDescent="0.25">
      <c r="B17" s="118" t="s">
        <v>95</v>
      </c>
      <c r="C17" s="118" t="s">
        <v>96</v>
      </c>
      <c r="D17" s="118" t="s">
        <v>97</v>
      </c>
      <c r="E17" s="118" t="s">
        <v>98</v>
      </c>
      <c r="F17" s="118" t="s">
        <v>99</v>
      </c>
      <c r="G17" s="117"/>
    </row>
    <row r="18" spans="2:7" s="112" customFormat="1" ht="42.75" customHeight="1" x14ac:dyDescent="0.25">
      <c r="B18" s="119" t="s">
        <v>523</v>
      </c>
      <c r="C18" s="23">
        <v>42</v>
      </c>
      <c r="D18" s="23">
        <v>2</v>
      </c>
      <c r="E18" s="23">
        <v>2</v>
      </c>
      <c r="F18" s="23" t="s">
        <v>864</v>
      </c>
      <c r="G18" s="116"/>
    </row>
    <row r="19" spans="2:7" s="112" customFormat="1" ht="23.25" customHeight="1" x14ac:dyDescent="0.25">
      <c r="B19" s="120"/>
      <c r="C19" s="116"/>
      <c r="D19" s="116"/>
      <c r="E19" s="116"/>
      <c r="F19" s="116"/>
      <c r="G19" s="116"/>
    </row>
    <row r="20" spans="2:7" s="112" customFormat="1" x14ac:dyDescent="0.25">
      <c r="B20" s="379" t="s">
        <v>100</v>
      </c>
      <c r="C20" s="380"/>
      <c r="D20" s="380"/>
      <c r="E20" s="380"/>
      <c r="F20" s="381"/>
      <c r="G20" s="121"/>
    </row>
    <row r="21" spans="2:7" s="112" customFormat="1" ht="66.75" customHeight="1" x14ac:dyDescent="0.25">
      <c r="B21" s="382" t="s">
        <v>524</v>
      </c>
      <c r="C21" s="415"/>
      <c r="D21" s="415"/>
      <c r="E21" s="415"/>
      <c r="F21" s="416"/>
      <c r="G21" s="122"/>
    </row>
    <row r="22" spans="2:7" s="112" customFormat="1" x14ac:dyDescent="0.25">
      <c r="B22" s="379" t="s">
        <v>101</v>
      </c>
      <c r="C22" s="380"/>
      <c r="D22" s="380"/>
      <c r="E22" s="380"/>
      <c r="F22" s="381"/>
      <c r="G22" s="121"/>
    </row>
    <row r="23" spans="2:7" s="112" customFormat="1" ht="75.95" customHeight="1" x14ac:dyDescent="0.25">
      <c r="B23" s="408" t="s">
        <v>525</v>
      </c>
      <c r="C23" s="383"/>
      <c r="D23" s="383"/>
      <c r="E23" s="383"/>
      <c r="F23" s="384"/>
      <c r="G23" s="123"/>
    </row>
    <row r="24" spans="2:7" s="112" customFormat="1" x14ac:dyDescent="0.25"/>
    <row r="25" spans="2:7" s="112" customFormat="1" x14ac:dyDescent="0.25">
      <c r="B25" s="379" t="s">
        <v>102</v>
      </c>
      <c r="C25" s="380"/>
      <c r="D25" s="380"/>
      <c r="E25" s="380"/>
      <c r="F25" s="381"/>
      <c r="G25" s="121"/>
    </row>
    <row r="26" spans="2:7" s="112" customFormat="1" ht="30.6" customHeight="1" x14ac:dyDescent="0.25">
      <c r="B26" s="392" t="s">
        <v>526</v>
      </c>
      <c r="C26" s="415"/>
      <c r="D26" s="415"/>
      <c r="E26" s="415"/>
      <c r="F26" s="416"/>
      <c r="G26" s="122"/>
    </row>
    <row r="27" spans="2:7" s="112" customFormat="1" x14ac:dyDescent="0.25"/>
    <row r="28" spans="2:7" s="112" customFormat="1" x14ac:dyDescent="0.25">
      <c r="B28" s="379" t="s">
        <v>103</v>
      </c>
      <c r="C28" s="380"/>
      <c r="D28" s="380"/>
      <c r="E28" s="380"/>
      <c r="F28" s="381"/>
      <c r="G28" s="117"/>
    </row>
    <row r="29" spans="2:7" s="112" customFormat="1" x14ac:dyDescent="0.25">
      <c r="B29" s="423" t="s">
        <v>527</v>
      </c>
      <c r="C29" s="424"/>
      <c r="D29" s="424"/>
      <c r="E29" s="424"/>
      <c r="F29" s="425"/>
      <c r="G29" s="124"/>
    </row>
    <row r="30" spans="2:7" s="112" customFormat="1" x14ac:dyDescent="0.25">
      <c r="B30" s="423" t="s">
        <v>528</v>
      </c>
      <c r="C30" s="424"/>
      <c r="D30" s="424"/>
      <c r="E30" s="424"/>
      <c r="F30" s="425"/>
      <c r="G30" s="124"/>
    </row>
    <row r="31" spans="2:7" s="112" customFormat="1" x14ac:dyDescent="0.25">
      <c r="B31" s="423" t="s">
        <v>529</v>
      </c>
      <c r="C31" s="424"/>
      <c r="D31" s="424"/>
      <c r="E31" s="424"/>
      <c r="F31" s="425"/>
      <c r="G31" s="124"/>
    </row>
    <row r="32" spans="2:7" s="112" customFormat="1" x14ac:dyDescent="0.25">
      <c r="B32" s="423" t="s">
        <v>530</v>
      </c>
      <c r="C32" s="424"/>
      <c r="D32" s="424"/>
      <c r="E32" s="424"/>
      <c r="F32" s="425"/>
      <c r="G32" s="124"/>
    </row>
    <row r="33" spans="2:7" s="112" customFormat="1" x14ac:dyDescent="0.25">
      <c r="B33" s="423" t="s">
        <v>531</v>
      </c>
      <c r="C33" s="424"/>
      <c r="D33" s="424"/>
      <c r="E33" s="424"/>
      <c r="F33" s="425"/>
      <c r="G33" s="124"/>
    </row>
    <row r="34" spans="2:7" s="112" customFormat="1" x14ac:dyDescent="0.25">
      <c r="B34" s="423" t="s">
        <v>532</v>
      </c>
      <c r="C34" s="424"/>
      <c r="D34" s="424"/>
      <c r="E34" s="424"/>
      <c r="F34" s="425"/>
      <c r="G34" s="124"/>
    </row>
    <row r="35" spans="2:7" s="112" customFormat="1" x14ac:dyDescent="0.25"/>
    <row r="36" spans="2:7" s="112" customFormat="1" x14ac:dyDescent="0.25">
      <c r="B36" s="379" t="s">
        <v>105</v>
      </c>
      <c r="C36" s="380"/>
      <c r="D36" s="380"/>
      <c r="E36" s="380"/>
      <c r="F36" s="381"/>
      <c r="G36" s="121"/>
    </row>
    <row r="37" spans="2:7" s="112" customFormat="1" ht="349.5" customHeight="1" x14ac:dyDescent="0.25">
      <c r="B37" s="408" t="s">
        <v>533</v>
      </c>
      <c r="C37" s="383"/>
      <c r="D37" s="383"/>
      <c r="E37" s="383"/>
      <c r="F37" s="384"/>
      <c r="G37" s="123"/>
    </row>
    <row r="38" spans="2:7" s="112" customFormat="1" ht="16.5" customHeight="1" x14ac:dyDescent="0.25">
      <c r="B38" s="125"/>
      <c r="C38" s="126"/>
      <c r="D38" s="126"/>
      <c r="E38" s="126"/>
      <c r="F38" s="126"/>
      <c r="G38" s="126"/>
    </row>
    <row r="39" spans="2:7" s="112" customFormat="1" x14ac:dyDescent="0.25">
      <c r="B39" s="379" t="s">
        <v>473</v>
      </c>
      <c r="C39" s="380"/>
      <c r="D39" s="380"/>
      <c r="E39" s="380"/>
      <c r="F39" s="381"/>
      <c r="G39" s="121"/>
    </row>
    <row r="40" spans="2:7" s="112" customFormat="1" x14ac:dyDescent="0.25">
      <c r="B40" s="127" t="s">
        <v>474</v>
      </c>
      <c r="C40" s="388" t="s">
        <v>475</v>
      </c>
      <c r="D40" s="388"/>
      <c r="E40" s="388"/>
      <c r="F40" s="388"/>
      <c r="G40" s="123"/>
    </row>
    <row r="41" spans="2:7" s="112" customFormat="1" x14ac:dyDescent="0.25">
      <c r="B41" s="127" t="s">
        <v>476</v>
      </c>
      <c r="C41" s="388" t="s">
        <v>477</v>
      </c>
      <c r="D41" s="388"/>
      <c r="E41" s="388"/>
      <c r="F41" s="388"/>
      <c r="G41" s="123"/>
    </row>
    <row r="42" spans="2:7" s="112" customFormat="1" x14ac:dyDescent="0.25">
      <c r="B42" s="127" t="s">
        <v>478</v>
      </c>
      <c r="C42" s="392" t="s">
        <v>534</v>
      </c>
      <c r="D42" s="383"/>
      <c r="E42" s="383"/>
      <c r="F42" s="384"/>
      <c r="G42" s="123"/>
    </row>
    <row r="43" spans="2:7" s="112" customFormat="1" x14ac:dyDescent="0.25">
      <c r="B43" s="127"/>
      <c r="C43" s="388"/>
      <c r="D43" s="388"/>
      <c r="E43" s="388"/>
      <c r="F43" s="388"/>
      <c r="G43" s="123"/>
    </row>
    <row r="44" spans="2:7" s="112" customFormat="1" x14ac:dyDescent="0.25">
      <c r="B44" s="127"/>
      <c r="C44" s="388"/>
      <c r="D44" s="388"/>
      <c r="E44" s="388"/>
      <c r="F44" s="388"/>
      <c r="G44" s="123"/>
    </row>
    <row r="45" spans="2:7" s="112" customFormat="1" x14ac:dyDescent="0.25"/>
    <row r="46" spans="2:7" s="112" customFormat="1" x14ac:dyDescent="0.25">
      <c r="B46" s="379" t="s">
        <v>106</v>
      </c>
      <c r="C46" s="380"/>
      <c r="D46" s="380"/>
      <c r="E46" s="380"/>
      <c r="F46" s="381"/>
      <c r="G46" s="121"/>
    </row>
    <row r="47" spans="2:7" s="112" customFormat="1" ht="51" customHeight="1" x14ac:dyDescent="0.25">
      <c r="B47" s="392" t="s">
        <v>535</v>
      </c>
      <c r="C47" s="383"/>
      <c r="D47" s="383"/>
      <c r="E47" s="383"/>
      <c r="F47" s="384"/>
      <c r="G47" s="126"/>
    </row>
    <row r="48" spans="2:7" s="112" customFormat="1" x14ac:dyDescent="0.25"/>
    <row r="49" spans="1:7" s="112" customFormat="1" x14ac:dyDescent="0.25">
      <c r="B49" s="379" t="s">
        <v>240</v>
      </c>
      <c r="C49" s="380"/>
      <c r="D49" s="380"/>
      <c r="E49" s="380"/>
      <c r="F49" s="381"/>
      <c r="G49" s="121"/>
    </row>
    <row r="50" spans="1:7" s="112" customFormat="1" x14ac:dyDescent="0.25">
      <c r="B50" s="128" t="s">
        <v>241</v>
      </c>
      <c r="C50" s="128" t="s">
        <v>242</v>
      </c>
      <c r="D50" s="379" t="s">
        <v>243</v>
      </c>
      <c r="E50" s="380"/>
      <c r="F50" s="381"/>
      <c r="G50" s="121"/>
    </row>
    <row r="51" spans="1:7" s="112" customFormat="1" x14ac:dyDescent="0.25">
      <c r="A51" s="170"/>
      <c r="B51" s="127" t="s">
        <v>536</v>
      </c>
      <c r="C51" s="127" t="s">
        <v>479</v>
      </c>
      <c r="D51" s="443" t="s">
        <v>480</v>
      </c>
      <c r="E51" s="406"/>
      <c r="F51" s="407"/>
      <c r="G51" s="130"/>
    </row>
    <row r="52" spans="1:7" s="112" customFormat="1" x14ac:dyDescent="0.25">
      <c r="B52" s="129"/>
      <c r="C52" s="129"/>
      <c r="D52" s="405"/>
      <c r="E52" s="406"/>
      <c r="F52" s="407"/>
      <c r="G52" s="130"/>
    </row>
    <row r="53" spans="1:7" s="112" customFormat="1" x14ac:dyDescent="0.25">
      <c r="B53" s="131"/>
      <c r="C53" s="131"/>
      <c r="D53" s="405"/>
      <c r="E53" s="406"/>
      <c r="F53" s="407"/>
      <c r="G53" s="130"/>
    </row>
    <row r="54" spans="1:7" s="112" customFormat="1" x14ac:dyDescent="0.25"/>
    <row r="55" spans="1:7" s="112" customFormat="1" x14ac:dyDescent="0.25">
      <c r="B55" s="379" t="s">
        <v>107</v>
      </c>
      <c r="C55" s="380"/>
      <c r="D55" s="380"/>
      <c r="E55" s="380"/>
      <c r="F55" s="381"/>
      <c r="G55" s="121"/>
    </row>
    <row r="56" spans="1:7" s="112" customFormat="1" ht="35.450000000000003" customHeight="1" x14ac:dyDescent="0.25">
      <c r="B56" s="385"/>
      <c r="C56" s="386"/>
      <c r="D56" s="386"/>
      <c r="E56" s="386"/>
      <c r="F56" s="387"/>
      <c r="G56" s="126"/>
    </row>
    <row r="57" spans="1:7" s="112" customFormat="1" x14ac:dyDescent="0.25"/>
  </sheetData>
  <mergeCells count="42">
    <mergeCell ref="C10:F10"/>
    <mergeCell ref="B2:I2"/>
    <mergeCell ref="C6:F6"/>
    <mergeCell ref="C7:F7"/>
    <mergeCell ref="C8:F8"/>
    <mergeCell ref="C9:F9"/>
    <mergeCell ref="B26:F26"/>
    <mergeCell ref="C11:F11"/>
    <mergeCell ref="B13:F13"/>
    <mergeCell ref="B14:C14"/>
    <mergeCell ref="D14:F14"/>
    <mergeCell ref="B15:C15"/>
    <mergeCell ref="D15:F15"/>
    <mergeCell ref="B20:F20"/>
    <mergeCell ref="B21:F21"/>
    <mergeCell ref="B22:F22"/>
    <mergeCell ref="B23:F23"/>
    <mergeCell ref="B25:F25"/>
    <mergeCell ref="C41:F41"/>
    <mergeCell ref="B28:F28"/>
    <mergeCell ref="B29:F29"/>
    <mergeCell ref="B30:F30"/>
    <mergeCell ref="B31:F31"/>
    <mergeCell ref="B32:F32"/>
    <mergeCell ref="B33:F33"/>
    <mergeCell ref="B34:F34"/>
    <mergeCell ref="B36:F36"/>
    <mergeCell ref="B37:F37"/>
    <mergeCell ref="B39:F39"/>
    <mergeCell ref="C40:F40"/>
    <mergeCell ref="B56:F56"/>
    <mergeCell ref="C42:F42"/>
    <mergeCell ref="C43:F43"/>
    <mergeCell ref="C44:F44"/>
    <mergeCell ref="B46:F46"/>
    <mergeCell ref="B47:F47"/>
    <mergeCell ref="B49:F49"/>
    <mergeCell ref="D50:F50"/>
    <mergeCell ref="D51:F51"/>
    <mergeCell ref="D52:F52"/>
    <mergeCell ref="D53:F53"/>
    <mergeCell ref="B55:F55"/>
  </mergeCells>
  <dataValidations count="2">
    <dataValidation type="list" allowBlank="1" showInputMessage="1" showErrorMessage="1" sqref="C51:C53 IY51:IY53 SU51:SU53 ACQ51:ACQ53 AMM51:AMM53 AWI51:AWI53 BGE51:BGE53 BQA51:BQA53 BZW51:BZW53 CJS51:CJS53 CTO51:CTO53 DDK51:DDK53 DNG51:DNG53 DXC51:DXC53 EGY51:EGY53 EQU51:EQU53 FAQ51:FAQ53 FKM51:FKM53 FUI51:FUI53 GEE51:GEE53 GOA51:GOA53 GXW51:GXW53 HHS51:HHS53 HRO51:HRO53 IBK51:IBK53 ILG51:ILG53 IVC51:IVC53 JEY51:JEY53 JOU51:JOU53 JYQ51:JYQ53 KIM51:KIM53 KSI51:KSI53 LCE51:LCE53 LMA51:LMA53 LVW51:LVW53 MFS51:MFS53 MPO51:MPO53 MZK51:MZK53 NJG51:NJG53 NTC51:NTC53 OCY51:OCY53 OMU51:OMU53 OWQ51:OWQ53 PGM51:PGM53 PQI51:PQI53 QAE51:QAE53 QKA51:QKA53 QTW51:QTW53 RDS51:RDS53 RNO51:RNO53 RXK51:RXK53 SHG51:SHG53 SRC51:SRC53 TAY51:TAY53 TKU51:TKU53 TUQ51:TUQ53 UEM51:UEM53 UOI51:UOI53 UYE51:UYE53 VIA51:VIA53 VRW51:VRW53 WBS51:WBS53 WLO51:WLO53 WVK51:WVK53 C65585:C65587 IY65585:IY65587 SU65585:SU65587 ACQ65585:ACQ65587 AMM65585:AMM65587 AWI65585:AWI65587 BGE65585:BGE65587 BQA65585:BQA65587 BZW65585:BZW65587 CJS65585:CJS65587 CTO65585:CTO65587 DDK65585:DDK65587 DNG65585:DNG65587 DXC65585:DXC65587 EGY65585:EGY65587 EQU65585:EQU65587 FAQ65585:FAQ65587 FKM65585:FKM65587 FUI65585:FUI65587 GEE65585:GEE65587 GOA65585:GOA65587 GXW65585:GXW65587 HHS65585:HHS65587 HRO65585:HRO65587 IBK65585:IBK65587 ILG65585:ILG65587 IVC65585:IVC65587 JEY65585:JEY65587 JOU65585:JOU65587 JYQ65585:JYQ65587 KIM65585:KIM65587 KSI65585:KSI65587 LCE65585:LCE65587 LMA65585:LMA65587 LVW65585:LVW65587 MFS65585:MFS65587 MPO65585:MPO65587 MZK65585:MZK65587 NJG65585:NJG65587 NTC65585:NTC65587 OCY65585:OCY65587 OMU65585:OMU65587 OWQ65585:OWQ65587 PGM65585:PGM65587 PQI65585:PQI65587 QAE65585:QAE65587 QKA65585:QKA65587 QTW65585:QTW65587 RDS65585:RDS65587 RNO65585:RNO65587 RXK65585:RXK65587 SHG65585:SHG65587 SRC65585:SRC65587 TAY65585:TAY65587 TKU65585:TKU65587 TUQ65585:TUQ65587 UEM65585:UEM65587 UOI65585:UOI65587 UYE65585:UYE65587 VIA65585:VIA65587 VRW65585:VRW65587 WBS65585:WBS65587 WLO65585:WLO65587 WVK65585:WVK65587 C131121:C131123 IY131121:IY131123 SU131121:SU131123 ACQ131121:ACQ131123 AMM131121:AMM131123 AWI131121:AWI131123 BGE131121:BGE131123 BQA131121:BQA131123 BZW131121:BZW131123 CJS131121:CJS131123 CTO131121:CTO131123 DDK131121:DDK131123 DNG131121:DNG131123 DXC131121:DXC131123 EGY131121:EGY131123 EQU131121:EQU131123 FAQ131121:FAQ131123 FKM131121:FKM131123 FUI131121:FUI131123 GEE131121:GEE131123 GOA131121:GOA131123 GXW131121:GXW131123 HHS131121:HHS131123 HRO131121:HRO131123 IBK131121:IBK131123 ILG131121:ILG131123 IVC131121:IVC131123 JEY131121:JEY131123 JOU131121:JOU131123 JYQ131121:JYQ131123 KIM131121:KIM131123 KSI131121:KSI131123 LCE131121:LCE131123 LMA131121:LMA131123 LVW131121:LVW131123 MFS131121:MFS131123 MPO131121:MPO131123 MZK131121:MZK131123 NJG131121:NJG131123 NTC131121:NTC131123 OCY131121:OCY131123 OMU131121:OMU131123 OWQ131121:OWQ131123 PGM131121:PGM131123 PQI131121:PQI131123 QAE131121:QAE131123 QKA131121:QKA131123 QTW131121:QTW131123 RDS131121:RDS131123 RNO131121:RNO131123 RXK131121:RXK131123 SHG131121:SHG131123 SRC131121:SRC131123 TAY131121:TAY131123 TKU131121:TKU131123 TUQ131121:TUQ131123 UEM131121:UEM131123 UOI131121:UOI131123 UYE131121:UYE131123 VIA131121:VIA131123 VRW131121:VRW131123 WBS131121:WBS131123 WLO131121:WLO131123 WVK131121:WVK131123 C196657:C196659 IY196657:IY196659 SU196657:SU196659 ACQ196657:ACQ196659 AMM196657:AMM196659 AWI196657:AWI196659 BGE196657:BGE196659 BQA196657:BQA196659 BZW196657:BZW196659 CJS196657:CJS196659 CTO196657:CTO196659 DDK196657:DDK196659 DNG196657:DNG196659 DXC196657:DXC196659 EGY196657:EGY196659 EQU196657:EQU196659 FAQ196657:FAQ196659 FKM196657:FKM196659 FUI196657:FUI196659 GEE196657:GEE196659 GOA196657:GOA196659 GXW196657:GXW196659 HHS196657:HHS196659 HRO196657:HRO196659 IBK196657:IBK196659 ILG196657:ILG196659 IVC196657:IVC196659 JEY196657:JEY196659 JOU196657:JOU196659 JYQ196657:JYQ196659 KIM196657:KIM196659 KSI196657:KSI196659 LCE196657:LCE196659 LMA196657:LMA196659 LVW196657:LVW196659 MFS196657:MFS196659 MPO196657:MPO196659 MZK196657:MZK196659 NJG196657:NJG196659 NTC196657:NTC196659 OCY196657:OCY196659 OMU196657:OMU196659 OWQ196657:OWQ196659 PGM196657:PGM196659 PQI196657:PQI196659 QAE196657:QAE196659 QKA196657:QKA196659 QTW196657:QTW196659 RDS196657:RDS196659 RNO196657:RNO196659 RXK196657:RXK196659 SHG196657:SHG196659 SRC196657:SRC196659 TAY196657:TAY196659 TKU196657:TKU196659 TUQ196657:TUQ196659 UEM196657:UEM196659 UOI196657:UOI196659 UYE196657:UYE196659 VIA196657:VIA196659 VRW196657:VRW196659 WBS196657:WBS196659 WLO196657:WLO196659 WVK196657:WVK196659 C262193:C262195 IY262193:IY262195 SU262193:SU262195 ACQ262193:ACQ262195 AMM262193:AMM262195 AWI262193:AWI262195 BGE262193:BGE262195 BQA262193:BQA262195 BZW262193:BZW262195 CJS262193:CJS262195 CTO262193:CTO262195 DDK262193:DDK262195 DNG262193:DNG262195 DXC262193:DXC262195 EGY262193:EGY262195 EQU262193:EQU262195 FAQ262193:FAQ262195 FKM262193:FKM262195 FUI262193:FUI262195 GEE262193:GEE262195 GOA262193:GOA262195 GXW262193:GXW262195 HHS262193:HHS262195 HRO262193:HRO262195 IBK262193:IBK262195 ILG262193:ILG262195 IVC262193:IVC262195 JEY262193:JEY262195 JOU262193:JOU262195 JYQ262193:JYQ262195 KIM262193:KIM262195 KSI262193:KSI262195 LCE262193:LCE262195 LMA262193:LMA262195 LVW262193:LVW262195 MFS262193:MFS262195 MPO262193:MPO262195 MZK262193:MZK262195 NJG262193:NJG262195 NTC262193:NTC262195 OCY262193:OCY262195 OMU262193:OMU262195 OWQ262193:OWQ262195 PGM262193:PGM262195 PQI262193:PQI262195 QAE262193:QAE262195 QKA262193:QKA262195 QTW262193:QTW262195 RDS262193:RDS262195 RNO262193:RNO262195 RXK262193:RXK262195 SHG262193:SHG262195 SRC262193:SRC262195 TAY262193:TAY262195 TKU262193:TKU262195 TUQ262193:TUQ262195 UEM262193:UEM262195 UOI262193:UOI262195 UYE262193:UYE262195 VIA262193:VIA262195 VRW262193:VRW262195 WBS262193:WBS262195 WLO262193:WLO262195 WVK262193:WVK262195 C327729:C327731 IY327729:IY327731 SU327729:SU327731 ACQ327729:ACQ327731 AMM327729:AMM327731 AWI327729:AWI327731 BGE327729:BGE327731 BQA327729:BQA327731 BZW327729:BZW327731 CJS327729:CJS327731 CTO327729:CTO327731 DDK327729:DDK327731 DNG327729:DNG327731 DXC327729:DXC327731 EGY327729:EGY327731 EQU327729:EQU327731 FAQ327729:FAQ327731 FKM327729:FKM327731 FUI327729:FUI327731 GEE327729:GEE327731 GOA327729:GOA327731 GXW327729:GXW327731 HHS327729:HHS327731 HRO327729:HRO327731 IBK327729:IBK327731 ILG327729:ILG327731 IVC327729:IVC327731 JEY327729:JEY327731 JOU327729:JOU327731 JYQ327729:JYQ327731 KIM327729:KIM327731 KSI327729:KSI327731 LCE327729:LCE327731 LMA327729:LMA327731 LVW327729:LVW327731 MFS327729:MFS327731 MPO327729:MPO327731 MZK327729:MZK327731 NJG327729:NJG327731 NTC327729:NTC327731 OCY327729:OCY327731 OMU327729:OMU327731 OWQ327729:OWQ327731 PGM327729:PGM327731 PQI327729:PQI327731 QAE327729:QAE327731 QKA327729:QKA327731 QTW327729:QTW327731 RDS327729:RDS327731 RNO327729:RNO327731 RXK327729:RXK327731 SHG327729:SHG327731 SRC327729:SRC327731 TAY327729:TAY327731 TKU327729:TKU327731 TUQ327729:TUQ327731 UEM327729:UEM327731 UOI327729:UOI327731 UYE327729:UYE327731 VIA327729:VIA327731 VRW327729:VRW327731 WBS327729:WBS327731 WLO327729:WLO327731 WVK327729:WVK327731 C393265:C393267 IY393265:IY393267 SU393265:SU393267 ACQ393265:ACQ393267 AMM393265:AMM393267 AWI393265:AWI393267 BGE393265:BGE393267 BQA393265:BQA393267 BZW393265:BZW393267 CJS393265:CJS393267 CTO393265:CTO393267 DDK393265:DDK393267 DNG393265:DNG393267 DXC393265:DXC393267 EGY393265:EGY393267 EQU393265:EQU393267 FAQ393265:FAQ393267 FKM393265:FKM393267 FUI393265:FUI393267 GEE393265:GEE393267 GOA393265:GOA393267 GXW393265:GXW393267 HHS393265:HHS393267 HRO393265:HRO393267 IBK393265:IBK393267 ILG393265:ILG393267 IVC393265:IVC393267 JEY393265:JEY393267 JOU393265:JOU393267 JYQ393265:JYQ393267 KIM393265:KIM393267 KSI393265:KSI393267 LCE393265:LCE393267 LMA393265:LMA393267 LVW393265:LVW393267 MFS393265:MFS393267 MPO393265:MPO393267 MZK393265:MZK393267 NJG393265:NJG393267 NTC393265:NTC393267 OCY393265:OCY393267 OMU393265:OMU393267 OWQ393265:OWQ393267 PGM393265:PGM393267 PQI393265:PQI393267 QAE393265:QAE393267 QKA393265:QKA393267 QTW393265:QTW393267 RDS393265:RDS393267 RNO393265:RNO393267 RXK393265:RXK393267 SHG393265:SHG393267 SRC393265:SRC393267 TAY393265:TAY393267 TKU393265:TKU393267 TUQ393265:TUQ393267 UEM393265:UEM393267 UOI393265:UOI393267 UYE393265:UYE393267 VIA393265:VIA393267 VRW393265:VRW393267 WBS393265:WBS393267 WLO393265:WLO393267 WVK393265:WVK393267 C458801:C458803 IY458801:IY458803 SU458801:SU458803 ACQ458801:ACQ458803 AMM458801:AMM458803 AWI458801:AWI458803 BGE458801:BGE458803 BQA458801:BQA458803 BZW458801:BZW458803 CJS458801:CJS458803 CTO458801:CTO458803 DDK458801:DDK458803 DNG458801:DNG458803 DXC458801:DXC458803 EGY458801:EGY458803 EQU458801:EQU458803 FAQ458801:FAQ458803 FKM458801:FKM458803 FUI458801:FUI458803 GEE458801:GEE458803 GOA458801:GOA458803 GXW458801:GXW458803 HHS458801:HHS458803 HRO458801:HRO458803 IBK458801:IBK458803 ILG458801:ILG458803 IVC458801:IVC458803 JEY458801:JEY458803 JOU458801:JOU458803 JYQ458801:JYQ458803 KIM458801:KIM458803 KSI458801:KSI458803 LCE458801:LCE458803 LMA458801:LMA458803 LVW458801:LVW458803 MFS458801:MFS458803 MPO458801:MPO458803 MZK458801:MZK458803 NJG458801:NJG458803 NTC458801:NTC458803 OCY458801:OCY458803 OMU458801:OMU458803 OWQ458801:OWQ458803 PGM458801:PGM458803 PQI458801:PQI458803 QAE458801:QAE458803 QKA458801:QKA458803 QTW458801:QTW458803 RDS458801:RDS458803 RNO458801:RNO458803 RXK458801:RXK458803 SHG458801:SHG458803 SRC458801:SRC458803 TAY458801:TAY458803 TKU458801:TKU458803 TUQ458801:TUQ458803 UEM458801:UEM458803 UOI458801:UOI458803 UYE458801:UYE458803 VIA458801:VIA458803 VRW458801:VRW458803 WBS458801:WBS458803 WLO458801:WLO458803 WVK458801:WVK458803 C524337:C524339 IY524337:IY524339 SU524337:SU524339 ACQ524337:ACQ524339 AMM524337:AMM524339 AWI524337:AWI524339 BGE524337:BGE524339 BQA524337:BQA524339 BZW524337:BZW524339 CJS524337:CJS524339 CTO524337:CTO524339 DDK524337:DDK524339 DNG524337:DNG524339 DXC524337:DXC524339 EGY524337:EGY524339 EQU524337:EQU524339 FAQ524337:FAQ524339 FKM524337:FKM524339 FUI524337:FUI524339 GEE524337:GEE524339 GOA524337:GOA524339 GXW524337:GXW524339 HHS524337:HHS524339 HRO524337:HRO524339 IBK524337:IBK524339 ILG524337:ILG524339 IVC524337:IVC524339 JEY524337:JEY524339 JOU524337:JOU524339 JYQ524337:JYQ524339 KIM524337:KIM524339 KSI524337:KSI524339 LCE524337:LCE524339 LMA524337:LMA524339 LVW524337:LVW524339 MFS524337:MFS524339 MPO524337:MPO524339 MZK524337:MZK524339 NJG524337:NJG524339 NTC524337:NTC524339 OCY524337:OCY524339 OMU524337:OMU524339 OWQ524337:OWQ524339 PGM524337:PGM524339 PQI524337:PQI524339 QAE524337:QAE524339 QKA524337:QKA524339 QTW524337:QTW524339 RDS524337:RDS524339 RNO524337:RNO524339 RXK524337:RXK524339 SHG524337:SHG524339 SRC524337:SRC524339 TAY524337:TAY524339 TKU524337:TKU524339 TUQ524337:TUQ524339 UEM524337:UEM524339 UOI524337:UOI524339 UYE524337:UYE524339 VIA524337:VIA524339 VRW524337:VRW524339 WBS524337:WBS524339 WLO524337:WLO524339 WVK524337:WVK524339 C589873:C589875 IY589873:IY589875 SU589873:SU589875 ACQ589873:ACQ589875 AMM589873:AMM589875 AWI589873:AWI589875 BGE589873:BGE589875 BQA589873:BQA589875 BZW589873:BZW589875 CJS589873:CJS589875 CTO589873:CTO589875 DDK589873:DDK589875 DNG589873:DNG589875 DXC589873:DXC589875 EGY589873:EGY589875 EQU589873:EQU589875 FAQ589873:FAQ589875 FKM589873:FKM589875 FUI589873:FUI589875 GEE589873:GEE589875 GOA589873:GOA589875 GXW589873:GXW589875 HHS589873:HHS589875 HRO589873:HRO589875 IBK589873:IBK589875 ILG589873:ILG589875 IVC589873:IVC589875 JEY589873:JEY589875 JOU589873:JOU589875 JYQ589873:JYQ589875 KIM589873:KIM589875 KSI589873:KSI589875 LCE589873:LCE589875 LMA589873:LMA589875 LVW589873:LVW589875 MFS589873:MFS589875 MPO589873:MPO589875 MZK589873:MZK589875 NJG589873:NJG589875 NTC589873:NTC589875 OCY589873:OCY589875 OMU589873:OMU589875 OWQ589873:OWQ589875 PGM589873:PGM589875 PQI589873:PQI589875 QAE589873:QAE589875 QKA589873:QKA589875 QTW589873:QTW589875 RDS589873:RDS589875 RNO589873:RNO589875 RXK589873:RXK589875 SHG589873:SHG589875 SRC589873:SRC589875 TAY589873:TAY589875 TKU589873:TKU589875 TUQ589873:TUQ589875 UEM589873:UEM589875 UOI589873:UOI589875 UYE589873:UYE589875 VIA589873:VIA589875 VRW589873:VRW589875 WBS589873:WBS589875 WLO589873:WLO589875 WVK589873:WVK589875 C655409:C655411 IY655409:IY655411 SU655409:SU655411 ACQ655409:ACQ655411 AMM655409:AMM655411 AWI655409:AWI655411 BGE655409:BGE655411 BQA655409:BQA655411 BZW655409:BZW655411 CJS655409:CJS655411 CTO655409:CTO655411 DDK655409:DDK655411 DNG655409:DNG655411 DXC655409:DXC655411 EGY655409:EGY655411 EQU655409:EQU655411 FAQ655409:FAQ655411 FKM655409:FKM655411 FUI655409:FUI655411 GEE655409:GEE655411 GOA655409:GOA655411 GXW655409:GXW655411 HHS655409:HHS655411 HRO655409:HRO655411 IBK655409:IBK655411 ILG655409:ILG655411 IVC655409:IVC655411 JEY655409:JEY655411 JOU655409:JOU655411 JYQ655409:JYQ655411 KIM655409:KIM655411 KSI655409:KSI655411 LCE655409:LCE655411 LMA655409:LMA655411 LVW655409:LVW655411 MFS655409:MFS655411 MPO655409:MPO655411 MZK655409:MZK655411 NJG655409:NJG655411 NTC655409:NTC655411 OCY655409:OCY655411 OMU655409:OMU655411 OWQ655409:OWQ655411 PGM655409:PGM655411 PQI655409:PQI655411 QAE655409:QAE655411 QKA655409:QKA655411 QTW655409:QTW655411 RDS655409:RDS655411 RNO655409:RNO655411 RXK655409:RXK655411 SHG655409:SHG655411 SRC655409:SRC655411 TAY655409:TAY655411 TKU655409:TKU655411 TUQ655409:TUQ655411 UEM655409:UEM655411 UOI655409:UOI655411 UYE655409:UYE655411 VIA655409:VIA655411 VRW655409:VRW655411 WBS655409:WBS655411 WLO655409:WLO655411 WVK655409:WVK655411 C720945:C720947 IY720945:IY720947 SU720945:SU720947 ACQ720945:ACQ720947 AMM720945:AMM720947 AWI720945:AWI720947 BGE720945:BGE720947 BQA720945:BQA720947 BZW720945:BZW720947 CJS720945:CJS720947 CTO720945:CTO720947 DDK720945:DDK720947 DNG720945:DNG720947 DXC720945:DXC720947 EGY720945:EGY720947 EQU720945:EQU720947 FAQ720945:FAQ720947 FKM720945:FKM720947 FUI720945:FUI720947 GEE720945:GEE720947 GOA720945:GOA720947 GXW720945:GXW720947 HHS720945:HHS720947 HRO720945:HRO720947 IBK720945:IBK720947 ILG720945:ILG720947 IVC720945:IVC720947 JEY720945:JEY720947 JOU720945:JOU720947 JYQ720945:JYQ720947 KIM720945:KIM720947 KSI720945:KSI720947 LCE720945:LCE720947 LMA720945:LMA720947 LVW720945:LVW720947 MFS720945:MFS720947 MPO720945:MPO720947 MZK720945:MZK720947 NJG720945:NJG720947 NTC720945:NTC720947 OCY720945:OCY720947 OMU720945:OMU720947 OWQ720945:OWQ720947 PGM720945:PGM720947 PQI720945:PQI720947 QAE720945:QAE720947 QKA720945:QKA720947 QTW720945:QTW720947 RDS720945:RDS720947 RNO720945:RNO720947 RXK720945:RXK720947 SHG720945:SHG720947 SRC720945:SRC720947 TAY720945:TAY720947 TKU720945:TKU720947 TUQ720945:TUQ720947 UEM720945:UEM720947 UOI720945:UOI720947 UYE720945:UYE720947 VIA720945:VIA720947 VRW720945:VRW720947 WBS720945:WBS720947 WLO720945:WLO720947 WVK720945:WVK720947 C786481:C786483 IY786481:IY786483 SU786481:SU786483 ACQ786481:ACQ786483 AMM786481:AMM786483 AWI786481:AWI786483 BGE786481:BGE786483 BQA786481:BQA786483 BZW786481:BZW786483 CJS786481:CJS786483 CTO786481:CTO786483 DDK786481:DDK786483 DNG786481:DNG786483 DXC786481:DXC786483 EGY786481:EGY786483 EQU786481:EQU786483 FAQ786481:FAQ786483 FKM786481:FKM786483 FUI786481:FUI786483 GEE786481:GEE786483 GOA786481:GOA786483 GXW786481:GXW786483 HHS786481:HHS786483 HRO786481:HRO786483 IBK786481:IBK786483 ILG786481:ILG786483 IVC786481:IVC786483 JEY786481:JEY786483 JOU786481:JOU786483 JYQ786481:JYQ786483 KIM786481:KIM786483 KSI786481:KSI786483 LCE786481:LCE786483 LMA786481:LMA786483 LVW786481:LVW786483 MFS786481:MFS786483 MPO786481:MPO786483 MZK786481:MZK786483 NJG786481:NJG786483 NTC786481:NTC786483 OCY786481:OCY786483 OMU786481:OMU786483 OWQ786481:OWQ786483 PGM786481:PGM786483 PQI786481:PQI786483 QAE786481:QAE786483 QKA786481:QKA786483 QTW786481:QTW786483 RDS786481:RDS786483 RNO786481:RNO786483 RXK786481:RXK786483 SHG786481:SHG786483 SRC786481:SRC786483 TAY786481:TAY786483 TKU786481:TKU786483 TUQ786481:TUQ786483 UEM786481:UEM786483 UOI786481:UOI786483 UYE786481:UYE786483 VIA786481:VIA786483 VRW786481:VRW786483 WBS786481:WBS786483 WLO786481:WLO786483 WVK786481:WVK786483 C852017:C852019 IY852017:IY852019 SU852017:SU852019 ACQ852017:ACQ852019 AMM852017:AMM852019 AWI852017:AWI852019 BGE852017:BGE852019 BQA852017:BQA852019 BZW852017:BZW852019 CJS852017:CJS852019 CTO852017:CTO852019 DDK852017:DDK852019 DNG852017:DNG852019 DXC852017:DXC852019 EGY852017:EGY852019 EQU852017:EQU852019 FAQ852017:FAQ852019 FKM852017:FKM852019 FUI852017:FUI852019 GEE852017:GEE852019 GOA852017:GOA852019 GXW852017:GXW852019 HHS852017:HHS852019 HRO852017:HRO852019 IBK852017:IBK852019 ILG852017:ILG852019 IVC852017:IVC852019 JEY852017:JEY852019 JOU852017:JOU852019 JYQ852017:JYQ852019 KIM852017:KIM852019 KSI852017:KSI852019 LCE852017:LCE852019 LMA852017:LMA852019 LVW852017:LVW852019 MFS852017:MFS852019 MPO852017:MPO852019 MZK852017:MZK852019 NJG852017:NJG852019 NTC852017:NTC852019 OCY852017:OCY852019 OMU852017:OMU852019 OWQ852017:OWQ852019 PGM852017:PGM852019 PQI852017:PQI852019 QAE852017:QAE852019 QKA852017:QKA852019 QTW852017:QTW852019 RDS852017:RDS852019 RNO852017:RNO852019 RXK852017:RXK852019 SHG852017:SHG852019 SRC852017:SRC852019 TAY852017:TAY852019 TKU852017:TKU852019 TUQ852017:TUQ852019 UEM852017:UEM852019 UOI852017:UOI852019 UYE852017:UYE852019 VIA852017:VIA852019 VRW852017:VRW852019 WBS852017:WBS852019 WLO852017:WLO852019 WVK852017:WVK852019 C917553:C917555 IY917553:IY917555 SU917553:SU917555 ACQ917553:ACQ917555 AMM917553:AMM917555 AWI917553:AWI917555 BGE917553:BGE917555 BQA917553:BQA917555 BZW917553:BZW917555 CJS917553:CJS917555 CTO917553:CTO917555 DDK917553:DDK917555 DNG917553:DNG917555 DXC917553:DXC917555 EGY917553:EGY917555 EQU917553:EQU917555 FAQ917553:FAQ917555 FKM917553:FKM917555 FUI917553:FUI917555 GEE917553:GEE917555 GOA917553:GOA917555 GXW917553:GXW917555 HHS917553:HHS917555 HRO917553:HRO917555 IBK917553:IBK917555 ILG917553:ILG917555 IVC917553:IVC917555 JEY917553:JEY917555 JOU917553:JOU917555 JYQ917553:JYQ917555 KIM917553:KIM917555 KSI917553:KSI917555 LCE917553:LCE917555 LMA917553:LMA917555 LVW917553:LVW917555 MFS917553:MFS917555 MPO917553:MPO917555 MZK917553:MZK917555 NJG917553:NJG917555 NTC917553:NTC917555 OCY917553:OCY917555 OMU917553:OMU917555 OWQ917553:OWQ917555 PGM917553:PGM917555 PQI917553:PQI917555 QAE917553:QAE917555 QKA917553:QKA917555 QTW917553:QTW917555 RDS917553:RDS917555 RNO917553:RNO917555 RXK917553:RXK917555 SHG917553:SHG917555 SRC917553:SRC917555 TAY917553:TAY917555 TKU917553:TKU917555 TUQ917553:TUQ917555 UEM917553:UEM917555 UOI917553:UOI917555 UYE917553:UYE917555 VIA917553:VIA917555 VRW917553:VRW917555 WBS917553:WBS917555 WLO917553:WLO917555 WVK917553:WVK917555 C983089:C983091 IY983089:IY983091 SU983089:SU983091 ACQ983089:ACQ983091 AMM983089:AMM983091 AWI983089:AWI983091 BGE983089:BGE983091 BQA983089:BQA983091 BZW983089:BZW983091 CJS983089:CJS983091 CTO983089:CTO983091 DDK983089:DDK983091 DNG983089:DNG983091 DXC983089:DXC983091 EGY983089:EGY983091 EQU983089:EQU983091 FAQ983089:FAQ983091 FKM983089:FKM983091 FUI983089:FUI983091 GEE983089:GEE983091 GOA983089:GOA983091 GXW983089:GXW983091 HHS983089:HHS983091 HRO983089:HRO983091 IBK983089:IBK983091 ILG983089:ILG983091 IVC983089:IVC983091 JEY983089:JEY983091 JOU983089:JOU983091 JYQ983089:JYQ983091 KIM983089:KIM983091 KSI983089:KSI983091 LCE983089:LCE983091 LMA983089:LMA983091 LVW983089:LVW983091 MFS983089:MFS983091 MPO983089:MPO983091 MZK983089:MZK983091 NJG983089:NJG983091 NTC983089:NTC983091 OCY983089:OCY983091 OMU983089:OMU983091 OWQ983089:OWQ983091 PGM983089:PGM983091 PQI983089:PQI983091 QAE983089:QAE983091 QKA983089:QKA983091 QTW983089:QTW983091 RDS983089:RDS983091 RNO983089:RNO983091 RXK983089:RXK983091 SHG983089:SHG983091 SRC983089:SRC983091 TAY983089:TAY983091 TKU983089:TKU983091 TUQ983089:TUQ983091 UEM983089:UEM983091 UOI983089:UOI983091 UYE983089:UYE983091 VIA983089:VIA983091 VRW983089:VRW983091 WBS983089:WBS983091 WLO983089:WLO983091 WVK983089:WVK983091">
      <formula1>"Académique, Professionnel, Associatif, Autre"</formula1>
    </dataValidation>
    <dataValidation type="list" allowBlank="1" showInputMessage="1" showErrorMessage="1"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0 IY65540 SU65540 ACQ65540 AMM65540 AWI65540 BGE65540 BQA65540 BZW65540 CJS65540 CTO65540 DDK65540 DNG65540 DXC65540 EGY65540 EQU65540 FAQ65540 FKM65540 FUI65540 GEE65540 GOA65540 GXW65540 HHS65540 HRO65540 IBK65540 ILG65540 IVC65540 JEY65540 JOU65540 JYQ65540 KIM65540 KSI65540 LCE65540 LMA65540 LVW65540 MFS65540 MPO65540 MZK65540 NJG65540 NTC65540 OCY65540 OMU65540 OWQ65540 PGM65540 PQI65540 QAE65540 QKA65540 QTW65540 RDS65540 RNO65540 RXK65540 SHG65540 SRC65540 TAY65540 TKU65540 TUQ65540 UEM65540 UOI65540 UYE65540 VIA65540 VRW65540 WBS65540 WLO65540 WVK65540 C131076 IY131076 SU131076 ACQ131076 AMM131076 AWI131076 BGE131076 BQA131076 BZW131076 CJS131076 CTO131076 DDK131076 DNG131076 DXC131076 EGY131076 EQU131076 FAQ131076 FKM131076 FUI131076 GEE131076 GOA131076 GXW131076 HHS131076 HRO131076 IBK131076 ILG131076 IVC131076 JEY131076 JOU131076 JYQ131076 KIM131076 KSI131076 LCE131076 LMA131076 LVW131076 MFS131076 MPO131076 MZK131076 NJG131076 NTC131076 OCY131076 OMU131076 OWQ131076 PGM131076 PQI131076 QAE131076 QKA131076 QTW131076 RDS131076 RNO131076 RXK131076 SHG131076 SRC131076 TAY131076 TKU131076 TUQ131076 UEM131076 UOI131076 UYE131076 VIA131076 VRW131076 WBS131076 WLO131076 WVK131076 C196612 IY196612 SU196612 ACQ196612 AMM196612 AWI196612 BGE196612 BQA196612 BZW196612 CJS196612 CTO196612 DDK196612 DNG196612 DXC196612 EGY196612 EQU196612 FAQ196612 FKM196612 FUI196612 GEE196612 GOA196612 GXW196612 HHS196612 HRO196612 IBK196612 ILG196612 IVC196612 JEY196612 JOU196612 JYQ196612 KIM196612 KSI196612 LCE196612 LMA196612 LVW196612 MFS196612 MPO196612 MZK196612 NJG196612 NTC196612 OCY196612 OMU196612 OWQ196612 PGM196612 PQI196612 QAE196612 QKA196612 QTW196612 RDS196612 RNO196612 RXK196612 SHG196612 SRC196612 TAY196612 TKU196612 TUQ196612 UEM196612 UOI196612 UYE196612 VIA196612 VRW196612 WBS196612 WLO196612 WVK196612 C262148 IY262148 SU262148 ACQ262148 AMM262148 AWI262148 BGE262148 BQA262148 BZW262148 CJS262148 CTO262148 DDK262148 DNG262148 DXC262148 EGY262148 EQU262148 FAQ262148 FKM262148 FUI262148 GEE262148 GOA262148 GXW262148 HHS262148 HRO262148 IBK262148 ILG262148 IVC262148 JEY262148 JOU262148 JYQ262148 KIM262148 KSI262148 LCE262148 LMA262148 LVW262148 MFS262148 MPO262148 MZK262148 NJG262148 NTC262148 OCY262148 OMU262148 OWQ262148 PGM262148 PQI262148 QAE262148 QKA262148 QTW262148 RDS262148 RNO262148 RXK262148 SHG262148 SRC262148 TAY262148 TKU262148 TUQ262148 UEM262148 UOI262148 UYE262148 VIA262148 VRW262148 WBS262148 WLO262148 WVK262148 C327684 IY327684 SU327684 ACQ327684 AMM327684 AWI327684 BGE327684 BQA327684 BZW327684 CJS327684 CTO327684 DDK327684 DNG327684 DXC327684 EGY327684 EQU327684 FAQ327684 FKM327684 FUI327684 GEE327684 GOA327684 GXW327684 HHS327684 HRO327684 IBK327684 ILG327684 IVC327684 JEY327684 JOU327684 JYQ327684 KIM327684 KSI327684 LCE327684 LMA327684 LVW327684 MFS327684 MPO327684 MZK327684 NJG327684 NTC327684 OCY327684 OMU327684 OWQ327684 PGM327684 PQI327684 QAE327684 QKA327684 QTW327684 RDS327684 RNO327684 RXK327684 SHG327684 SRC327684 TAY327684 TKU327684 TUQ327684 UEM327684 UOI327684 UYE327684 VIA327684 VRW327684 WBS327684 WLO327684 WVK327684 C393220 IY393220 SU393220 ACQ393220 AMM393220 AWI393220 BGE393220 BQA393220 BZW393220 CJS393220 CTO393220 DDK393220 DNG393220 DXC393220 EGY393220 EQU393220 FAQ393220 FKM393220 FUI393220 GEE393220 GOA393220 GXW393220 HHS393220 HRO393220 IBK393220 ILG393220 IVC393220 JEY393220 JOU393220 JYQ393220 KIM393220 KSI393220 LCE393220 LMA393220 LVW393220 MFS393220 MPO393220 MZK393220 NJG393220 NTC393220 OCY393220 OMU393220 OWQ393220 PGM393220 PQI393220 QAE393220 QKA393220 QTW393220 RDS393220 RNO393220 RXK393220 SHG393220 SRC393220 TAY393220 TKU393220 TUQ393220 UEM393220 UOI393220 UYE393220 VIA393220 VRW393220 WBS393220 WLO393220 WVK393220 C458756 IY458756 SU458756 ACQ458756 AMM458756 AWI458756 BGE458756 BQA458756 BZW458756 CJS458756 CTO458756 DDK458756 DNG458756 DXC458756 EGY458756 EQU458756 FAQ458756 FKM458756 FUI458756 GEE458756 GOA458756 GXW458756 HHS458756 HRO458756 IBK458756 ILG458756 IVC458756 JEY458756 JOU458756 JYQ458756 KIM458756 KSI458756 LCE458756 LMA458756 LVW458756 MFS458756 MPO458756 MZK458756 NJG458756 NTC458756 OCY458756 OMU458756 OWQ458756 PGM458756 PQI458756 QAE458756 QKA458756 QTW458756 RDS458756 RNO458756 RXK458756 SHG458756 SRC458756 TAY458756 TKU458756 TUQ458756 UEM458756 UOI458756 UYE458756 VIA458756 VRW458756 WBS458756 WLO458756 WVK458756 C524292 IY524292 SU524292 ACQ524292 AMM524292 AWI524292 BGE524292 BQA524292 BZW524292 CJS524292 CTO524292 DDK524292 DNG524292 DXC524292 EGY524292 EQU524292 FAQ524292 FKM524292 FUI524292 GEE524292 GOA524292 GXW524292 HHS524292 HRO524292 IBK524292 ILG524292 IVC524292 JEY524292 JOU524292 JYQ524292 KIM524292 KSI524292 LCE524292 LMA524292 LVW524292 MFS524292 MPO524292 MZK524292 NJG524292 NTC524292 OCY524292 OMU524292 OWQ524292 PGM524292 PQI524292 QAE524292 QKA524292 QTW524292 RDS524292 RNO524292 RXK524292 SHG524292 SRC524292 TAY524292 TKU524292 TUQ524292 UEM524292 UOI524292 UYE524292 VIA524292 VRW524292 WBS524292 WLO524292 WVK524292 C589828 IY589828 SU589828 ACQ589828 AMM589828 AWI589828 BGE589828 BQA589828 BZW589828 CJS589828 CTO589828 DDK589828 DNG589828 DXC589828 EGY589828 EQU589828 FAQ589828 FKM589828 FUI589828 GEE589828 GOA589828 GXW589828 HHS589828 HRO589828 IBK589828 ILG589828 IVC589828 JEY589828 JOU589828 JYQ589828 KIM589828 KSI589828 LCE589828 LMA589828 LVW589828 MFS589828 MPO589828 MZK589828 NJG589828 NTC589828 OCY589828 OMU589828 OWQ589828 PGM589828 PQI589828 QAE589828 QKA589828 QTW589828 RDS589828 RNO589828 RXK589828 SHG589828 SRC589828 TAY589828 TKU589828 TUQ589828 UEM589828 UOI589828 UYE589828 VIA589828 VRW589828 WBS589828 WLO589828 WVK589828 C655364 IY655364 SU655364 ACQ655364 AMM655364 AWI655364 BGE655364 BQA655364 BZW655364 CJS655364 CTO655364 DDK655364 DNG655364 DXC655364 EGY655364 EQU655364 FAQ655364 FKM655364 FUI655364 GEE655364 GOA655364 GXW655364 HHS655364 HRO655364 IBK655364 ILG655364 IVC655364 JEY655364 JOU655364 JYQ655364 KIM655364 KSI655364 LCE655364 LMA655364 LVW655364 MFS655364 MPO655364 MZK655364 NJG655364 NTC655364 OCY655364 OMU655364 OWQ655364 PGM655364 PQI655364 QAE655364 QKA655364 QTW655364 RDS655364 RNO655364 RXK655364 SHG655364 SRC655364 TAY655364 TKU655364 TUQ655364 UEM655364 UOI655364 UYE655364 VIA655364 VRW655364 WBS655364 WLO655364 WVK655364 C720900 IY720900 SU720900 ACQ720900 AMM720900 AWI720900 BGE720900 BQA720900 BZW720900 CJS720900 CTO720900 DDK720900 DNG720900 DXC720900 EGY720900 EQU720900 FAQ720900 FKM720900 FUI720900 GEE720900 GOA720900 GXW720900 HHS720900 HRO720900 IBK720900 ILG720900 IVC720900 JEY720900 JOU720900 JYQ720900 KIM720900 KSI720900 LCE720900 LMA720900 LVW720900 MFS720900 MPO720900 MZK720900 NJG720900 NTC720900 OCY720900 OMU720900 OWQ720900 PGM720900 PQI720900 QAE720900 QKA720900 QTW720900 RDS720900 RNO720900 RXK720900 SHG720900 SRC720900 TAY720900 TKU720900 TUQ720900 UEM720900 UOI720900 UYE720900 VIA720900 VRW720900 WBS720900 WLO720900 WVK720900 C786436 IY786436 SU786436 ACQ786436 AMM786436 AWI786436 BGE786436 BQA786436 BZW786436 CJS786436 CTO786436 DDK786436 DNG786436 DXC786436 EGY786436 EQU786436 FAQ786436 FKM786436 FUI786436 GEE786436 GOA786436 GXW786436 HHS786436 HRO786436 IBK786436 ILG786436 IVC786436 JEY786436 JOU786436 JYQ786436 KIM786436 KSI786436 LCE786436 LMA786436 LVW786436 MFS786436 MPO786436 MZK786436 NJG786436 NTC786436 OCY786436 OMU786436 OWQ786436 PGM786436 PQI786436 QAE786436 QKA786436 QTW786436 RDS786436 RNO786436 RXK786436 SHG786436 SRC786436 TAY786436 TKU786436 TUQ786436 UEM786436 UOI786436 UYE786436 VIA786436 VRW786436 WBS786436 WLO786436 WVK786436 C851972 IY851972 SU851972 ACQ851972 AMM851972 AWI851972 BGE851972 BQA851972 BZW851972 CJS851972 CTO851972 DDK851972 DNG851972 DXC851972 EGY851972 EQU851972 FAQ851972 FKM851972 FUI851972 GEE851972 GOA851972 GXW851972 HHS851972 HRO851972 IBK851972 ILG851972 IVC851972 JEY851972 JOU851972 JYQ851972 KIM851972 KSI851972 LCE851972 LMA851972 LVW851972 MFS851972 MPO851972 MZK851972 NJG851972 NTC851972 OCY851972 OMU851972 OWQ851972 PGM851972 PQI851972 QAE851972 QKA851972 QTW851972 RDS851972 RNO851972 RXK851972 SHG851972 SRC851972 TAY851972 TKU851972 TUQ851972 UEM851972 UOI851972 UYE851972 VIA851972 VRW851972 WBS851972 WLO851972 WVK851972 C917508 IY917508 SU917508 ACQ917508 AMM917508 AWI917508 BGE917508 BQA917508 BZW917508 CJS917508 CTO917508 DDK917508 DNG917508 DXC917508 EGY917508 EQU917508 FAQ917508 FKM917508 FUI917508 GEE917508 GOA917508 GXW917508 HHS917508 HRO917508 IBK917508 ILG917508 IVC917508 JEY917508 JOU917508 JYQ917508 KIM917508 KSI917508 LCE917508 LMA917508 LVW917508 MFS917508 MPO917508 MZK917508 NJG917508 NTC917508 OCY917508 OMU917508 OWQ917508 PGM917508 PQI917508 QAE917508 QKA917508 QTW917508 RDS917508 RNO917508 RXK917508 SHG917508 SRC917508 TAY917508 TKU917508 TUQ917508 UEM917508 UOI917508 UYE917508 VIA917508 VRW917508 WBS917508 WLO917508 WVK917508 C983044 IY983044 SU983044 ACQ983044 AMM983044 AWI983044 BGE983044 BQA983044 BZW983044 CJS983044 CTO983044 DDK983044 DNG983044 DXC983044 EGY983044 EQU983044 FAQ983044 FKM983044 FUI983044 GEE983044 GOA983044 GXW983044 HHS983044 HRO983044 IBK983044 ILG983044 IVC983044 JEY983044 JOU983044 JYQ983044 KIM983044 KSI983044 LCE983044 LMA983044 LVW983044 MFS983044 MPO983044 MZK983044 NJG983044 NTC983044 OCY983044 OMU983044 OWQ983044 PGM983044 PQI983044 QAE983044 QKA983044 QTW983044 RDS983044 RNO983044 RXK983044 SHG983044 SRC983044 TAY983044 TKU983044 TUQ983044 UEM983044 UOI983044 UYE983044 VIA983044 VRW983044 WBS983044 WLO983044 WVK983044">
      <formula1>"Mise à jour à partir du plan d'études, Nouvelle création"</formula1>
    </dataValidation>
  </dataValidations>
  <hyperlinks>
    <hyperlink ref="B1" location="'Schéma d''enseignement'!G42" display="Shéma d'enseignement"/>
  </hyperlinks>
  <pageMargins left="0.7" right="0.7" top="0.74545454545454548" bottom="0.75" header="0.3" footer="0.3"/>
  <pageSetup paperSize="9" scale="88" orientation="portrait" horizontalDpi="300" verticalDpi="300" r:id="rId1"/>
  <rowBreaks count="1" manualBreakCount="1">
    <brk id="24"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J63"/>
  <sheetViews>
    <sheetView workbookViewId="0">
      <selection activeCell="B1" sqref="B1"/>
    </sheetView>
  </sheetViews>
  <sheetFormatPr baseColWidth="10" defaultColWidth="8.85546875" defaultRowHeight="15.75" x14ac:dyDescent="0.25"/>
  <cols>
    <col min="1" max="1" width="1.140625" style="108" customWidth="1"/>
    <col min="2" max="2" width="29.42578125" style="108" customWidth="1"/>
    <col min="3" max="3" width="15.5703125" style="108" customWidth="1"/>
    <col min="4" max="4" width="11.85546875" style="108" customWidth="1"/>
    <col min="5" max="5" width="7" style="108" customWidth="1"/>
    <col min="6" max="6" width="32.5703125" style="108" customWidth="1"/>
    <col min="7" max="7" width="8.140625" style="108" customWidth="1"/>
    <col min="8" max="8" width="20.140625" style="108" customWidth="1"/>
    <col min="9" max="9" width="119.85546875" style="108" customWidth="1"/>
    <col min="10" max="10" width="11.5703125" style="108" customWidth="1"/>
    <col min="11" max="11" width="128.140625" style="108" customWidth="1"/>
    <col min="12" max="256" width="11.5703125" style="108" customWidth="1"/>
    <col min="257" max="16384" width="8.85546875" style="108"/>
  </cols>
  <sheetData>
    <row r="1" spans="2:10" x14ac:dyDescent="0.25">
      <c r="B1" s="309" t="s">
        <v>857</v>
      </c>
    </row>
    <row r="2" spans="2:10" x14ac:dyDescent="0.25">
      <c r="B2" s="401" t="s">
        <v>464</v>
      </c>
      <c r="C2" s="402"/>
      <c r="D2" s="402"/>
      <c r="E2" s="402"/>
      <c r="F2" s="402"/>
      <c r="G2" s="402"/>
      <c r="H2" s="402"/>
      <c r="I2" s="403"/>
      <c r="J2" s="107"/>
    </row>
    <row r="4" spans="2:10" x14ac:dyDescent="0.25">
      <c r="B4" s="109" t="s">
        <v>86</v>
      </c>
      <c r="C4" s="110"/>
      <c r="D4" s="110"/>
      <c r="E4" s="110"/>
      <c r="F4" s="110"/>
      <c r="G4" s="111"/>
    </row>
    <row r="5" spans="2:10" s="112" customFormat="1" x14ac:dyDescent="0.25"/>
    <row r="6" spans="2:10" s="112" customFormat="1" x14ac:dyDescent="0.25">
      <c r="B6" s="113" t="s">
        <v>87</v>
      </c>
      <c r="C6" s="395" t="s">
        <v>465</v>
      </c>
      <c r="D6" s="395"/>
      <c r="E6" s="395"/>
      <c r="F6" s="395"/>
      <c r="G6" s="114"/>
    </row>
    <row r="7" spans="2:10" s="112" customFormat="1" x14ac:dyDescent="0.25">
      <c r="B7" s="115" t="s">
        <v>88</v>
      </c>
      <c r="C7" s="404" t="s">
        <v>840</v>
      </c>
      <c r="D7" s="404"/>
      <c r="E7" s="404"/>
      <c r="F7" s="404"/>
      <c r="G7" s="116"/>
    </row>
    <row r="8" spans="2:10" s="112" customFormat="1" x14ac:dyDescent="0.25">
      <c r="B8" s="113" t="s">
        <v>89</v>
      </c>
      <c r="C8" s="395" t="s">
        <v>467</v>
      </c>
      <c r="D8" s="395"/>
      <c r="E8" s="395"/>
      <c r="F8" s="395"/>
      <c r="G8" s="114"/>
    </row>
    <row r="9" spans="2:10" s="112" customFormat="1" x14ac:dyDescent="0.25">
      <c r="B9" s="113" t="s">
        <v>90</v>
      </c>
      <c r="C9" s="395" t="s">
        <v>821</v>
      </c>
      <c r="D9" s="395"/>
      <c r="E9" s="395"/>
      <c r="F9" s="395"/>
      <c r="G9" s="114"/>
    </row>
    <row r="10" spans="2:10" s="112" customFormat="1" x14ac:dyDescent="0.25">
      <c r="B10" s="113" t="s">
        <v>225</v>
      </c>
      <c r="C10" s="395" t="s">
        <v>469</v>
      </c>
      <c r="D10" s="395"/>
      <c r="E10" s="395"/>
      <c r="F10" s="395"/>
      <c r="G10" s="114"/>
    </row>
    <row r="11" spans="2:10" s="112" customFormat="1" x14ac:dyDescent="0.25">
      <c r="B11" s="113" t="s">
        <v>91</v>
      </c>
      <c r="C11" s="395">
        <v>5</v>
      </c>
      <c r="D11" s="395"/>
      <c r="E11" s="395"/>
      <c r="F11" s="395"/>
      <c r="G11" s="114"/>
    </row>
    <row r="12" spans="2:10" s="112" customFormat="1" x14ac:dyDescent="0.25"/>
    <row r="13" spans="2:10" s="112" customFormat="1" x14ac:dyDescent="0.25">
      <c r="B13" s="396" t="s">
        <v>92</v>
      </c>
      <c r="C13" s="396"/>
      <c r="D13" s="396"/>
      <c r="E13" s="396"/>
      <c r="F13" s="396"/>
      <c r="G13" s="117"/>
    </row>
    <row r="14" spans="2:10" s="112" customFormat="1" x14ac:dyDescent="0.25">
      <c r="B14" s="397" t="s">
        <v>93</v>
      </c>
      <c r="C14" s="398"/>
      <c r="D14" s="396" t="s">
        <v>94</v>
      </c>
      <c r="E14" s="396"/>
      <c r="F14" s="396"/>
      <c r="G14" s="117"/>
    </row>
    <row r="15" spans="2:10" s="112" customFormat="1" x14ac:dyDescent="0.25">
      <c r="B15" s="399"/>
      <c r="C15" s="400"/>
      <c r="D15" s="395"/>
      <c r="E15" s="395"/>
      <c r="F15" s="395"/>
      <c r="G15" s="114"/>
    </row>
    <row r="16" spans="2:10" s="112" customFormat="1" x14ac:dyDescent="0.25"/>
    <row r="17" spans="2:7" s="112" customFormat="1" x14ac:dyDescent="0.25">
      <c r="B17" s="277" t="s">
        <v>95</v>
      </c>
      <c r="C17" s="277" t="s">
        <v>96</v>
      </c>
      <c r="D17" s="277" t="s">
        <v>97</v>
      </c>
      <c r="E17" s="277" t="s">
        <v>98</v>
      </c>
      <c r="F17" s="277" t="s">
        <v>99</v>
      </c>
      <c r="G17" s="117"/>
    </row>
    <row r="18" spans="2:7" s="112" customFormat="1" x14ac:dyDescent="0.25">
      <c r="B18" s="273" t="s">
        <v>839</v>
      </c>
      <c r="C18" s="23">
        <v>21</v>
      </c>
      <c r="D18" s="23">
        <v>2</v>
      </c>
      <c r="E18" s="23">
        <v>2</v>
      </c>
      <c r="F18" s="23" t="s">
        <v>864</v>
      </c>
      <c r="G18" s="116"/>
    </row>
    <row r="19" spans="2:7" s="112" customFormat="1" x14ac:dyDescent="0.25">
      <c r="B19" s="120"/>
      <c r="C19" s="116"/>
      <c r="D19" s="116"/>
      <c r="E19" s="116"/>
      <c r="F19" s="116"/>
      <c r="G19" s="116"/>
    </row>
    <row r="20" spans="2:7" s="112" customFormat="1" x14ac:dyDescent="0.25">
      <c r="B20" s="379" t="s">
        <v>100</v>
      </c>
      <c r="C20" s="380"/>
      <c r="D20" s="380"/>
      <c r="E20" s="380"/>
      <c r="F20" s="381"/>
      <c r="G20" s="121"/>
    </row>
    <row r="21" spans="2:7" s="112" customFormat="1" x14ac:dyDescent="0.25">
      <c r="B21" s="382" t="s">
        <v>838</v>
      </c>
      <c r="C21" s="415"/>
      <c r="D21" s="415"/>
      <c r="E21" s="415"/>
      <c r="F21" s="416"/>
      <c r="G21" s="122"/>
    </row>
    <row r="22" spans="2:7" s="112" customFormat="1" x14ac:dyDescent="0.25">
      <c r="B22" s="379" t="s">
        <v>101</v>
      </c>
      <c r="C22" s="380"/>
      <c r="D22" s="380"/>
      <c r="E22" s="380"/>
      <c r="F22" s="381"/>
      <c r="G22" s="121"/>
    </row>
    <row r="23" spans="2:7" s="112" customFormat="1" ht="30" customHeight="1" x14ac:dyDescent="0.25">
      <c r="B23" s="408" t="s">
        <v>870</v>
      </c>
      <c r="C23" s="393"/>
      <c r="D23" s="393"/>
      <c r="E23" s="393"/>
      <c r="F23" s="394"/>
      <c r="G23" s="123"/>
    </row>
    <row r="24" spans="2:7" s="112" customFormat="1" x14ac:dyDescent="0.25"/>
    <row r="25" spans="2:7" s="112" customFormat="1" x14ac:dyDescent="0.25">
      <c r="B25" s="379" t="s">
        <v>102</v>
      </c>
      <c r="C25" s="380"/>
      <c r="D25" s="380"/>
      <c r="E25" s="380"/>
      <c r="F25" s="381"/>
      <c r="G25" s="121"/>
    </row>
    <row r="26" spans="2:7" s="112" customFormat="1" x14ac:dyDescent="0.25">
      <c r="B26" s="392" t="s">
        <v>837</v>
      </c>
      <c r="C26" s="415"/>
      <c r="D26" s="415"/>
      <c r="E26" s="415"/>
      <c r="F26" s="416"/>
      <c r="G26" s="122"/>
    </row>
    <row r="27" spans="2:7" s="112" customFormat="1" x14ac:dyDescent="0.25"/>
    <row r="28" spans="2:7" s="112" customFormat="1" x14ac:dyDescent="0.25">
      <c r="B28" s="379" t="s">
        <v>103</v>
      </c>
      <c r="C28" s="380"/>
      <c r="D28" s="380"/>
      <c r="E28" s="380"/>
      <c r="F28" s="381"/>
      <c r="G28" s="117"/>
    </row>
    <row r="29" spans="2:7" s="112" customFormat="1" x14ac:dyDescent="0.25">
      <c r="B29" s="389" t="s">
        <v>827</v>
      </c>
      <c r="C29" s="390"/>
      <c r="D29" s="390"/>
      <c r="E29" s="390"/>
      <c r="F29" s="391"/>
      <c r="G29" s="124"/>
    </row>
    <row r="30" spans="2:7" s="112" customFormat="1" x14ac:dyDescent="0.25">
      <c r="B30" s="389" t="s">
        <v>826</v>
      </c>
      <c r="C30" s="390"/>
      <c r="D30" s="390"/>
      <c r="E30" s="390"/>
      <c r="F30" s="391"/>
      <c r="G30" s="124"/>
    </row>
    <row r="31" spans="2:7" s="112" customFormat="1" x14ac:dyDescent="0.25">
      <c r="B31" s="389" t="s">
        <v>836</v>
      </c>
      <c r="C31" s="390"/>
      <c r="D31" s="390"/>
      <c r="E31" s="390"/>
      <c r="F31" s="391"/>
      <c r="G31" s="124"/>
    </row>
    <row r="32" spans="2:7" s="112" customFormat="1" x14ac:dyDescent="0.25">
      <c r="G32" s="124"/>
    </row>
    <row r="33" spans="2:7" s="112" customFormat="1" x14ac:dyDescent="0.25">
      <c r="B33" s="389"/>
      <c r="C33" s="390"/>
      <c r="D33" s="390"/>
      <c r="E33" s="390"/>
      <c r="F33" s="391"/>
      <c r="G33" s="124"/>
    </row>
    <row r="34" spans="2:7" s="112" customFormat="1" x14ac:dyDescent="0.25">
      <c r="B34" s="389"/>
      <c r="C34" s="390"/>
      <c r="D34" s="390"/>
      <c r="E34" s="390"/>
      <c r="F34" s="391"/>
      <c r="G34" s="124"/>
    </row>
    <row r="35" spans="2:7" s="112" customFormat="1" x14ac:dyDescent="0.25">
      <c r="B35" s="389"/>
      <c r="C35" s="390"/>
      <c r="D35" s="390"/>
      <c r="E35" s="390"/>
      <c r="F35" s="391"/>
      <c r="G35" s="124"/>
    </row>
    <row r="36" spans="2:7" s="112" customFormat="1" x14ac:dyDescent="0.25">
      <c r="B36" s="389"/>
      <c r="C36" s="390"/>
      <c r="D36" s="390"/>
      <c r="E36" s="390"/>
      <c r="F36" s="391"/>
      <c r="G36" s="124"/>
    </row>
    <row r="37" spans="2:7" s="112" customFormat="1" x14ac:dyDescent="0.25">
      <c r="B37" s="409"/>
      <c r="C37" s="410"/>
      <c r="D37" s="410"/>
      <c r="E37" s="410"/>
      <c r="F37" s="411"/>
      <c r="G37" s="123"/>
    </row>
    <row r="38" spans="2:7" s="112" customFormat="1" x14ac:dyDescent="0.25"/>
    <row r="39" spans="2:7" s="112" customFormat="1" x14ac:dyDescent="0.25">
      <c r="B39" s="379" t="s">
        <v>105</v>
      </c>
      <c r="C39" s="380"/>
      <c r="D39" s="380"/>
      <c r="E39" s="380"/>
      <c r="F39" s="381"/>
      <c r="G39" s="121"/>
    </row>
    <row r="40" spans="2:7" s="112" customFormat="1" ht="276.60000000000002" customHeight="1" x14ac:dyDescent="0.25">
      <c r="B40" s="549" t="s">
        <v>829</v>
      </c>
      <c r="C40" s="550"/>
      <c r="D40" s="550"/>
      <c r="E40" s="550"/>
      <c r="F40" s="551"/>
      <c r="G40" s="123"/>
    </row>
    <row r="41" spans="2:7" s="112" customFormat="1" ht="249" customHeight="1" x14ac:dyDescent="0.25">
      <c r="B41" s="552" t="s">
        <v>835</v>
      </c>
      <c r="C41" s="553"/>
      <c r="D41" s="553"/>
      <c r="E41" s="553"/>
      <c r="F41" s="554"/>
      <c r="G41" s="123"/>
    </row>
    <row r="42" spans="2:7" s="112" customFormat="1" x14ac:dyDescent="0.25">
      <c r="B42" s="125"/>
      <c r="C42" s="276"/>
      <c r="D42" s="276"/>
      <c r="E42" s="276"/>
      <c r="F42" s="276"/>
      <c r="G42" s="276"/>
    </row>
    <row r="43" spans="2:7" s="112" customFormat="1" x14ac:dyDescent="0.25">
      <c r="B43" s="379" t="s">
        <v>473</v>
      </c>
      <c r="C43" s="380"/>
      <c r="D43" s="380"/>
      <c r="E43" s="380"/>
      <c r="F43" s="381"/>
      <c r="G43" s="121"/>
    </row>
    <row r="44" spans="2:7" s="112" customFormat="1" x14ac:dyDescent="0.25">
      <c r="B44" s="274" t="s">
        <v>474</v>
      </c>
      <c r="C44" s="388"/>
      <c r="D44" s="388"/>
      <c r="E44" s="388"/>
      <c r="F44" s="388"/>
      <c r="G44" s="123"/>
    </row>
    <row r="45" spans="2:7" s="112" customFormat="1" x14ac:dyDescent="0.25">
      <c r="B45" s="274" t="s">
        <v>476</v>
      </c>
      <c r="C45" s="388"/>
      <c r="D45" s="388"/>
      <c r="E45" s="388"/>
      <c r="F45" s="388"/>
      <c r="G45" s="123"/>
    </row>
    <row r="46" spans="2:7" s="112" customFormat="1" x14ac:dyDescent="0.25">
      <c r="B46" s="274" t="s">
        <v>478</v>
      </c>
      <c r="C46" s="392" t="s">
        <v>834</v>
      </c>
      <c r="D46" s="383"/>
      <c r="E46" s="383"/>
      <c r="F46" s="384"/>
      <c r="G46" s="123"/>
    </row>
    <row r="47" spans="2:7" s="112" customFormat="1" x14ac:dyDescent="0.25">
      <c r="B47" s="274"/>
      <c r="C47" s="388"/>
      <c r="D47" s="388"/>
      <c r="E47" s="388"/>
      <c r="F47" s="388"/>
      <c r="G47" s="123"/>
    </row>
    <row r="48" spans="2:7" s="112" customFormat="1" x14ac:dyDescent="0.25">
      <c r="B48" s="274"/>
      <c r="C48" s="388"/>
      <c r="D48" s="388"/>
      <c r="E48" s="388"/>
      <c r="F48" s="388"/>
      <c r="G48" s="123"/>
    </row>
    <row r="49" spans="1:7" s="112" customFormat="1" x14ac:dyDescent="0.25"/>
    <row r="50" spans="1:7" s="112" customFormat="1" x14ac:dyDescent="0.25">
      <c r="B50" s="379" t="s">
        <v>106</v>
      </c>
      <c r="C50" s="380"/>
      <c r="D50" s="380"/>
      <c r="E50" s="380"/>
      <c r="F50" s="381"/>
      <c r="G50" s="121"/>
    </row>
    <row r="51" spans="1:7" s="112" customFormat="1" x14ac:dyDescent="0.25">
      <c r="B51" s="392"/>
      <c r="C51" s="383"/>
      <c r="D51" s="383"/>
      <c r="E51" s="383"/>
      <c r="F51" s="384"/>
      <c r="G51" s="276"/>
    </row>
    <row r="52" spans="1:7" s="112" customFormat="1" x14ac:dyDescent="0.25"/>
    <row r="53" spans="1:7" s="112" customFormat="1" x14ac:dyDescent="0.25">
      <c r="B53" s="379" t="s">
        <v>240</v>
      </c>
      <c r="C53" s="380"/>
      <c r="D53" s="380"/>
      <c r="E53" s="380"/>
      <c r="F53" s="381"/>
      <c r="G53" s="121"/>
    </row>
    <row r="54" spans="1:7" s="112" customFormat="1" x14ac:dyDescent="0.25">
      <c r="B54" s="128" t="s">
        <v>241</v>
      </c>
      <c r="C54" s="128" t="s">
        <v>242</v>
      </c>
      <c r="D54" s="379" t="s">
        <v>243</v>
      </c>
      <c r="E54" s="380"/>
      <c r="F54" s="381"/>
      <c r="G54" s="121"/>
    </row>
    <row r="55" spans="1:7" s="112" customFormat="1" x14ac:dyDescent="0.25">
      <c r="A55" s="170"/>
      <c r="B55" s="274"/>
      <c r="C55" s="274"/>
      <c r="D55" s="443"/>
      <c r="E55" s="406"/>
      <c r="F55" s="407"/>
      <c r="G55" s="275"/>
    </row>
    <row r="56" spans="1:7" s="112" customFormat="1" x14ac:dyDescent="0.25">
      <c r="B56" s="129"/>
      <c r="C56" s="129"/>
      <c r="D56" s="405"/>
      <c r="E56" s="406"/>
      <c r="F56" s="407"/>
      <c r="G56" s="275"/>
    </row>
    <row r="57" spans="1:7" s="112" customFormat="1" x14ac:dyDescent="0.25">
      <c r="B57" s="131"/>
      <c r="C57" s="131"/>
      <c r="D57" s="405"/>
      <c r="E57" s="406"/>
      <c r="F57" s="407"/>
      <c r="G57" s="275"/>
    </row>
    <row r="58" spans="1:7" s="112" customFormat="1" x14ac:dyDescent="0.25"/>
    <row r="59" spans="1:7" s="112" customFormat="1" x14ac:dyDescent="0.25">
      <c r="B59" s="379" t="s">
        <v>107</v>
      </c>
      <c r="C59" s="380"/>
      <c r="D59" s="380"/>
      <c r="E59" s="380"/>
      <c r="F59" s="381"/>
      <c r="G59" s="121"/>
    </row>
    <row r="60" spans="1:7" s="112" customFormat="1" x14ac:dyDescent="0.25">
      <c r="B60" s="385"/>
      <c r="C60" s="386"/>
      <c r="D60" s="386"/>
      <c r="E60" s="386"/>
      <c r="F60" s="387"/>
      <c r="G60" s="276"/>
    </row>
    <row r="61" spans="1:7" s="112" customFormat="1" x14ac:dyDescent="0.25"/>
    <row r="62" spans="1:7" s="112" customFormat="1" x14ac:dyDescent="0.25">
      <c r="B62" s="379" t="s">
        <v>108</v>
      </c>
      <c r="C62" s="380"/>
      <c r="D62" s="380"/>
      <c r="E62" s="380"/>
      <c r="F62" s="381"/>
      <c r="G62" s="121"/>
    </row>
    <row r="63" spans="1:7" x14ac:dyDescent="0.25">
      <c r="B63" s="385"/>
      <c r="C63" s="386"/>
      <c r="D63" s="386"/>
      <c r="E63" s="386"/>
      <c r="F63" s="387"/>
      <c r="G63" s="276"/>
    </row>
  </sheetData>
  <mergeCells count="47">
    <mergeCell ref="B59:F59"/>
    <mergeCell ref="B60:F60"/>
    <mergeCell ref="B62:F62"/>
    <mergeCell ref="B63:F63"/>
    <mergeCell ref="B51:F51"/>
    <mergeCell ref="B53:F53"/>
    <mergeCell ref="D54:F54"/>
    <mergeCell ref="D55:F55"/>
    <mergeCell ref="D56:F56"/>
    <mergeCell ref="D57:F57"/>
    <mergeCell ref="B50:F50"/>
    <mergeCell ref="B35:F35"/>
    <mergeCell ref="B36:F36"/>
    <mergeCell ref="B37:F37"/>
    <mergeCell ref="B39:F39"/>
    <mergeCell ref="B40:F40"/>
    <mergeCell ref="B43:F43"/>
    <mergeCell ref="B41:F41"/>
    <mergeCell ref="C44:F44"/>
    <mergeCell ref="C45:F45"/>
    <mergeCell ref="C46:F46"/>
    <mergeCell ref="C47:F47"/>
    <mergeCell ref="C48:F48"/>
    <mergeCell ref="B34:F34"/>
    <mergeCell ref="B20:F20"/>
    <mergeCell ref="B21:F21"/>
    <mergeCell ref="B22:F22"/>
    <mergeCell ref="B23:F23"/>
    <mergeCell ref="B25:F25"/>
    <mergeCell ref="B26:F26"/>
    <mergeCell ref="B28:F28"/>
    <mergeCell ref="B29:F29"/>
    <mergeCell ref="B30:F30"/>
    <mergeCell ref="B31:F31"/>
    <mergeCell ref="B33:F33"/>
    <mergeCell ref="C11:F11"/>
    <mergeCell ref="B13:F13"/>
    <mergeCell ref="B14:C14"/>
    <mergeCell ref="D14:F14"/>
    <mergeCell ref="B15:C15"/>
    <mergeCell ref="D15:F15"/>
    <mergeCell ref="C10:F10"/>
    <mergeCell ref="B2:I2"/>
    <mergeCell ref="C6:F6"/>
    <mergeCell ref="C7:F7"/>
    <mergeCell ref="C8:F8"/>
    <mergeCell ref="C9:F9"/>
  </mergeCells>
  <dataValidations disablePrompts="1" count="2">
    <dataValidation type="list" allowBlank="1" showInputMessage="1" showErrorMessage="1"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formula1>"Mise à jour à partir du plan d'études, Nouvelle création"</formula1>
    </dataValidation>
    <dataValidation type="list" allowBlank="1" showInputMessage="1" showErrorMessage="1" sqref="C55:C57 IY55:IY57 SU55:SU57 ACQ55:ACQ57 AMM55:AMM57 AWI55:AWI57 BGE55:BGE57 BQA55:BQA57 BZW55:BZW57 CJS55:CJS57 CTO55:CTO57 DDK55:DDK57 DNG55:DNG57 DXC55:DXC57 EGY55:EGY57 EQU55:EQU57 FAQ55:FAQ57 FKM55:FKM57 FUI55:FUI57 GEE55:GEE57 GOA55:GOA57 GXW55:GXW57 HHS55:HHS57 HRO55:HRO57 IBK55:IBK57 ILG55:ILG57 IVC55:IVC57 JEY55:JEY57 JOU55:JOU57 JYQ55:JYQ57 KIM55:KIM57 KSI55:KSI57 LCE55:LCE57 LMA55:LMA57 LVW55:LVW57 MFS55:MFS57 MPO55:MPO57 MZK55:MZK57 NJG55:NJG57 NTC55:NTC57 OCY55:OCY57 OMU55:OMU57 OWQ55:OWQ57 PGM55:PGM57 PQI55:PQI57 QAE55:QAE57 QKA55:QKA57 QTW55:QTW57 RDS55:RDS57 RNO55:RNO57 RXK55:RXK57 SHG55:SHG57 SRC55:SRC57 TAY55:TAY57 TKU55:TKU57 TUQ55:TUQ57 UEM55:UEM57 UOI55:UOI57 UYE55:UYE57 VIA55:VIA57 VRW55:VRW57 WBS55:WBS57 WLO55:WLO57 WVK55:WVK57 C65591:C65593 IY65591:IY65593 SU65591:SU65593 ACQ65591:ACQ65593 AMM65591:AMM65593 AWI65591:AWI65593 BGE65591:BGE65593 BQA65591:BQA65593 BZW65591:BZW65593 CJS65591:CJS65593 CTO65591:CTO65593 DDK65591:DDK65593 DNG65591:DNG65593 DXC65591:DXC65593 EGY65591:EGY65593 EQU65591:EQU65593 FAQ65591:FAQ65593 FKM65591:FKM65593 FUI65591:FUI65593 GEE65591:GEE65593 GOA65591:GOA65593 GXW65591:GXW65593 HHS65591:HHS65593 HRO65591:HRO65593 IBK65591:IBK65593 ILG65591:ILG65593 IVC65591:IVC65593 JEY65591:JEY65593 JOU65591:JOU65593 JYQ65591:JYQ65593 KIM65591:KIM65593 KSI65591:KSI65593 LCE65591:LCE65593 LMA65591:LMA65593 LVW65591:LVW65593 MFS65591:MFS65593 MPO65591:MPO65593 MZK65591:MZK65593 NJG65591:NJG65593 NTC65591:NTC65593 OCY65591:OCY65593 OMU65591:OMU65593 OWQ65591:OWQ65593 PGM65591:PGM65593 PQI65591:PQI65593 QAE65591:QAE65593 QKA65591:QKA65593 QTW65591:QTW65593 RDS65591:RDS65593 RNO65591:RNO65593 RXK65591:RXK65593 SHG65591:SHG65593 SRC65591:SRC65593 TAY65591:TAY65593 TKU65591:TKU65593 TUQ65591:TUQ65593 UEM65591:UEM65593 UOI65591:UOI65593 UYE65591:UYE65593 VIA65591:VIA65593 VRW65591:VRW65593 WBS65591:WBS65593 WLO65591:WLO65593 WVK65591:WVK65593 C131127:C131129 IY131127:IY131129 SU131127:SU131129 ACQ131127:ACQ131129 AMM131127:AMM131129 AWI131127:AWI131129 BGE131127:BGE131129 BQA131127:BQA131129 BZW131127:BZW131129 CJS131127:CJS131129 CTO131127:CTO131129 DDK131127:DDK131129 DNG131127:DNG131129 DXC131127:DXC131129 EGY131127:EGY131129 EQU131127:EQU131129 FAQ131127:FAQ131129 FKM131127:FKM131129 FUI131127:FUI131129 GEE131127:GEE131129 GOA131127:GOA131129 GXW131127:GXW131129 HHS131127:HHS131129 HRO131127:HRO131129 IBK131127:IBK131129 ILG131127:ILG131129 IVC131127:IVC131129 JEY131127:JEY131129 JOU131127:JOU131129 JYQ131127:JYQ131129 KIM131127:KIM131129 KSI131127:KSI131129 LCE131127:LCE131129 LMA131127:LMA131129 LVW131127:LVW131129 MFS131127:MFS131129 MPO131127:MPO131129 MZK131127:MZK131129 NJG131127:NJG131129 NTC131127:NTC131129 OCY131127:OCY131129 OMU131127:OMU131129 OWQ131127:OWQ131129 PGM131127:PGM131129 PQI131127:PQI131129 QAE131127:QAE131129 QKA131127:QKA131129 QTW131127:QTW131129 RDS131127:RDS131129 RNO131127:RNO131129 RXK131127:RXK131129 SHG131127:SHG131129 SRC131127:SRC131129 TAY131127:TAY131129 TKU131127:TKU131129 TUQ131127:TUQ131129 UEM131127:UEM131129 UOI131127:UOI131129 UYE131127:UYE131129 VIA131127:VIA131129 VRW131127:VRW131129 WBS131127:WBS131129 WLO131127:WLO131129 WVK131127:WVK131129 C196663:C196665 IY196663:IY196665 SU196663:SU196665 ACQ196663:ACQ196665 AMM196663:AMM196665 AWI196663:AWI196665 BGE196663:BGE196665 BQA196663:BQA196665 BZW196663:BZW196665 CJS196663:CJS196665 CTO196663:CTO196665 DDK196663:DDK196665 DNG196663:DNG196665 DXC196663:DXC196665 EGY196663:EGY196665 EQU196663:EQU196665 FAQ196663:FAQ196665 FKM196663:FKM196665 FUI196663:FUI196665 GEE196663:GEE196665 GOA196663:GOA196665 GXW196663:GXW196665 HHS196663:HHS196665 HRO196663:HRO196665 IBK196663:IBK196665 ILG196663:ILG196665 IVC196663:IVC196665 JEY196663:JEY196665 JOU196663:JOU196665 JYQ196663:JYQ196665 KIM196663:KIM196665 KSI196663:KSI196665 LCE196663:LCE196665 LMA196663:LMA196665 LVW196663:LVW196665 MFS196663:MFS196665 MPO196663:MPO196665 MZK196663:MZK196665 NJG196663:NJG196665 NTC196663:NTC196665 OCY196663:OCY196665 OMU196663:OMU196665 OWQ196663:OWQ196665 PGM196663:PGM196665 PQI196663:PQI196665 QAE196663:QAE196665 QKA196663:QKA196665 QTW196663:QTW196665 RDS196663:RDS196665 RNO196663:RNO196665 RXK196663:RXK196665 SHG196663:SHG196665 SRC196663:SRC196665 TAY196663:TAY196665 TKU196663:TKU196665 TUQ196663:TUQ196665 UEM196663:UEM196665 UOI196663:UOI196665 UYE196663:UYE196665 VIA196663:VIA196665 VRW196663:VRW196665 WBS196663:WBS196665 WLO196663:WLO196665 WVK196663:WVK196665 C262199:C262201 IY262199:IY262201 SU262199:SU262201 ACQ262199:ACQ262201 AMM262199:AMM262201 AWI262199:AWI262201 BGE262199:BGE262201 BQA262199:BQA262201 BZW262199:BZW262201 CJS262199:CJS262201 CTO262199:CTO262201 DDK262199:DDK262201 DNG262199:DNG262201 DXC262199:DXC262201 EGY262199:EGY262201 EQU262199:EQU262201 FAQ262199:FAQ262201 FKM262199:FKM262201 FUI262199:FUI262201 GEE262199:GEE262201 GOA262199:GOA262201 GXW262199:GXW262201 HHS262199:HHS262201 HRO262199:HRO262201 IBK262199:IBK262201 ILG262199:ILG262201 IVC262199:IVC262201 JEY262199:JEY262201 JOU262199:JOU262201 JYQ262199:JYQ262201 KIM262199:KIM262201 KSI262199:KSI262201 LCE262199:LCE262201 LMA262199:LMA262201 LVW262199:LVW262201 MFS262199:MFS262201 MPO262199:MPO262201 MZK262199:MZK262201 NJG262199:NJG262201 NTC262199:NTC262201 OCY262199:OCY262201 OMU262199:OMU262201 OWQ262199:OWQ262201 PGM262199:PGM262201 PQI262199:PQI262201 QAE262199:QAE262201 QKA262199:QKA262201 QTW262199:QTW262201 RDS262199:RDS262201 RNO262199:RNO262201 RXK262199:RXK262201 SHG262199:SHG262201 SRC262199:SRC262201 TAY262199:TAY262201 TKU262199:TKU262201 TUQ262199:TUQ262201 UEM262199:UEM262201 UOI262199:UOI262201 UYE262199:UYE262201 VIA262199:VIA262201 VRW262199:VRW262201 WBS262199:WBS262201 WLO262199:WLO262201 WVK262199:WVK262201 C327735:C327737 IY327735:IY327737 SU327735:SU327737 ACQ327735:ACQ327737 AMM327735:AMM327737 AWI327735:AWI327737 BGE327735:BGE327737 BQA327735:BQA327737 BZW327735:BZW327737 CJS327735:CJS327737 CTO327735:CTO327737 DDK327735:DDK327737 DNG327735:DNG327737 DXC327735:DXC327737 EGY327735:EGY327737 EQU327735:EQU327737 FAQ327735:FAQ327737 FKM327735:FKM327737 FUI327735:FUI327737 GEE327735:GEE327737 GOA327735:GOA327737 GXW327735:GXW327737 HHS327735:HHS327737 HRO327735:HRO327737 IBK327735:IBK327737 ILG327735:ILG327737 IVC327735:IVC327737 JEY327735:JEY327737 JOU327735:JOU327737 JYQ327735:JYQ327737 KIM327735:KIM327737 KSI327735:KSI327737 LCE327735:LCE327737 LMA327735:LMA327737 LVW327735:LVW327737 MFS327735:MFS327737 MPO327735:MPO327737 MZK327735:MZK327737 NJG327735:NJG327737 NTC327735:NTC327737 OCY327735:OCY327737 OMU327735:OMU327737 OWQ327735:OWQ327737 PGM327735:PGM327737 PQI327735:PQI327737 QAE327735:QAE327737 QKA327735:QKA327737 QTW327735:QTW327737 RDS327735:RDS327737 RNO327735:RNO327737 RXK327735:RXK327737 SHG327735:SHG327737 SRC327735:SRC327737 TAY327735:TAY327737 TKU327735:TKU327737 TUQ327735:TUQ327737 UEM327735:UEM327737 UOI327735:UOI327737 UYE327735:UYE327737 VIA327735:VIA327737 VRW327735:VRW327737 WBS327735:WBS327737 WLO327735:WLO327737 WVK327735:WVK327737 C393271:C393273 IY393271:IY393273 SU393271:SU393273 ACQ393271:ACQ393273 AMM393271:AMM393273 AWI393271:AWI393273 BGE393271:BGE393273 BQA393271:BQA393273 BZW393271:BZW393273 CJS393271:CJS393273 CTO393271:CTO393273 DDK393271:DDK393273 DNG393271:DNG393273 DXC393271:DXC393273 EGY393271:EGY393273 EQU393271:EQU393273 FAQ393271:FAQ393273 FKM393271:FKM393273 FUI393271:FUI393273 GEE393271:GEE393273 GOA393271:GOA393273 GXW393271:GXW393273 HHS393271:HHS393273 HRO393271:HRO393273 IBK393271:IBK393273 ILG393271:ILG393273 IVC393271:IVC393273 JEY393271:JEY393273 JOU393271:JOU393273 JYQ393271:JYQ393273 KIM393271:KIM393273 KSI393271:KSI393273 LCE393271:LCE393273 LMA393271:LMA393273 LVW393271:LVW393273 MFS393271:MFS393273 MPO393271:MPO393273 MZK393271:MZK393273 NJG393271:NJG393273 NTC393271:NTC393273 OCY393271:OCY393273 OMU393271:OMU393273 OWQ393271:OWQ393273 PGM393271:PGM393273 PQI393271:PQI393273 QAE393271:QAE393273 QKA393271:QKA393273 QTW393271:QTW393273 RDS393271:RDS393273 RNO393271:RNO393273 RXK393271:RXK393273 SHG393271:SHG393273 SRC393271:SRC393273 TAY393271:TAY393273 TKU393271:TKU393273 TUQ393271:TUQ393273 UEM393271:UEM393273 UOI393271:UOI393273 UYE393271:UYE393273 VIA393271:VIA393273 VRW393271:VRW393273 WBS393271:WBS393273 WLO393271:WLO393273 WVK393271:WVK393273 C458807:C458809 IY458807:IY458809 SU458807:SU458809 ACQ458807:ACQ458809 AMM458807:AMM458809 AWI458807:AWI458809 BGE458807:BGE458809 BQA458807:BQA458809 BZW458807:BZW458809 CJS458807:CJS458809 CTO458807:CTO458809 DDK458807:DDK458809 DNG458807:DNG458809 DXC458807:DXC458809 EGY458807:EGY458809 EQU458807:EQU458809 FAQ458807:FAQ458809 FKM458807:FKM458809 FUI458807:FUI458809 GEE458807:GEE458809 GOA458807:GOA458809 GXW458807:GXW458809 HHS458807:HHS458809 HRO458807:HRO458809 IBK458807:IBK458809 ILG458807:ILG458809 IVC458807:IVC458809 JEY458807:JEY458809 JOU458807:JOU458809 JYQ458807:JYQ458809 KIM458807:KIM458809 KSI458807:KSI458809 LCE458807:LCE458809 LMA458807:LMA458809 LVW458807:LVW458809 MFS458807:MFS458809 MPO458807:MPO458809 MZK458807:MZK458809 NJG458807:NJG458809 NTC458807:NTC458809 OCY458807:OCY458809 OMU458807:OMU458809 OWQ458807:OWQ458809 PGM458807:PGM458809 PQI458807:PQI458809 QAE458807:QAE458809 QKA458807:QKA458809 QTW458807:QTW458809 RDS458807:RDS458809 RNO458807:RNO458809 RXK458807:RXK458809 SHG458807:SHG458809 SRC458807:SRC458809 TAY458807:TAY458809 TKU458807:TKU458809 TUQ458807:TUQ458809 UEM458807:UEM458809 UOI458807:UOI458809 UYE458807:UYE458809 VIA458807:VIA458809 VRW458807:VRW458809 WBS458807:WBS458809 WLO458807:WLO458809 WVK458807:WVK458809 C524343:C524345 IY524343:IY524345 SU524343:SU524345 ACQ524343:ACQ524345 AMM524343:AMM524345 AWI524343:AWI524345 BGE524343:BGE524345 BQA524343:BQA524345 BZW524343:BZW524345 CJS524343:CJS524345 CTO524343:CTO524345 DDK524343:DDK524345 DNG524343:DNG524345 DXC524343:DXC524345 EGY524343:EGY524345 EQU524343:EQU524345 FAQ524343:FAQ524345 FKM524343:FKM524345 FUI524343:FUI524345 GEE524343:GEE524345 GOA524343:GOA524345 GXW524343:GXW524345 HHS524343:HHS524345 HRO524343:HRO524345 IBK524343:IBK524345 ILG524343:ILG524345 IVC524343:IVC524345 JEY524343:JEY524345 JOU524343:JOU524345 JYQ524343:JYQ524345 KIM524343:KIM524345 KSI524343:KSI524345 LCE524343:LCE524345 LMA524343:LMA524345 LVW524343:LVW524345 MFS524343:MFS524345 MPO524343:MPO524345 MZK524343:MZK524345 NJG524343:NJG524345 NTC524343:NTC524345 OCY524343:OCY524345 OMU524343:OMU524345 OWQ524343:OWQ524345 PGM524343:PGM524345 PQI524343:PQI524345 QAE524343:QAE524345 QKA524343:QKA524345 QTW524343:QTW524345 RDS524343:RDS524345 RNO524343:RNO524345 RXK524343:RXK524345 SHG524343:SHG524345 SRC524343:SRC524345 TAY524343:TAY524345 TKU524343:TKU524345 TUQ524343:TUQ524345 UEM524343:UEM524345 UOI524343:UOI524345 UYE524343:UYE524345 VIA524343:VIA524345 VRW524343:VRW524345 WBS524343:WBS524345 WLO524343:WLO524345 WVK524343:WVK524345 C589879:C589881 IY589879:IY589881 SU589879:SU589881 ACQ589879:ACQ589881 AMM589879:AMM589881 AWI589879:AWI589881 BGE589879:BGE589881 BQA589879:BQA589881 BZW589879:BZW589881 CJS589879:CJS589881 CTO589879:CTO589881 DDK589879:DDK589881 DNG589879:DNG589881 DXC589879:DXC589881 EGY589879:EGY589881 EQU589879:EQU589881 FAQ589879:FAQ589881 FKM589879:FKM589881 FUI589879:FUI589881 GEE589879:GEE589881 GOA589879:GOA589881 GXW589879:GXW589881 HHS589879:HHS589881 HRO589879:HRO589881 IBK589879:IBK589881 ILG589879:ILG589881 IVC589879:IVC589881 JEY589879:JEY589881 JOU589879:JOU589881 JYQ589879:JYQ589881 KIM589879:KIM589881 KSI589879:KSI589881 LCE589879:LCE589881 LMA589879:LMA589881 LVW589879:LVW589881 MFS589879:MFS589881 MPO589879:MPO589881 MZK589879:MZK589881 NJG589879:NJG589881 NTC589879:NTC589881 OCY589879:OCY589881 OMU589879:OMU589881 OWQ589879:OWQ589881 PGM589879:PGM589881 PQI589879:PQI589881 QAE589879:QAE589881 QKA589879:QKA589881 QTW589879:QTW589881 RDS589879:RDS589881 RNO589879:RNO589881 RXK589879:RXK589881 SHG589879:SHG589881 SRC589879:SRC589881 TAY589879:TAY589881 TKU589879:TKU589881 TUQ589879:TUQ589881 UEM589879:UEM589881 UOI589879:UOI589881 UYE589879:UYE589881 VIA589879:VIA589881 VRW589879:VRW589881 WBS589879:WBS589881 WLO589879:WLO589881 WVK589879:WVK589881 C655415:C655417 IY655415:IY655417 SU655415:SU655417 ACQ655415:ACQ655417 AMM655415:AMM655417 AWI655415:AWI655417 BGE655415:BGE655417 BQA655415:BQA655417 BZW655415:BZW655417 CJS655415:CJS655417 CTO655415:CTO655417 DDK655415:DDK655417 DNG655415:DNG655417 DXC655415:DXC655417 EGY655415:EGY655417 EQU655415:EQU655417 FAQ655415:FAQ655417 FKM655415:FKM655417 FUI655415:FUI655417 GEE655415:GEE655417 GOA655415:GOA655417 GXW655415:GXW655417 HHS655415:HHS655417 HRO655415:HRO655417 IBK655415:IBK655417 ILG655415:ILG655417 IVC655415:IVC655417 JEY655415:JEY655417 JOU655415:JOU655417 JYQ655415:JYQ655417 KIM655415:KIM655417 KSI655415:KSI655417 LCE655415:LCE655417 LMA655415:LMA655417 LVW655415:LVW655417 MFS655415:MFS655417 MPO655415:MPO655417 MZK655415:MZK655417 NJG655415:NJG655417 NTC655415:NTC655417 OCY655415:OCY655417 OMU655415:OMU655417 OWQ655415:OWQ655417 PGM655415:PGM655417 PQI655415:PQI655417 QAE655415:QAE655417 QKA655415:QKA655417 QTW655415:QTW655417 RDS655415:RDS655417 RNO655415:RNO655417 RXK655415:RXK655417 SHG655415:SHG655417 SRC655415:SRC655417 TAY655415:TAY655417 TKU655415:TKU655417 TUQ655415:TUQ655417 UEM655415:UEM655417 UOI655415:UOI655417 UYE655415:UYE655417 VIA655415:VIA655417 VRW655415:VRW655417 WBS655415:WBS655417 WLO655415:WLO655417 WVK655415:WVK655417 C720951:C720953 IY720951:IY720953 SU720951:SU720953 ACQ720951:ACQ720953 AMM720951:AMM720953 AWI720951:AWI720953 BGE720951:BGE720953 BQA720951:BQA720953 BZW720951:BZW720953 CJS720951:CJS720953 CTO720951:CTO720953 DDK720951:DDK720953 DNG720951:DNG720953 DXC720951:DXC720953 EGY720951:EGY720953 EQU720951:EQU720953 FAQ720951:FAQ720953 FKM720951:FKM720953 FUI720951:FUI720953 GEE720951:GEE720953 GOA720951:GOA720953 GXW720951:GXW720953 HHS720951:HHS720953 HRO720951:HRO720953 IBK720951:IBK720953 ILG720951:ILG720953 IVC720951:IVC720953 JEY720951:JEY720953 JOU720951:JOU720953 JYQ720951:JYQ720953 KIM720951:KIM720953 KSI720951:KSI720953 LCE720951:LCE720953 LMA720951:LMA720953 LVW720951:LVW720953 MFS720951:MFS720953 MPO720951:MPO720953 MZK720951:MZK720953 NJG720951:NJG720953 NTC720951:NTC720953 OCY720951:OCY720953 OMU720951:OMU720953 OWQ720951:OWQ720953 PGM720951:PGM720953 PQI720951:PQI720953 QAE720951:QAE720953 QKA720951:QKA720953 QTW720951:QTW720953 RDS720951:RDS720953 RNO720951:RNO720953 RXK720951:RXK720953 SHG720951:SHG720953 SRC720951:SRC720953 TAY720951:TAY720953 TKU720951:TKU720953 TUQ720951:TUQ720953 UEM720951:UEM720953 UOI720951:UOI720953 UYE720951:UYE720953 VIA720951:VIA720953 VRW720951:VRW720953 WBS720951:WBS720953 WLO720951:WLO720953 WVK720951:WVK720953 C786487:C786489 IY786487:IY786489 SU786487:SU786489 ACQ786487:ACQ786489 AMM786487:AMM786489 AWI786487:AWI786489 BGE786487:BGE786489 BQA786487:BQA786489 BZW786487:BZW786489 CJS786487:CJS786489 CTO786487:CTO786489 DDK786487:DDK786489 DNG786487:DNG786489 DXC786487:DXC786489 EGY786487:EGY786489 EQU786487:EQU786489 FAQ786487:FAQ786489 FKM786487:FKM786489 FUI786487:FUI786489 GEE786487:GEE786489 GOA786487:GOA786489 GXW786487:GXW786489 HHS786487:HHS786489 HRO786487:HRO786489 IBK786487:IBK786489 ILG786487:ILG786489 IVC786487:IVC786489 JEY786487:JEY786489 JOU786487:JOU786489 JYQ786487:JYQ786489 KIM786487:KIM786489 KSI786487:KSI786489 LCE786487:LCE786489 LMA786487:LMA786489 LVW786487:LVW786489 MFS786487:MFS786489 MPO786487:MPO786489 MZK786487:MZK786489 NJG786487:NJG786489 NTC786487:NTC786489 OCY786487:OCY786489 OMU786487:OMU786489 OWQ786487:OWQ786489 PGM786487:PGM786489 PQI786487:PQI786489 QAE786487:QAE786489 QKA786487:QKA786489 QTW786487:QTW786489 RDS786487:RDS786489 RNO786487:RNO786489 RXK786487:RXK786489 SHG786487:SHG786489 SRC786487:SRC786489 TAY786487:TAY786489 TKU786487:TKU786489 TUQ786487:TUQ786489 UEM786487:UEM786489 UOI786487:UOI786489 UYE786487:UYE786489 VIA786487:VIA786489 VRW786487:VRW786489 WBS786487:WBS786489 WLO786487:WLO786489 WVK786487:WVK786489 C852023:C852025 IY852023:IY852025 SU852023:SU852025 ACQ852023:ACQ852025 AMM852023:AMM852025 AWI852023:AWI852025 BGE852023:BGE852025 BQA852023:BQA852025 BZW852023:BZW852025 CJS852023:CJS852025 CTO852023:CTO852025 DDK852023:DDK852025 DNG852023:DNG852025 DXC852023:DXC852025 EGY852023:EGY852025 EQU852023:EQU852025 FAQ852023:FAQ852025 FKM852023:FKM852025 FUI852023:FUI852025 GEE852023:GEE852025 GOA852023:GOA852025 GXW852023:GXW852025 HHS852023:HHS852025 HRO852023:HRO852025 IBK852023:IBK852025 ILG852023:ILG852025 IVC852023:IVC852025 JEY852023:JEY852025 JOU852023:JOU852025 JYQ852023:JYQ852025 KIM852023:KIM852025 KSI852023:KSI852025 LCE852023:LCE852025 LMA852023:LMA852025 LVW852023:LVW852025 MFS852023:MFS852025 MPO852023:MPO852025 MZK852023:MZK852025 NJG852023:NJG852025 NTC852023:NTC852025 OCY852023:OCY852025 OMU852023:OMU852025 OWQ852023:OWQ852025 PGM852023:PGM852025 PQI852023:PQI852025 QAE852023:QAE852025 QKA852023:QKA852025 QTW852023:QTW852025 RDS852023:RDS852025 RNO852023:RNO852025 RXK852023:RXK852025 SHG852023:SHG852025 SRC852023:SRC852025 TAY852023:TAY852025 TKU852023:TKU852025 TUQ852023:TUQ852025 UEM852023:UEM852025 UOI852023:UOI852025 UYE852023:UYE852025 VIA852023:VIA852025 VRW852023:VRW852025 WBS852023:WBS852025 WLO852023:WLO852025 WVK852023:WVK852025 C917559:C917561 IY917559:IY917561 SU917559:SU917561 ACQ917559:ACQ917561 AMM917559:AMM917561 AWI917559:AWI917561 BGE917559:BGE917561 BQA917559:BQA917561 BZW917559:BZW917561 CJS917559:CJS917561 CTO917559:CTO917561 DDK917559:DDK917561 DNG917559:DNG917561 DXC917559:DXC917561 EGY917559:EGY917561 EQU917559:EQU917561 FAQ917559:FAQ917561 FKM917559:FKM917561 FUI917559:FUI917561 GEE917559:GEE917561 GOA917559:GOA917561 GXW917559:GXW917561 HHS917559:HHS917561 HRO917559:HRO917561 IBK917559:IBK917561 ILG917559:ILG917561 IVC917559:IVC917561 JEY917559:JEY917561 JOU917559:JOU917561 JYQ917559:JYQ917561 KIM917559:KIM917561 KSI917559:KSI917561 LCE917559:LCE917561 LMA917559:LMA917561 LVW917559:LVW917561 MFS917559:MFS917561 MPO917559:MPO917561 MZK917559:MZK917561 NJG917559:NJG917561 NTC917559:NTC917561 OCY917559:OCY917561 OMU917559:OMU917561 OWQ917559:OWQ917561 PGM917559:PGM917561 PQI917559:PQI917561 QAE917559:QAE917561 QKA917559:QKA917561 QTW917559:QTW917561 RDS917559:RDS917561 RNO917559:RNO917561 RXK917559:RXK917561 SHG917559:SHG917561 SRC917559:SRC917561 TAY917559:TAY917561 TKU917559:TKU917561 TUQ917559:TUQ917561 UEM917559:UEM917561 UOI917559:UOI917561 UYE917559:UYE917561 VIA917559:VIA917561 VRW917559:VRW917561 WBS917559:WBS917561 WLO917559:WLO917561 WVK917559:WVK917561 C983095:C983097 IY983095:IY983097 SU983095:SU983097 ACQ983095:ACQ983097 AMM983095:AMM983097 AWI983095:AWI983097 BGE983095:BGE983097 BQA983095:BQA983097 BZW983095:BZW983097 CJS983095:CJS983097 CTO983095:CTO983097 DDK983095:DDK983097 DNG983095:DNG983097 DXC983095:DXC983097 EGY983095:EGY983097 EQU983095:EQU983097 FAQ983095:FAQ983097 FKM983095:FKM983097 FUI983095:FUI983097 GEE983095:GEE983097 GOA983095:GOA983097 GXW983095:GXW983097 HHS983095:HHS983097 HRO983095:HRO983097 IBK983095:IBK983097 ILG983095:ILG983097 IVC983095:IVC983097 JEY983095:JEY983097 JOU983095:JOU983097 JYQ983095:JYQ983097 KIM983095:KIM983097 KSI983095:KSI983097 LCE983095:LCE983097 LMA983095:LMA983097 LVW983095:LVW983097 MFS983095:MFS983097 MPO983095:MPO983097 MZK983095:MZK983097 NJG983095:NJG983097 NTC983095:NTC983097 OCY983095:OCY983097 OMU983095:OMU983097 OWQ983095:OWQ983097 PGM983095:PGM983097 PQI983095:PQI983097 QAE983095:QAE983097 QKA983095:QKA983097 QTW983095:QTW983097 RDS983095:RDS983097 RNO983095:RNO983097 RXK983095:RXK983097 SHG983095:SHG983097 SRC983095:SRC983097 TAY983095:TAY983097 TKU983095:TKU983097 TUQ983095:TUQ983097 UEM983095:UEM983097 UOI983095:UOI983097 UYE983095:UYE983097 VIA983095:VIA983097 VRW983095:VRW983097 WBS983095:WBS983097 WLO983095:WLO983097 WVK983095:WVK983097">
      <formula1>"Académique, Professionnel, Associatif, Autre"</formula1>
    </dataValidation>
  </dataValidations>
  <hyperlinks>
    <hyperlink ref="B1" location="'Schéma d''enseignement'!G41" display="Shéma d'enseignement"/>
  </hyperlinks>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tabColor rgb="FF00B050"/>
  </sheetPr>
  <dimension ref="A1:G74"/>
  <sheetViews>
    <sheetView view="pageBreakPreview" zoomScaleNormal="100" zoomScaleSheetLayoutView="100" zoomScalePageLayoutView="40" workbookViewId="0">
      <selection activeCell="B1" sqref="B1"/>
    </sheetView>
  </sheetViews>
  <sheetFormatPr baseColWidth="10" defaultColWidth="8.85546875" defaultRowHeight="15.75" x14ac:dyDescent="0.25"/>
  <cols>
    <col min="1" max="1" width="1.42578125" style="108" customWidth="1"/>
    <col min="2" max="2" width="23.85546875" style="108" customWidth="1"/>
    <col min="3" max="3" width="18.5703125" style="108" customWidth="1"/>
    <col min="4" max="4" width="11.85546875" style="108" customWidth="1"/>
    <col min="5" max="5" width="8" style="108" customWidth="1"/>
    <col min="6" max="6" width="24.140625" style="108" customWidth="1"/>
    <col min="7" max="7" width="2.42578125" style="108" hidden="1" customWidth="1"/>
    <col min="8" max="8" width="14.5703125" style="108" customWidth="1"/>
    <col min="9" max="16384" width="8.85546875" style="108"/>
  </cols>
  <sheetData>
    <row r="1" spans="1:6" x14ac:dyDescent="0.25">
      <c r="B1" s="309" t="s">
        <v>857</v>
      </c>
    </row>
    <row r="2" spans="1:6" ht="22.35" customHeight="1" x14ac:dyDescent="0.25">
      <c r="B2" s="109" t="s">
        <v>616</v>
      </c>
      <c r="C2" s="110"/>
      <c r="D2" s="110"/>
      <c r="E2" s="110"/>
      <c r="F2" s="110"/>
    </row>
    <row r="3" spans="1:6" s="112" customFormat="1" x14ac:dyDescent="0.25"/>
    <row r="4" spans="1:6" s="112" customFormat="1" x14ac:dyDescent="0.25">
      <c r="B4" s="201" t="s">
        <v>87</v>
      </c>
      <c r="C4" s="539" t="s">
        <v>465</v>
      </c>
      <c r="D4" s="539"/>
      <c r="E4" s="539"/>
      <c r="F4" s="539"/>
    </row>
    <row r="5" spans="1:6" s="112" customFormat="1" x14ac:dyDescent="0.25">
      <c r="B5" s="202" t="s">
        <v>88</v>
      </c>
      <c r="C5" s="539" t="s">
        <v>466</v>
      </c>
      <c r="D5" s="539"/>
      <c r="E5" s="539"/>
      <c r="F5" s="539"/>
    </row>
    <row r="6" spans="1:6" s="112" customFormat="1" x14ac:dyDescent="0.25">
      <c r="B6" s="201" t="s">
        <v>89</v>
      </c>
      <c r="C6" s="539" t="s">
        <v>590</v>
      </c>
      <c r="D6" s="539"/>
      <c r="E6" s="539"/>
      <c r="F6" s="539"/>
    </row>
    <row r="7" spans="1:6" s="112" customFormat="1" x14ac:dyDescent="0.25">
      <c r="B7" s="201" t="s">
        <v>90</v>
      </c>
      <c r="C7" s="539" t="s">
        <v>589</v>
      </c>
      <c r="D7" s="539"/>
      <c r="E7" s="539"/>
      <c r="F7" s="539"/>
    </row>
    <row r="8" spans="1:6" s="112" customFormat="1" x14ac:dyDescent="0.25">
      <c r="B8" s="201" t="s">
        <v>588</v>
      </c>
      <c r="C8" s="539" t="s">
        <v>79</v>
      </c>
      <c r="D8" s="539"/>
      <c r="E8" s="539"/>
      <c r="F8" s="539"/>
    </row>
    <row r="9" spans="1:6" s="112" customFormat="1" x14ac:dyDescent="0.25">
      <c r="B9" s="201" t="s">
        <v>91</v>
      </c>
      <c r="C9" s="539">
        <v>5</v>
      </c>
      <c r="D9" s="539"/>
      <c r="E9" s="539"/>
      <c r="F9" s="539"/>
    </row>
    <row r="10" spans="1:6" s="112" customFormat="1" x14ac:dyDescent="0.25"/>
    <row r="11" spans="1:6" s="112" customFormat="1" x14ac:dyDescent="0.25">
      <c r="B11" s="396" t="s">
        <v>587</v>
      </c>
      <c r="C11" s="396"/>
      <c r="D11" s="396"/>
      <c r="E11" s="396"/>
      <c r="F11" s="396"/>
    </row>
    <row r="12" spans="1:6" s="112" customFormat="1" x14ac:dyDescent="0.25">
      <c r="B12" s="396" t="s">
        <v>93</v>
      </c>
      <c r="C12" s="396"/>
      <c r="D12" s="396" t="s">
        <v>94</v>
      </c>
      <c r="E12" s="396"/>
      <c r="F12" s="396"/>
    </row>
    <row r="13" spans="1:6" s="112" customFormat="1" ht="95.45" customHeight="1" x14ac:dyDescent="0.25">
      <c r="B13" s="557" t="s">
        <v>617</v>
      </c>
      <c r="C13" s="557"/>
      <c r="D13" s="558" t="s">
        <v>618</v>
      </c>
      <c r="E13" s="558"/>
      <c r="F13" s="558"/>
    </row>
    <row r="14" spans="1:6" s="112" customFormat="1" x14ac:dyDescent="0.25">
      <c r="A14" s="200"/>
      <c r="B14" s="396" t="s">
        <v>585</v>
      </c>
      <c r="C14" s="396"/>
      <c r="D14" s="396" t="s">
        <v>584</v>
      </c>
      <c r="E14" s="396"/>
      <c r="F14" s="396"/>
    </row>
    <row r="15" spans="1:6" s="112" customFormat="1" x14ac:dyDescent="0.25">
      <c r="B15" s="539" t="s">
        <v>619</v>
      </c>
      <c r="C15" s="539"/>
      <c r="D15" s="539" t="s">
        <v>617</v>
      </c>
      <c r="E15" s="539"/>
      <c r="F15" s="539"/>
    </row>
    <row r="16" spans="1:6" s="112" customFormat="1" x14ac:dyDescent="0.25"/>
    <row r="17" spans="2:6" s="112" customFormat="1" x14ac:dyDescent="0.25">
      <c r="B17" s="396" t="s">
        <v>620</v>
      </c>
      <c r="C17" s="396"/>
      <c r="D17" s="396"/>
      <c r="E17" s="396"/>
      <c r="F17" s="396"/>
    </row>
    <row r="18" spans="2:6" s="112" customFormat="1" x14ac:dyDescent="0.25">
      <c r="B18" s="559" t="s">
        <v>582</v>
      </c>
      <c r="C18" s="559"/>
      <c r="D18" s="559"/>
      <c r="E18" s="559" t="s">
        <v>93</v>
      </c>
      <c r="F18" s="559"/>
    </row>
    <row r="19" spans="2:6" s="112" customFormat="1" x14ac:dyDescent="0.25">
      <c r="B19" s="555" t="s">
        <v>619</v>
      </c>
      <c r="C19" s="555"/>
      <c r="D19" s="555"/>
      <c r="E19" s="556"/>
      <c r="F19" s="555"/>
    </row>
    <row r="20" spans="2:6" s="112" customFormat="1" x14ac:dyDescent="0.25">
      <c r="B20" s="405"/>
      <c r="C20" s="406"/>
      <c r="D20" s="407"/>
      <c r="E20" s="556"/>
      <c r="F20" s="555"/>
    </row>
    <row r="21" spans="2:6" s="112" customFormat="1" x14ac:dyDescent="0.25">
      <c r="B21" s="560"/>
      <c r="C21" s="560"/>
      <c r="D21" s="560"/>
      <c r="E21" s="561"/>
      <c r="F21" s="560"/>
    </row>
    <row r="22" spans="2:6" s="112" customFormat="1" x14ac:dyDescent="0.25">
      <c r="B22" s="560"/>
      <c r="C22" s="560"/>
      <c r="D22" s="560"/>
      <c r="E22" s="561"/>
      <c r="F22" s="560"/>
    </row>
    <row r="23" spans="2:6" s="112" customFormat="1" x14ac:dyDescent="0.25">
      <c r="B23" s="118" t="s">
        <v>95</v>
      </c>
      <c r="C23" s="118" t="s">
        <v>96</v>
      </c>
      <c r="D23" s="118" t="s">
        <v>97</v>
      </c>
      <c r="E23" s="118" t="s">
        <v>98</v>
      </c>
      <c r="F23" s="118" t="s">
        <v>99</v>
      </c>
    </row>
    <row r="24" spans="2:6" s="112" customFormat="1" ht="31.5" x14ac:dyDescent="0.25">
      <c r="B24" s="199" t="s">
        <v>615</v>
      </c>
      <c r="C24" s="236">
        <v>42</v>
      </c>
      <c r="D24" s="236">
        <v>3</v>
      </c>
      <c r="E24" s="236">
        <v>6</v>
      </c>
      <c r="F24" s="237" t="s">
        <v>621</v>
      </c>
    </row>
    <row r="25" spans="2:6" s="112" customFormat="1" ht="24.75" customHeight="1" x14ac:dyDescent="0.25"/>
    <row r="26" spans="2:6" s="112" customFormat="1" x14ac:dyDescent="0.25">
      <c r="B26" s="379" t="s">
        <v>100</v>
      </c>
      <c r="C26" s="380"/>
      <c r="D26" s="380"/>
      <c r="E26" s="380"/>
      <c r="F26" s="381"/>
    </row>
    <row r="27" spans="2:6" s="112" customFormat="1" ht="60.6" customHeight="1" x14ac:dyDescent="0.25">
      <c r="B27" s="562" t="s">
        <v>622</v>
      </c>
      <c r="C27" s="563"/>
      <c r="D27" s="563"/>
      <c r="E27" s="563"/>
      <c r="F27" s="564"/>
    </row>
    <row r="28" spans="2:6" s="112" customFormat="1" x14ac:dyDescent="0.25">
      <c r="B28" s="379" t="s">
        <v>101</v>
      </c>
      <c r="C28" s="380"/>
      <c r="D28" s="380"/>
      <c r="E28" s="380"/>
      <c r="F28" s="381"/>
    </row>
    <row r="29" spans="2:6" s="112" customFormat="1" ht="79.7" customHeight="1" x14ac:dyDescent="0.25">
      <c r="B29" s="565" t="s">
        <v>623</v>
      </c>
      <c r="C29" s="566"/>
      <c r="D29" s="566"/>
      <c r="E29" s="566"/>
      <c r="F29" s="567"/>
    </row>
    <row r="30" spans="2:6" s="112" customFormat="1" ht="49.7" customHeight="1" x14ac:dyDescent="0.25"/>
    <row r="31" spans="2:6" s="112" customFormat="1" ht="17.25" customHeight="1" x14ac:dyDescent="0.25">
      <c r="B31" s="379" t="s">
        <v>573</v>
      </c>
      <c r="C31" s="380"/>
      <c r="D31" s="380"/>
      <c r="E31" s="380"/>
      <c r="F31" s="381"/>
    </row>
    <row r="32" spans="2:6" s="112" customFormat="1" ht="36.75" customHeight="1" x14ac:dyDescent="0.25">
      <c r="B32" s="385" t="s">
        <v>390</v>
      </c>
      <c r="C32" s="444"/>
      <c r="D32" s="444"/>
      <c r="E32" s="444"/>
      <c r="F32" s="445"/>
    </row>
    <row r="33" spans="2:6" s="112" customFormat="1" ht="15.75" customHeight="1" x14ac:dyDescent="0.25"/>
    <row r="34" spans="2:6" s="112" customFormat="1" ht="22.5" customHeight="1" x14ac:dyDescent="0.25">
      <c r="B34" s="379" t="s">
        <v>571</v>
      </c>
      <c r="C34" s="380"/>
      <c r="D34" s="380"/>
      <c r="E34" s="380"/>
      <c r="F34" s="381"/>
    </row>
    <row r="35" spans="2:6" s="112" customFormat="1" x14ac:dyDescent="0.25">
      <c r="B35" s="385" t="s">
        <v>558</v>
      </c>
      <c r="C35" s="444"/>
      <c r="D35" s="444"/>
      <c r="E35" s="444"/>
      <c r="F35" s="445"/>
    </row>
    <row r="36" spans="2:6" s="112" customFormat="1" ht="15.75" customHeight="1" x14ac:dyDescent="0.25"/>
    <row r="37" spans="2:6" s="112" customFormat="1" ht="36.75" customHeight="1" x14ac:dyDescent="0.25">
      <c r="B37" s="568" t="s">
        <v>569</v>
      </c>
      <c r="C37" s="569"/>
      <c r="D37" s="569"/>
      <c r="E37" s="569"/>
      <c r="F37" s="570"/>
    </row>
    <row r="38" spans="2:6" s="112" customFormat="1" x14ac:dyDescent="0.25">
      <c r="B38" s="128" t="s">
        <v>568</v>
      </c>
      <c r="C38" s="541" t="s">
        <v>567</v>
      </c>
      <c r="D38" s="541"/>
      <c r="E38" s="541"/>
      <c r="F38" s="541"/>
    </row>
    <row r="39" spans="2:6" s="112" customFormat="1" ht="33.75" customHeight="1" x14ac:dyDescent="0.25">
      <c r="B39" s="198" t="s">
        <v>558</v>
      </c>
      <c r="C39" s="571" t="s">
        <v>566</v>
      </c>
      <c r="D39" s="571"/>
      <c r="E39" s="571"/>
      <c r="F39" s="571"/>
    </row>
    <row r="40" spans="2:6" s="112" customFormat="1" x14ac:dyDescent="0.25">
      <c r="B40" s="197"/>
      <c r="C40" s="149"/>
      <c r="D40" s="149"/>
      <c r="E40" s="149"/>
      <c r="F40" s="150"/>
    </row>
    <row r="41" spans="2:6" s="112" customFormat="1" x14ac:dyDescent="0.25">
      <c r="B41" s="379" t="s">
        <v>561</v>
      </c>
      <c r="C41" s="380"/>
      <c r="D41" s="380"/>
      <c r="E41" s="380"/>
      <c r="F41" s="381"/>
    </row>
    <row r="42" spans="2:6" s="112" customFormat="1" x14ac:dyDescent="0.25">
      <c r="B42" s="128" t="s">
        <v>560</v>
      </c>
      <c r="C42" s="541" t="s">
        <v>559</v>
      </c>
      <c r="D42" s="541"/>
      <c r="E42" s="541"/>
      <c r="F42" s="541"/>
    </row>
    <row r="43" spans="2:6" s="112" customFormat="1" x14ac:dyDescent="0.25">
      <c r="B43" s="572" t="s">
        <v>558</v>
      </c>
      <c r="C43" s="542" t="s">
        <v>12</v>
      </c>
      <c r="D43" s="542"/>
      <c r="E43" s="542"/>
      <c r="F43" s="542"/>
    </row>
    <row r="44" spans="2:6" s="112" customFormat="1" x14ac:dyDescent="0.25">
      <c r="B44" s="573"/>
      <c r="C44" s="542" t="s">
        <v>15</v>
      </c>
      <c r="D44" s="542"/>
      <c r="E44" s="542"/>
      <c r="F44" s="542"/>
    </row>
    <row r="45" spans="2:6" s="112" customFormat="1" x14ac:dyDescent="0.25">
      <c r="B45" s="573"/>
      <c r="C45" s="575" t="s">
        <v>472</v>
      </c>
      <c r="D45" s="386"/>
      <c r="E45" s="386"/>
      <c r="F45" s="387"/>
    </row>
    <row r="46" spans="2:6" s="112" customFormat="1" x14ac:dyDescent="0.25">
      <c r="B46" s="573"/>
      <c r="C46" s="575" t="s">
        <v>506</v>
      </c>
      <c r="D46" s="386"/>
      <c r="E46" s="386"/>
      <c r="F46" s="387"/>
    </row>
    <row r="47" spans="2:6" s="112" customFormat="1" x14ac:dyDescent="0.25">
      <c r="B47" s="574"/>
      <c r="C47" s="542" t="s">
        <v>528</v>
      </c>
      <c r="D47" s="542"/>
      <c r="E47" s="542"/>
      <c r="F47" s="542"/>
    </row>
    <row r="48" spans="2:6" s="112" customFormat="1" ht="13.7" customHeight="1" x14ac:dyDescent="0.25">
      <c r="B48" s="195"/>
      <c r="C48" s="195"/>
      <c r="D48" s="195"/>
      <c r="E48" s="195"/>
      <c r="F48" s="195"/>
    </row>
    <row r="49" spans="2:6" s="112" customFormat="1" ht="16.5" customHeight="1" x14ac:dyDescent="0.25">
      <c r="B49" s="576" t="s">
        <v>105</v>
      </c>
      <c r="C49" s="576"/>
      <c r="D49" s="576"/>
      <c r="E49" s="576"/>
      <c r="F49" s="576"/>
    </row>
    <row r="50" spans="2:6" s="112" customFormat="1" ht="313.35000000000002" customHeight="1" x14ac:dyDescent="0.25">
      <c r="B50" s="577" t="s">
        <v>624</v>
      </c>
      <c r="C50" s="566"/>
      <c r="D50" s="566"/>
      <c r="E50" s="566"/>
      <c r="F50" s="567"/>
    </row>
    <row r="51" spans="2:6" s="112" customFormat="1" ht="29.45" customHeight="1" x14ac:dyDescent="0.25">
      <c r="B51" s="238"/>
      <c r="C51" s="239"/>
      <c r="D51" s="239"/>
      <c r="E51" s="239"/>
      <c r="F51" s="239"/>
    </row>
    <row r="52" spans="2:6" s="112" customFormat="1" ht="12" customHeight="1" x14ac:dyDescent="0.25"/>
    <row r="53" spans="2:6" s="112" customFormat="1" ht="16.7" customHeight="1" x14ac:dyDescent="0.25">
      <c r="B53" s="379" t="s">
        <v>473</v>
      </c>
      <c r="C53" s="380"/>
      <c r="D53" s="380"/>
      <c r="E53" s="380"/>
      <c r="F53" s="381"/>
    </row>
    <row r="54" spans="2:6" s="112" customFormat="1" ht="48.6" customHeight="1" x14ac:dyDescent="0.25">
      <c r="B54" s="240" t="s">
        <v>546</v>
      </c>
      <c r="C54" s="578" t="s">
        <v>625</v>
      </c>
      <c r="D54" s="579"/>
      <c r="E54" s="579"/>
      <c r="F54" s="579"/>
    </row>
    <row r="55" spans="2:6" s="112" customFormat="1" x14ac:dyDescent="0.25"/>
    <row r="56" spans="2:6" s="112" customFormat="1" x14ac:dyDescent="0.25">
      <c r="B56" s="379" t="s">
        <v>106</v>
      </c>
      <c r="C56" s="380"/>
      <c r="D56" s="380"/>
      <c r="E56" s="380"/>
      <c r="F56" s="381"/>
    </row>
    <row r="57" spans="2:6" s="112" customFormat="1" ht="32.450000000000003" customHeight="1" x14ac:dyDescent="0.25">
      <c r="B57" s="385" t="s">
        <v>388</v>
      </c>
      <c r="C57" s="444"/>
      <c r="D57" s="444"/>
      <c r="E57" s="444"/>
      <c r="F57" s="445"/>
    </row>
    <row r="58" spans="2:6" s="112" customFormat="1" ht="12" customHeight="1" x14ac:dyDescent="0.25"/>
    <row r="59" spans="2:6" s="112" customFormat="1" ht="34.5" customHeight="1" x14ac:dyDescent="0.25">
      <c r="B59" s="447" t="s">
        <v>240</v>
      </c>
      <c r="C59" s="448"/>
      <c r="D59" s="448"/>
      <c r="E59" s="448"/>
      <c r="F59" s="449"/>
    </row>
    <row r="60" spans="2:6" s="112" customFormat="1" x14ac:dyDescent="0.25">
      <c r="B60" s="128" t="s">
        <v>241</v>
      </c>
      <c r="C60" s="128" t="s">
        <v>242</v>
      </c>
      <c r="D60" s="379" t="s">
        <v>243</v>
      </c>
      <c r="E60" s="380"/>
      <c r="F60" s="381"/>
    </row>
    <row r="61" spans="2:6" s="112" customFormat="1" ht="48.6" customHeight="1" x14ac:dyDescent="0.25">
      <c r="B61" s="131" t="s">
        <v>626</v>
      </c>
      <c r="C61" s="131" t="s">
        <v>281</v>
      </c>
      <c r="D61" s="385" t="s">
        <v>627</v>
      </c>
      <c r="E61" s="444"/>
      <c r="F61" s="445"/>
    </row>
    <row r="62" spans="2:6" s="112" customFormat="1" ht="15" customHeight="1" x14ac:dyDescent="0.25">
      <c r="B62" s="131"/>
      <c r="C62" s="131"/>
      <c r="D62" s="405"/>
      <c r="E62" s="406"/>
      <c r="F62" s="407"/>
    </row>
    <row r="63" spans="2:6" s="112" customFormat="1" ht="9" customHeight="1" x14ac:dyDescent="0.25"/>
    <row r="64" spans="2:6" s="112" customFormat="1" ht="33" customHeight="1" x14ac:dyDescent="0.25">
      <c r="B64" s="447" t="s">
        <v>543</v>
      </c>
      <c r="C64" s="448"/>
      <c r="D64" s="448"/>
      <c r="E64" s="448"/>
      <c r="F64" s="449"/>
    </row>
    <row r="65" spans="2:7" s="112" customFormat="1" x14ac:dyDescent="0.25">
      <c r="B65" s="128" t="s">
        <v>542</v>
      </c>
      <c r="C65" s="128" t="s">
        <v>541</v>
      </c>
      <c r="D65" s="379" t="s">
        <v>540</v>
      </c>
      <c r="E65" s="380"/>
      <c r="F65" s="381"/>
    </row>
    <row r="66" spans="2:7" s="112" customFormat="1" ht="32.450000000000003" customHeight="1" x14ac:dyDescent="0.25">
      <c r="B66" s="131"/>
      <c r="C66" s="240" t="s">
        <v>539</v>
      </c>
      <c r="D66" s="385" t="s">
        <v>628</v>
      </c>
      <c r="E66" s="444"/>
      <c r="F66" s="445"/>
    </row>
    <row r="67" spans="2:7" s="112" customFormat="1" x14ac:dyDescent="0.25">
      <c r="B67" s="131"/>
      <c r="C67" s="131"/>
      <c r="D67" s="405"/>
      <c r="E67" s="406"/>
      <c r="F67" s="407"/>
    </row>
    <row r="68" spans="2:7" s="112" customFormat="1" x14ac:dyDescent="0.25">
      <c r="B68" s="131"/>
      <c r="C68" s="131"/>
      <c r="D68" s="405"/>
      <c r="E68" s="406"/>
      <c r="F68" s="407"/>
    </row>
    <row r="69" spans="2:7" s="112" customFormat="1" ht="16.350000000000001" customHeight="1" x14ac:dyDescent="0.25"/>
    <row r="70" spans="2:7" s="112" customFormat="1" x14ac:dyDescent="0.25">
      <c r="B70" s="379" t="s">
        <v>107</v>
      </c>
      <c r="C70" s="380"/>
      <c r="D70" s="380"/>
      <c r="E70" s="380"/>
      <c r="F70" s="381"/>
    </row>
    <row r="71" spans="2:7" s="112" customFormat="1" ht="76.349999999999994" customHeight="1" x14ac:dyDescent="0.25">
      <c r="B71" s="565" t="s">
        <v>629</v>
      </c>
      <c r="C71" s="580"/>
      <c r="D71" s="580"/>
      <c r="E71" s="580"/>
      <c r="F71" s="581"/>
    </row>
    <row r="72" spans="2:7" s="112" customFormat="1" ht="15.6" customHeight="1" x14ac:dyDescent="0.25"/>
    <row r="73" spans="2:7" s="112" customFormat="1" x14ac:dyDescent="0.25"/>
    <row r="74" spans="2:7" s="112" customFormat="1" x14ac:dyDescent="0.25">
      <c r="B74" s="108"/>
      <c r="C74" s="108"/>
      <c r="D74" s="108"/>
      <c r="E74" s="108"/>
      <c r="F74" s="108"/>
      <c r="G74" s="108"/>
    </row>
  </sheetData>
  <mergeCells count="62">
    <mergeCell ref="D66:F66"/>
    <mergeCell ref="D67:F67"/>
    <mergeCell ref="D68:F68"/>
    <mergeCell ref="B70:F70"/>
    <mergeCell ref="B71:F71"/>
    <mergeCell ref="D65:F65"/>
    <mergeCell ref="B49:F49"/>
    <mergeCell ref="B50:F50"/>
    <mergeCell ref="B53:F53"/>
    <mergeCell ref="C54:F54"/>
    <mergeCell ref="B56:F56"/>
    <mergeCell ref="B57:F57"/>
    <mergeCell ref="B59:F59"/>
    <mergeCell ref="D60:F60"/>
    <mergeCell ref="D61:F61"/>
    <mergeCell ref="D62:F62"/>
    <mergeCell ref="B64:F64"/>
    <mergeCell ref="C42:F42"/>
    <mergeCell ref="B43:B47"/>
    <mergeCell ref="C43:F43"/>
    <mergeCell ref="C44:F44"/>
    <mergeCell ref="C45:F45"/>
    <mergeCell ref="C46:F46"/>
    <mergeCell ref="C47:F47"/>
    <mergeCell ref="B41:F41"/>
    <mergeCell ref="B26:F26"/>
    <mergeCell ref="B27:F27"/>
    <mergeCell ref="B28:F28"/>
    <mergeCell ref="B29:F29"/>
    <mergeCell ref="B31:F31"/>
    <mergeCell ref="B32:F32"/>
    <mergeCell ref="B34:F34"/>
    <mergeCell ref="B35:F35"/>
    <mergeCell ref="B37:F37"/>
    <mergeCell ref="C38:F38"/>
    <mergeCell ref="C39:F39"/>
    <mergeCell ref="B20:D20"/>
    <mergeCell ref="E20:F20"/>
    <mergeCell ref="B21:D21"/>
    <mergeCell ref="E21:F21"/>
    <mergeCell ref="B22:D22"/>
    <mergeCell ref="E22:F22"/>
    <mergeCell ref="B19:D19"/>
    <mergeCell ref="E19:F19"/>
    <mergeCell ref="B11:F11"/>
    <mergeCell ref="B12:C12"/>
    <mergeCell ref="D12:F12"/>
    <mergeCell ref="B13:C13"/>
    <mergeCell ref="D13:F13"/>
    <mergeCell ref="B14:C14"/>
    <mergeCell ref="D14:F14"/>
    <mergeCell ref="B15:C15"/>
    <mergeCell ref="D15:F15"/>
    <mergeCell ref="B17:F17"/>
    <mergeCell ref="B18:D18"/>
    <mergeCell ref="E18:F18"/>
    <mergeCell ref="C9:F9"/>
    <mergeCell ref="C4:F4"/>
    <mergeCell ref="C5:F5"/>
    <mergeCell ref="C6:F6"/>
    <mergeCell ref="C7:F7"/>
    <mergeCell ref="C8:F8"/>
  </mergeCells>
  <dataValidations count="3">
    <dataValidation type="list" allowBlank="1" showInputMessage="1" showErrorMessage="1" sqref="C66:C68">
      <formula1>"Formation, Certification, Stage / projet, Autre"</formula1>
    </dataValidation>
    <dataValidation type="list" allowBlank="1" showInputMessage="1" showErrorMessage="1" sqref="C61:C62">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r:id="rId1" location="'Schéma d''enseignement'!A1"/>
  </hyperlinks>
  <pageMargins left="0.7" right="0.7" top="0.75" bottom="0.75" header="0.3" footer="0.3"/>
  <pageSetup paperSize="9" orientation="portrait" horizontalDpi="300" verticalDpi="300"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tabColor rgb="FF00B050"/>
  </sheetPr>
  <dimension ref="A1:AMK78"/>
  <sheetViews>
    <sheetView view="pageBreakPreview" zoomScaleNormal="85" zoomScaleSheetLayoutView="100" zoomScalePageLayoutView="115" workbookViewId="0">
      <selection activeCell="B1" sqref="B1"/>
    </sheetView>
  </sheetViews>
  <sheetFormatPr baseColWidth="10" defaultColWidth="8.85546875" defaultRowHeight="15.75" x14ac:dyDescent="0.25"/>
  <cols>
    <col min="1" max="1" width="8.85546875" style="212"/>
    <col min="2" max="2" width="22.42578125" style="212" customWidth="1"/>
    <col min="3" max="4" width="8.85546875" style="212"/>
    <col min="5" max="5" width="10.42578125" style="212" customWidth="1"/>
    <col min="6" max="6" width="22.140625" style="212" customWidth="1"/>
    <col min="7" max="7" width="3" style="212" customWidth="1"/>
    <col min="8" max="1025" width="8.85546875" style="212"/>
    <col min="1026" max="16384" width="8.85546875" style="211"/>
  </cols>
  <sheetData>
    <row r="1" spans="1:1024" x14ac:dyDescent="0.25">
      <c r="A1" s="211"/>
      <c r="B1" s="309" t="s">
        <v>857</v>
      </c>
      <c r="C1" s="211"/>
      <c r="D1" s="211"/>
      <c r="E1" s="211"/>
      <c r="F1" s="211"/>
      <c r="G1" s="211"/>
      <c r="H1" s="211"/>
      <c r="I1" s="211"/>
      <c r="J1" s="211"/>
      <c r="K1" s="211"/>
      <c r="L1" s="211"/>
      <c r="M1" s="211"/>
      <c r="N1" s="211"/>
      <c r="O1" s="211"/>
      <c r="P1" s="211"/>
      <c r="Q1" s="211"/>
      <c r="R1" s="211"/>
      <c r="S1" s="211"/>
      <c r="T1" s="211"/>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c r="AU1" s="211"/>
      <c r="AV1" s="211"/>
      <c r="AW1" s="211"/>
      <c r="AX1" s="211"/>
      <c r="AY1" s="211"/>
      <c r="AZ1" s="211"/>
      <c r="BA1" s="211"/>
      <c r="BB1" s="211"/>
      <c r="BC1" s="211"/>
      <c r="BD1" s="211"/>
      <c r="BE1" s="211"/>
      <c r="BF1" s="211"/>
      <c r="BG1" s="211"/>
      <c r="BH1" s="211"/>
      <c r="BI1" s="211"/>
      <c r="BJ1" s="211"/>
      <c r="BK1" s="211"/>
      <c r="BL1" s="211"/>
      <c r="BM1" s="211"/>
      <c r="BN1" s="211"/>
      <c r="BO1" s="211"/>
      <c r="BP1" s="211"/>
      <c r="BQ1" s="211"/>
      <c r="BR1" s="211"/>
      <c r="BS1" s="211"/>
      <c r="BT1" s="211"/>
      <c r="BU1" s="211"/>
      <c r="BV1" s="211"/>
      <c r="BW1" s="211"/>
      <c r="BX1" s="211"/>
      <c r="BY1" s="211"/>
      <c r="BZ1" s="211"/>
      <c r="CA1" s="211"/>
      <c r="CB1" s="211"/>
      <c r="CC1" s="211"/>
      <c r="CD1" s="211"/>
      <c r="CE1" s="211"/>
      <c r="CF1" s="211"/>
      <c r="CG1" s="211"/>
      <c r="CH1" s="211"/>
      <c r="CI1" s="211"/>
      <c r="CJ1" s="211"/>
      <c r="CK1" s="211"/>
      <c r="CL1" s="211"/>
      <c r="CM1" s="211"/>
      <c r="CN1" s="211"/>
      <c r="CO1" s="211"/>
      <c r="CP1" s="211"/>
      <c r="CQ1" s="211"/>
      <c r="CR1" s="211"/>
      <c r="CS1" s="211"/>
      <c r="CT1" s="211"/>
      <c r="CU1" s="211"/>
      <c r="CV1" s="211"/>
      <c r="CW1" s="211"/>
      <c r="CX1" s="211"/>
      <c r="CY1" s="211"/>
      <c r="CZ1" s="211"/>
      <c r="DA1" s="211"/>
      <c r="DB1" s="211"/>
      <c r="DC1" s="211"/>
      <c r="DD1" s="211"/>
      <c r="DE1" s="211"/>
      <c r="DF1" s="211"/>
      <c r="DG1" s="211"/>
      <c r="DH1" s="211"/>
      <c r="DI1" s="211"/>
      <c r="DJ1" s="211"/>
      <c r="DK1" s="211"/>
      <c r="DL1" s="211"/>
      <c r="DM1" s="211"/>
      <c r="DN1" s="211"/>
      <c r="DO1" s="211"/>
      <c r="DP1" s="211"/>
      <c r="DQ1" s="211"/>
      <c r="DR1" s="211"/>
      <c r="DS1" s="211"/>
      <c r="DT1" s="211"/>
      <c r="DU1" s="211"/>
      <c r="DV1" s="211"/>
      <c r="DW1" s="211"/>
      <c r="DX1" s="211"/>
      <c r="DY1" s="211"/>
      <c r="DZ1" s="211"/>
      <c r="EA1" s="211"/>
      <c r="EB1" s="211"/>
      <c r="EC1" s="211"/>
      <c r="ED1" s="211"/>
      <c r="EE1" s="211"/>
      <c r="EF1" s="211"/>
      <c r="EG1" s="211"/>
      <c r="EH1" s="211"/>
      <c r="EI1" s="211"/>
      <c r="EJ1" s="211"/>
      <c r="EK1" s="211"/>
      <c r="EL1" s="211"/>
      <c r="EM1" s="211"/>
      <c r="EN1" s="211"/>
      <c r="EO1" s="211"/>
      <c r="EP1" s="211"/>
      <c r="EQ1" s="211"/>
      <c r="ER1" s="211"/>
      <c r="ES1" s="211"/>
      <c r="ET1" s="211"/>
      <c r="EU1" s="211"/>
      <c r="EV1" s="211"/>
      <c r="EW1" s="211"/>
      <c r="EX1" s="211"/>
      <c r="EY1" s="211"/>
      <c r="EZ1" s="211"/>
      <c r="FA1" s="211"/>
      <c r="FB1" s="211"/>
      <c r="FC1" s="211"/>
      <c r="FD1" s="211"/>
      <c r="FE1" s="211"/>
      <c r="FF1" s="211"/>
      <c r="FG1" s="211"/>
      <c r="FH1" s="211"/>
      <c r="FI1" s="211"/>
      <c r="FJ1" s="211"/>
      <c r="FK1" s="211"/>
      <c r="FL1" s="211"/>
      <c r="FM1" s="211"/>
      <c r="FN1" s="211"/>
      <c r="FO1" s="211"/>
      <c r="FP1" s="211"/>
      <c r="FQ1" s="211"/>
      <c r="FR1" s="211"/>
      <c r="FS1" s="211"/>
      <c r="FT1" s="211"/>
      <c r="FU1" s="211"/>
      <c r="FV1" s="211"/>
      <c r="FW1" s="211"/>
      <c r="FX1" s="211"/>
      <c r="FY1" s="211"/>
      <c r="FZ1" s="211"/>
      <c r="GA1" s="211"/>
      <c r="GB1" s="211"/>
      <c r="GC1" s="211"/>
      <c r="GD1" s="211"/>
      <c r="GE1" s="211"/>
      <c r="GF1" s="211"/>
      <c r="GG1" s="211"/>
      <c r="GH1" s="211"/>
      <c r="GI1" s="211"/>
      <c r="GJ1" s="211"/>
      <c r="GK1" s="211"/>
      <c r="GL1" s="211"/>
      <c r="GM1" s="211"/>
      <c r="GN1" s="211"/>
      <c r="GO1" s="211"/>
      <c r="GP1" s="211"/>
      <c r="GQ1" s="211"/>
      <c r="GR1" s="211"/>
      <c r="GS1" s="211"/>
      <c r="GT1" s="211"/>
      <c r="GU1" s="211"/>
      <c r="GV1" s="211"/>
      <c r="GW1" s="211"/>
      <c r="GX1" s="211"/>
      <c r="GY1" s="211"/>
      <c r="GZ1" s="211"/>
      <c r="HA1" s="211"/>
      <c r="HB1" s="211"/>
      <c r="HC1" s="211"/>
      <c r="HD1" s="211"/>
      <c r="HE1" s="211"/>
      <c r="HF1" s="211"/>
      <c r="HG1" s="211"/>
      <c r="HH1" s="211"/>
      <c r="HI1" s="211"/>
      <c r="HJ1" s="211"/>
      <c r="HK1" s="211"/>
      <c r="HL1" s="211"/>
      <c r="HM1" s="211"/>
      <c r="HN1" s="211"/>
      <c r="HO1" s="211"/>
      <c r="HP1" s="211"/>
      <c r="HQ1" s="211"/>
      <c r="HR1" s="211"/>
      <c r="HS1" s="211"/>
      <c r="HT1" s="211"/>
      <c r="HU1" s="211"/>
      <c r="HV1" s="211"/>
      <c r="HW1" s="211"/>
      <c r="HX1" s="211"/>
      <c r="HY1" s="211"/>
      <c r="HZ1" s="211"/>
      <c r="IA1" s="211"/>
      <c r="IB1" s="211"/>
      <c r="IC1" s="211"/>
      <c r="ID1" s="211"/>
      <c r="IE1" s="211"/>
      <c r="IF1" s="211"/>
      <c r="IG1" s="211"/>
      <c r="IH1" s="211"/>
      <c r="II1" s="211"/>
      <c r="IJ1" s="211"/>
      <c r="IK1" s="211"/>
      <c r="IL1" s="211"/>
      <c r="IM1" s="211"/>
      <c r="IN1" s="211"/>
      <c r="IO1" s="211"/>
      <c r="IP1" s="211"/>
      <c r="IQ1" s="211"/>
      <c r="IR1" s="211"/>
      <c r="IS1" s="211"/>
      <c r="IT1" s="211"/>
      <c r="IU1" s="211"/>
      <c r="IV1" s="211"/>
      <c r="IW1" s="211"/>
      <c r="IX1" s="211"/>
      <c r="IY1" s="211"/>
      <c r="IZ1" s="211"/>
      <c r="JA1" s="211"/>
      <c r="JB1" s="211"/>
      <c r="JC1" s="211"/>
      <c r="JD1" s="211"/>
      <c r="JE1" s="211"/>
      <c r="JF1" s="211"/>
      <c r="JG1" s="211"/>
      <c r="JH1" s="211"/>
      <c r="JI1" s="211"/>
      <c r="JJ1" s="211"/>
      <c r="JK1" s="211"/>
      <c r="JL1" s="211"/>
      <c r="JM1" s="211"/>
      <c r="JN1" s="211"/>
      <c r="JO1" s="211"/>
      <c r="JP1" s="211"/>
      <c r="JQ1" s="211"/>
      <c r="JR1" s="211"/>
      <c r="JS1" s="211"/>
      <c r="JT1" s="211"/>
      <c r="JU1" s="211"/>
      <c r="JV1" s="211"/>
      <c r="JW1" s="211"/>
      <c r="JX1" s="211"/>
      <c r="JY1" s="211"/>
      <c r="JZ1" s="211"/>
      <c r="KA1" s="211"/>
      <c r="KB1" s="211"/>
      <c r="KC1" s="211"/>
      <c r="KD1" s="211"/>
      <c r="KE1" s="211"/>
      <c r="KF1" s="211"/>
      <c r="KG1" s="211"/>
      <c r="KH1" s="211"/>
      <c r="KI1" s="211"/>
      <c r="KJ1" s="211"/>
      <c r="KK1" s="211"/>
      <c r="KL1" s="211"/>
      <c r="KM1" s="211"/>
      <c r="KN1" s="211"/>
      <c r="KO1" s="211"/>
      <c r="KP1" s="211"/>
      <c r="KQ1" s="211"/>
      <c r="KR1" s="211"/>
      <c r="KS1" s="211"/>
      <c r="KT1" s="211"/>
      <c r="KU1" s="211"/>
      <c r="KV1" s="211"/>
      <c r="KW1" s="211"/>
      <c r="KX1" s="211"/>
      <c r="KY1" s="211"/>
      <c r="KZ1" s="211"/>
      <c r="LA1" s="211"/>
      <c r="LB1" s="211"/>
      <c r="LC1" s="211"/>
      <c r="LD1" s="211"/>
      <c r="LE1" s="211"/>
      <c r="LF1" s="211"/>
      <c r="LG1" s="211"/>
      <c r="LH1" s="211"/>
      <c r="LI1" s="211"/>
      <c r="LJ1" s="211"/>
      <c r="LK1" s="211"/>
      <c r="LL1" s="211"/>
      <c r="LM1" s="211"/>
      <c r="LN1" s="211"/>
      <c r="LO1" s="211"/>
      <c r="LP1" s="211"/>
      <c r="LQ1" s="211"/>
      <c r="LR1" s="211"/>
      <c r="LS1" s="211"/>
      <c r="LT1" s="211"/>
      <c r="LU1" s="211"/>
      <c r="LV1" s="211"/>
      <c r="LW1" s="211"/>
      <c r="LX1" s="211"/>
      <c r="LY1" s="211"/>
      <c r="LZ1" s="211"/>
      <c r="MA1" s="211"/>
      <c r="MB1" s="211"/>
      <c r="MC1" s="211"/>
      <c r="MD1" s="211"/>
      <c r="ME1" s="211"/>
      <c r="MF1" s="211"/>
      <c r="MG1" s="211"/>
      <c r="MH1" s="211"/>
      <c r="MI1" s="211"/>
      <c r="MJ1" s="211"/>
      <c r="MK1" s="211"/>
      <c r="ML1" s="211"/>
      <c r="MM1" s="211"/>
      <c r="MN1" s="211"/>
      <c r="MO1" s="211"/>
      <c r="MP1" s="211"/>
      <c r="MQ1" s="211"/>
      <c r="MR1" s="211"/>
      <c r="MS1" s="211"/>
      <c r="MT1" s="211"/>
      <c r="MU1" s="211"/>
      <c r="MV1" s="211"/>
      <c r="MW1" s="211"/>
      <c r="MX1" s="211"/>
      <c r="MY1" s="211"/>
      <c r="MZ1" s="211"/>
      <c r="NA1" s="211"/>
      <c r="NB1" s="211"/>
      <c r="NC1" s="211"/>
      <c r="ND1" s="211"/>
      <c r="NE1" s="211"/>
      <c r="NF1" s="211"/>
      <c r="NG1" s="211"/>
      <c r="NH1" s="211"/>
      <c r="NI1" s="211"/>
      <c r="NJ1" s="211"/>
      <c r="NK1" s="211"/>
      <c r="NL1" s="211"/>
      <c r="NM1" s="211"/>
      <c r="NN1" s="211"/>
      <c r="NO1" s="211"/>
      <c r="NP1" s="211"/>
      <c r="NQ1" s="211"/>
      <c r="NR1" s="211"/>
      <c r="NS1" s="211"/>
      <c r="NT1" s="211"/>
      <c r="NU1" s="211"/>
      <c r="NV1" s="211"/>
      <c r="NW1" s="211"/>
      <c r="NX1" s="211"/>
      <c r="NY1" s="211"/>
      <c r="NZ1" s="211"/>
      <c r="OA1" s="211"/>
      <c r="OB1" s="211"/>
      <c r="OC1" s="211"/>
      <c r="OD1" s="211"/>
      <c r="OE1" s="211"/>
      <c r="OF1" s="211"/>
      <c r="OG1" s="211"/>
      <c r="OH1" s="211"/>
      <c r="OI1" s="211"/>
      <c r="OJ1" s="211"/>
      <c r="OK1" s="211"/>
      <c r="OL1" s="211"/>
      <c r="OM1" s="211"/>
      <c r="ON1" s="211"/>
      <c r="OO1" s="211"/>
      <c r="OP1" s="211"/>
      <c r="OQ1" s="211"/>
      <c r="OR1" s="211"/>
      <c r="OS1" s="211"/>
      <c r="OT1" s="211"/>
      <c r="OU1" s="211"/>
      <c r="OV1" s="211"/>
      <c r="OW1" s="211"/>
      <c r="OX1" s="211"/>
      <c r="OY1" s="211"/>
      <c r="OZ1" s="211"/>
      <c r="PA1" s="211"/>
      <c r="PB1" s="211"/>
      <c r="PC1" s="211"/>
      <c r="PD1" s="211"/>
      <c r="PE1" s="211"/>
      <c r="PF1" s="211"/>
      <c r="PG1" s="211"/>
      <c r="PH1" s="211"/>
      <c r="PI1" s="211"/>
      <c r="PJ1" s="211"/>
      <c r="PK1" s="211"/>
      <c r="PL1" s="211"/>
      <c r="PM1" s="211"/>
      <c r="PN1" s="211"/>
      <c r="PO1" s="211"/>
      <c r="PP1" s="211"/>
      <c r="PQ1" s="211"/>
      <c r="PR1" s="211"/>
      <c r="PS1" s="211"/>
      <c r="PT1" s="211"/>
      <c r="PU1" s="211"/>
      <c r="PV1" s="211"/>
      <c r="PW1" s="211"/>
      <c r="PX1" s="211"/>
      <c r="PY1" s="211"/>
      <c r="PZ1" s="211"/>
      <c r="QA1" s="211"/>
      <c r="QB1" s="211"/>
      <c r="QC1" s="211"/>
      <c r="QD1" s="211"/>
      <c r="QE1" s="211"/>
      <c r="QF1" s="211"/>
      <c r="QG1" s="211"/>
      <c r="QH1" s="211"/>
      <c r="QI1" s="211"/>
      <c r="QJ1" s="211"/>
      <c r="QK1" s="211"/>
      <c r="QL1" s="211"/>
      <c r="QM1" s="211"/>
      <c r="QN1" s="211"/>
      <c r="QO1" s="211"/>
      <c r="QP1" s="211"/>
      <c r="QQ1" s="211"/>
      <c r="QR1" s="211"/>
      <c r="QS1" s="211"/>
      <c r="QT1" s="211"/>
      <c r="QU1" s="211"/>
      <c r="QV1" s="211"/>
      <c r="QW1" s="211"/>
      <c r="QX1" s="211"/>
      <c r="QY1" s="211"/>
      <c r="QZ1" s="211"/>
      <c r="RA1" s="211"/>
      <c r="RB1" s="211"/>
      <c r="RC1" s="211"/>
      <c r="RD1" s="211"/>
      <c r="RE1" s="211"/>
      <c r="RF1" s="211"/>
      <c r="RG1" s="211"/>
      <c r="RH1" s="211"/>
      <c r="RI1" s="211"/>
      <c r="RJ1" s="211"/>
      <c r="RK1" s="211"/>
      <c r="RL1" s="211"/>
      <c r="RM1" s="211"/>
      <c r="RN1" s="211"/>
      <c r="RO1" s="211"/>
      <c r="RP1" s="211"/>
      <c r="RQ1" s="211"/>
      <c r="RR1" s="211"/>
      <c r="RS1" s="211"/>
      <c r="RT1" s="211"/>
      <c r="RU1" s="211"/>
      <c r="RV1" s="211"/>
      <c r="RW1" s="211"/>
      <c r="RX1" s="211"/>
      <c r="RY1" s="211"/>
      <c r="RZ1" s="211"/>
      <c r="SA1" s="211"/>
      <c r="SB1" s="211"/>
      <c r="SC1" s="211"/>
      <c r="SD1" s="211"/>
      <c r="SE1" s="211"/>
      <c r="SF1" s="211"/>
      <c r="SG1" s="211"/>
      <c r="SH1" s="211"/>
      <c r="SI1" s="211"/>
      <c r="SJ1" s="211"/>
      <c r="SK1" s="211"/>
      <c r="SL1" s="211"/>
      <c r="SM1" s="211"/>
      <c r="SN1" s="211"/>
      <c r="SO1" s="211"/>
      <c r="SP1" s="211"/>
      <c r="SQ1" s="211"/>
      <c r="SR1" s="211"/>
      <c r="SS1" s="211"/>
      <c r="ST1" s="211"/>
      <c r="SU1" s="211"/>
      <c r="SV1" s="211"/>
      <c r="SW1" s="211"/>
      <c r="SX1" s="211"/>
      <c r="SY1" s="211"/>
      <c r="SZ1" s="211"/>
      <c r="TA1" s="211"/>
      <c r="TB1" s="211"/>
      <c r="TC1" s="211"/>
      <c r="TD1" s="211"/>
      <c r="TE1" s="211"/>
      <c r="TF1" s="211"/>
      <c r="TG1" s="211"/>
      <c r="TH1" s="211"/>
      <c r="TI1" s="211"/>
      <c r="TJ1" s="211"/>
      <c r="TK1" s="211"/>
      <c r="TL1" s="211"/>
      <c r="TM1" s="211"/>
      <c r="TN1" s="211"/>
      <c r="TO1" s="211"/>
      <c r="TP1" s="211"/>
      <c r="TQ1" s="211"/>
      <c r="TR1" s="211"/>
      <c r="TS1" s="211"/>
      <c r="TT1" s="211"/>
      <c r="TU1" s="211"/>
      <c r="TV1" s="211"/>
      <c r="TW1" s="211"/>
      <c r="TX1" s="211"/>
      <c r="TY1" s="211"/>
      <c r="TZ1" s="211"/>
      <c r="UA1" s="211"/>
      <c r="UB1" s="211"/>
      <c r="UC1" s="211"/>
      <c r="UD1" s="211"/>
      <c r="UE1" s="211"/>
      <c r="UF1" s="211"/>
      <c r="UG1" s="211"/>
      <c r="UH1" s="211"/>
      <c r="UI1" s="211"/>
      <c r="UJ1" s="211"/>
      <c r="UK1" s="211"/>
      <c r="UL1" s="211"/>
      <c r="UM1" s="211"/>
      <c r="UN1" s="211"/>
      <c r="UO1" s="211"/>
      <c r="UP1" s="211"/>
      <c r="UQ1" s="211"/>
      <c r="UR1" s="211"/>
      <c r="US1" s="211"/>
      <c r="UT1" s="211"/>
      <c r="UU1" s="211"/>
      <c r="UV1" s="211"/>
      <c r="UW1" s="211"/>
      <c r="UX1" s="211"/>
      <c r="UY1" s="211"/>
      <c r="UZ1" s="211"/>
      <c r="VA1" s="211"/>
      <c r="VB1" s="211"/>
      <c r="VC1" s="211"/>
      <c r="VD1" s="211"/>
      <c r="VE1" s="211"/>
      <c r="VF1" s="211"/>
      <c r="VG1" s="211"/>
      <c r="VH1" s="211"/>
      <c r="VI1" s="211"/>
      <c r="VJ1" s="211"/>
      <c r="VK1" s="211"/>
      <c r="VL1" s="211"/>
      <c r="VM1" s="211"/>
      <c r="VN1" s="211"/>
      <c r="VO1" s="211"/>
      <c r="VP1" s="211"/>
      <c r="VQ1" s="211"/>
      <c r="VR1" s="211"/>
      <c r="VS1" s="211"/>
      <c r="VT1" s="211"/>
      <c r="VU1" s="211"/>
      <c r="VV1" s="211"/>
      <c r="VW1" s="211"/>
      <c r="VX1" s="211"/>
      <c r="VY1" s="211"/>
      <c r="VZ1" s="211"/>
      <c r="WA1" s="211"/>
      <c r="WB1" s="211"/>
      <c r="WC1" s="211"/>
      <c r="WD1" s="211"/>
      <c r="WE1" s="211"/>
      <c r="WF1" s="211"/>
      <c r="WG1" s="211"/>
      <c r="WH1" s="211"/>
      <c r="WI1" s="211"/>
      <c r="WJ1" s="211"/>
      <c r="WK1" s="211"/>
      <c r="WL1" s="211"/>
      <c r="WM1" s="211"/>
      <c r="WN1" s="211"/>
      <c r="WO1" s="211"/>
      <c r="WP1" s="211"/>
      <c r="WQ1" s="211"/>
      <c r="WR1" s="211"/>
      <c r="WS1" s="211"/>
      <c r="WT1" s="211"/>
      <c r="WU1" s="211"/>
      <c r="WV1" s="211"/>
      <c r="WW1" s="211"/>
      <c r="WX1" s="211"/>
      <c r="WY1" s="211"/>
      <c r="WZ1" s="211"/>
      <c r="XA1" s="211"/>
      <c r="XB1" s="211"/>
      <c r="XC1" s="211"/>
      <c r="XD1" s="211"/>
      <c r="XE1" s="211"/>
      <c r="XF1" s="211"/>
      <c r="XG1" s="211"/>
      <c r="XH1" s="211"/>
      <c r="XI1" s="211"/>
      <c r="XJ1" s="211"/>
      <c r="XK1" s="211"/>
      <c r="XL1" s="211"/>
      <c r="XM1" s="211"/>
      <c r="XN1" s="211"/>
      <c r="XO1" s="211"/>
      <c r="XP1" s="211"/>
      <c r="XQ1" s="211"/>
      <c r="XR1" s="211"/>
      <c r="XS1" s="211"/>
      <c r="XT1" s="211"/>
      <c r="XU1" s="211"/>
      <c r="XV1" s="211"/>
      <c r="XW1" s="211"/>
      <c r="XX1" s="211"/>
      <c r="XY1" s="211"/>
      <c r="XZ1" s="211"/>
      <c r="YA1" s="211"/>
      <c r="YB1" s="211"/>
      <c r="YC1" s="211"/>
      <c r="YD1" s="211"/>
      <c r="YE1" s="211"/>
      <c r="YF1" s="211"/>
      <c r="YG1" s="211"/>
      <c r="YH1" s="211"/>
      <c r="YI1" s="211"/>
      <c r="YJ1" s="211"/>
      <c r="YK1" s="211"/>
      <c r="YL1" s="211"/>
      <c r="YM1" s="211"/>
      <c r="YN1" s="211"/>
      <c r="YO1" s="211"/>
      <c r="YP1" s="211"/>
      <c r="YQ1" s="211"/>
      <c r="YR1" s="211"/>
      <c r="YS1" s="211"/>
      <c r="YT1" s="211"/>
      <c r="YU1" s="211"/>
      <c r="YV1" s="211"/>
      <c r="YW1" s="211"/>
      <c r="YX1" s="211"/>
      <c r="YY1" s="211"/>
      <c r="YZ1" s="211"/>
      <c r="ZA1" s="211"/>
      <c r="ZB1" s="211"/>
      <c r="ZC1" s="211"/>
      <c r="ZD1" s="211"/>
      <c r="ZE1" s="211"/>
      <c r="ZF1" s="211"/>
      <c r="ZG1" s="211"/>
      <c r="ZH1" s="211"/>
      <c r="ZI1" s="211"/>
      <c r="ZJ1" s="211"/>
      <c r="ZK1" s="211"/>
      <c r="ZL1" s="211"/>
      <c r="ZM1" s="211"/>
      <c r="ZN1" s="211"/>
      <c r="ZO1" s="211"/>
      <c r="ZP1" s="211"/>
      <c r="ZQ1" s="211"/>
      <c r="ZR1" s="211"/>
      <c r="ZS1" s="211"/>
      <c r="ZT1" s="211"/>
      <c r="ZU1" s="211"/>
      <c r="ZV1" s="211"/>
      <c r="ZW1" s="211"/>
      <c r="ZX1" s="211"/>
      <c r="ZY1" s="211"/>
      <c r="ZZ1" s="211"/>
      <c r="AAA1" s="211"/>
      <c r="AAB1" s="211"/>
      <c r="AAC1" s="211"/>
      <c r="AAD1" s="211"/>
      <c r="AAE1" s="211"/>
      <c r="AAF1" s="211"/>
      <c r="AAG1" s="211"/>
      <c r="AAH1" s="211"/>
      <c r="AAI1" s="211"/>
      <c r="AAJ1" s="211"/>
      <c r="AAK1" s="211"/>
      <c r="AAL1" s="211"/>
      <c r="AAM1" s="211"/>
      <c r="AAN1" s="211"/>
      <c r="AAO1" s="211"/>
      <c r="AAP1" s="211"/>
      <c r="AAQ1" s="211"/>
      <c r="AAR1" s="211"/>
      <c r="AAS1" s="211"/>
      <c r="AAT1" s="211"/>
      <c r="AAU1" s="211"/>
      <c r="AAV1" s="211"/>
      <c r="AAW1" s="211"/>
      <c r="AAX1" s="211"/>
      <c r="AAY1" s="211"/>
      <c r="AAZ1" s="211"/>
      <c r="ABA1" s="211"/>
      <c r="ABB1" s="211"/>
      <c r="ABC1" s="211"/>
      <c r="ABD1" s="211"/>
      <c r="ABE1" s="211"/>
      <c r="ABF1" s="211"/>
      <c r="ABG1" s="211"/>
      <c r="ABH1" s="211"/>
      <c r="ABI1" s="211"/>
      <c r="ABJ1" s="211"/>
      <c r="ABK1" s="211"/>
      <c r="ABL1" s="211"/>
      <c r="ABM1" s="211"/>
      <c r="ABN1" s="211"/>
      <c r="ABO1" s="211"/>
      <c r="ABP1" s="211"/>
      <c r="ABQ1" s="211"/>
      <c r="ABR1" s="211"/>
      <c r="ABS1" s="211"/>
      <c r="ABT1" s="211"/>
      <c r="ABU1" s="211"/>
      <c r="ABV1" s="211"/>
      <c r="ABW1" s="211"/>
      <c r="ABX1" s="211"/>
      <c r="ABY1" s="211"/>
      <c r="ABZ1" s="211"/>
      <c r="ACA1" s="211"/>
      <c r="ACB1" s="211"/>
      <c r="ACC1" s="211"/>
      <c r="ACD1" s="211"/>
      <c r="ACE1" s="211"/>
      <c r="ACF1" s="211"/>
      <c r="ACG1" s="211"/>
      <c r="ACH1" s="211"/>
      <c r="ACI1" s="211"/>
      <c r="ACJ1" s="211"/>
      <c r="ACK1" s="211"/>
      <c r="ACL1" s="211"/>
      <c r="ACM1" s="211"/>
      <c r="ACN1" s="211"/>
      <c r="ACO1" s="211"/>
      <c r="ACP1" s="211"/>
      <c r="ACQ1" s="211"/>
      <c r="ACR1" s="211"/>
      <c r="ACS1" s="211"/>
      <c r="ACT1" s="211"/>
      <c r="ACU1" s="211"/>
      <c r="ACV1" s="211"/>
      <c r="ACW1" s="211"/>
      <c r="ACX1" s="211"/>
      <c r="ACY1" s="211"/>
      <c r="ACZ1" s="211"/>
      <c r="ADA1" s="211"/>
      <c r="ADB1" s="211"/>
      <c r="ADC1" s="211"/>
      <c r="ADD1" s="211"/>
      <c r="ADE1" s="211"/>
      <c r="ADF1" s="211"/>
      <c r="ADG1" s="211"/>
      <c r="ADH1" s="211"/>
      <c r="ADI1" s="211"/>
      <c r="ADJ1" s="211"/>
      <c r="ADK1" s="211"/>
      <c r="ADL1" s="211"/>
      <c r="ADM1" s="211"/>
      <c r="ADN1" s="211"/>
      <c r="ADO1" s="211"/>
      <c r="ADP1" s="211"/>
      <c r="ADQ1" s="211"/>
      <c r="ADR1" s="211"/>
      <c r="ADS1" s="211"/>
      <c r="ADT1" s="211"/>
      <c r="ADU1" s="211"/>
      <c r="ADV1" s="211"/>
      <c r="ADW1" s="211"/>
      <c r="ADX1" s="211"/>
      <c r="ADY1" s="211"/>
      <c r="ADZ1" s="211"/>
      <c r="AEA1" s="211"/>
      <c r="AEB1" s="211"/>
      <c r="AEC1" s="211"/>
      <c r="AED1" s="211"/>
      <c r="AEE1" s="211"/>
      <c r="AEF1" s="211"/>
      <c r="AEG1" s="211"/>
      <c r="AEH1" s="211"/>
      <c r="AEI1" s="211"/>
      <c r="AEJ1" s="211"/>
      <c r="AEK1" s="211"/>
      <c r="AEL1" s="211"/>
      <c r="AEM1" s="211"/>
      <c r="AEN1" s="211"/>
      <c r="AEO1" s="211"/>
      <c r="AEP1" s="211"/>
      <c r="AEQ1" s="211"/>
      <c r="AER1" s="211"/>
      <c r="AES1" s="211"/>
      <c r="AET1" s="211"/>
      <c r="AEU1" s="211"/>
      <c r="AEV1" s="211"/>
      <c r="AEW1" s="211"/>
      <c r="AEX1" s="211"/>
      <c r="AEY1" s="211"/>
      <c r="AEZ1" s="211"/>
      <c r="AFA1" s="211"/>
      <c r="AFB1" s="211"/>
      <c r="AFC1" s="211"/>
      <c r="AFD1" s="211"/>
      <c r="AFE1" s="211"/>
      <c r="AFF1" s="211"/>
      <c r="AFG1" s="211"/>
      <c r="AFH1" s="211"/>
      <c r="AFI1" s="211"/>
      <c r="AFJ1" s="211"/>
      <c r="AFK1" s="211"/>
      <c r="AFL1" s="211"/>
      <c r="AFM1" s="211"/>
      <c r="AFN1" s="211"/>
      <c r="AFO1" s="211"/>
      <c r="AFP1" s="211"/>
      <c r="AFQ1" s="211"/>
      <c r="AFR1" s="211"/>
      <c r="AFS1" s="211"/>
      <c r="AFT1" s="211"/>
      <c r="AFU1" s="211"/>
      <c r="AFV1" s="211"/>
      <c r="AFW1" s="211"/>
      <c r="AFX1" s="211"/>
      <c r="AFY1" s="211"/>
      <c r="AFZ1" s="211"/>
      <c r="AGA1" s="211"/>
      <c r="AGB1" s="211"/>
      <c r="AGC1" s="211"/>
      <c r="AGD1" s="211"/>
      <c r="AGE1" s="211"/>
      <c r="AGF1" s="211"/>
      <c r="AGG1" s="211"/>
      <c r="AGH1" s="211"/>
      <c r="AGI1" s="211"/>
      <c r="AGJ1" s="211"/>
      <c r="AGK1" s="211"/>
      <c r="AGL1" s="211"/>
      <c r="AGM1" s="211"/>
      <c r="AGN1" s="211"/>
      <c r="AGO1" s="211"/>
      <c r="AGP1" s="211"/>
      <c r="AGQ1" s="211"/>
      <c r="AGR1" s="211"/>
      <c r="AGS1" s="211"/>
      <c r="AGT1" s="211"/>
      <c r="AGU1" s="211"/>
      <c r="AGV1" s="211"/>
      <c r="AGW1" s="211"/>
      <c r="AGX1" s="211"/>
      <c r="AGY1" s="211"/>
      <c r="AGZ1" s="211"/>
      <c r="AHA1" s="211"/>
      <c r="AHB1" s="211"/>
      <c r="AHC1" s="211"/>
      <c r="AHD1" s="211"/>
      <c r="AHE1" s="211"/>
      <c r="AHF1" s="211"/>
      <c r="AHG1" s="211"/>
      <c r="AHH1" s="211"/>
      <c r="AHI1" s="211"/>
      <c r="AHJ1" s="211"/>
      <c r="AHK1" s="211"/>
      <c r="AHL1" s="211"/>
      <c r="AHM1" s="211"/>
      <c r="AHN1" s="211"/>
      <c r="AHO1" s="211"/>
      <c r="AHP1" s="211"/>
      <c r="AHQ1" s="211"/>
      <c r="AHR1" s="211"/>
      <c r="AHS1" s="211"/>
      <c r="AHT1" s="211"/>
      <c r="AHU1" s="211"/>
      <c r="AHV1" s="211"/>
      <c r="AHW1" s="211"/>
      <c r="AHX1" s="211"/>
      <c r="AHY1" s="211"/>
      <c r="AHZ1" s="211"/>
      <c r="AIA1" s="211"/>
      <c r="AIB1" s="211"/>
      <c r="AIC1" s="211"/>
      <c r="AID1" s="211"/>
      <c r="AIE1" s="211"/>
      <c r="AIF1" s="211"/>
      <c r="AIG1" s="211"/>
      <c r="AIH1" s="211"/>
      <c r="AII1" s="211"/>
      <c r="AIJ1" s="211"/>
      <c r="AIK1" s="211"/>
      <c r="AIL1" s="211"/>
      <c r="AIM1" s="211"/>
      <c r="AIN1" s="211"/>
      <c r="AIO1" s="211"/>
      <c r="AIP1" s="211"/>
      <c r="AIQ1" s="211"/>
      <c r="AIR1" s="211"/>
      <c r="AIS1" s="211"/>
      <c r="AIT1" s="211"/>
      <c r="AIU1" s="211"/>
      <c r="AIV1" s="211"/>
      <c r="AIW1" s="211"/>
      <c r="AIX1" s="211"/>
      <c r="AIY1" s="211"/>
      <c r="AIZ1" s="211"/>
      <c r="AJA1" s="211"/>
      <c r="AJB1" s="211"/>
      <c r="AJC1" s="211"/>
      <c r="AJD1" s="211"/>
      <c r="AJE1" s="211"/>
      <c r="AJF1" s="211"/>
      <c r="AJG1" s="211"/>
      <c r="AJH1" s="211"/>
      <c r="AJI1" s="211"/>
      <c r="AJJ1" s="211"/>
      <c r="AJK1" s="211"/>
      <c r="AJL1" s="211"/>
      <c r="AJM1" s="211"/>
      <c r="AJN1" s="211"/>
      <c r="AJO1" s="211"/>
      <c r="AJP1" s="211"/>
      <c r="AJQ1" s="211"/>
      <c r="AJR1" s="211"/>
      <c r="AJS1" s="211"/>
      <c r="AJT1" s="211"/>
      <c r="AJU1" s="211"/>
      <c r="AJV1" s="211"/>
      <c r="AJW1" s="211"/>
      <c r="AJX1" s="211"/>
      <c r="AJY1" s="211"/>
      <c r="AJZ1" s="211"/>
      <c r="AKA1" s="211"/>
      <c r="AKB1" s="211"/>
      <c r="AKC1" s="211"/>
      <c r="AKD1" s="211"/>
      <c r="AKE1" s="211"/>
      <c r="AKF1" s="211"/>
      <c r="AKG1" s="211"/>
      <c r="AKH1" s="211"/>
      <c r="AKI1" s="211"/>
      <c r="AKJ1" s="211"/>
      <c r="AKK1" s="211"/>
      <c r="AKL1" s="211"/>
      <c r="AKM1" s="211"/>
      <c r="AKN1" s="211"/>
      <c r="AKO1" s="211"/>
      <c r="AKP1" s="211"/>
      <c r="AKQ1" s="211"/>
      <c r="AKR1" s="211"/>
      <c r="AKS1" s="211"/>
      <c r="AKT1" s="211"/>
      <c r="AKU1" s="211"/>
      <c r="AKV1" s="211"/>
      <c r="AKW1" s="211"/>
      <c r="AKX1" s="211"/>
      <c r="AKY1" s="211"/>
      <c r="AKZ1" s="211"/>
      <c r="ALA1" s="211"/>
      <c r="ALB1" s="211"/>
      <c r="ALC1" s="211"/>
      <c r="ALD1" s="211"/>
      <c r="ALE1" s="211"/>
      <c r="ALF1" s="211"/>
      <c r="ALG1" s="211"/>
      <c r="ALH1" s="211"/>
      <c r="ALI1" s="211"/>
      <c r="ALJ1" s="211"/>
      <c r="ALK1" s="211"/>
      <c r="ALL1" s="211"/>
      <c r="ALM1" s="211"/>
      <c r="ALN1" s="211"/>
      <c r="ALO1" s="211"/>
      <c r="ALP1" s="211"/>
      <c r="ALQ1" s="211"/>
      <c r="ALR1" s="211"/>
      <c r="ALS1" s="211"/>
      <c r="ALT1" s="211"/>
      <c r="ALU1" s="211"/>
      <c r="ALV1" s="211"/>
      <c r="ALW1" s="211"/>
      <c r="ALX1" s="211"/>
      <c r="ALY1" s="211"/>
      <c r="ALZ1" s="211"/>
      <c r="AMA1" s="211"/>
      <c r="AMB1" s="211"/>
      <c r="AMC1" s="211"/>
      <c r="AMD1" s="211"/>
      <c r="AME1" s="211"/>
      <c r="AMF1" s="211"/>
      <c r="AMG1" s="211"/>
      <c r="AMH1" s="211"/>
      <c r="AMI1" s="211"/>
      <c r="AMJ1" s="211"/>
    </row>
    <row r="2" spans="1:1024" ht="22.35" customHeight="1" x14ac:dyDescent="0.25">
      <c r="A2" s="211"/>
      <c r="B2" s="495" t="s">
        <v>631</v>
      </c>
      <c r="C2" s="495"/>
      <c r="D2" s="495"/>
      <c r="E2" s="495"/>
      <c r="F2" s="495"/>
      <c r="G2" s="211"/>
      <c r="H2" s="211"/>
      <c r="I2" s="211"/>
      <c r="J2" s="211"/>
      <c r="K2" s="211"/>
      <c r="L2" s="211"/>
      <c r="M2" s="211"/>
      <c r="N2" s="211"/>
      <c r="O2" s="211"/>
      <c r="P2" s="211"/>
      <c r="Q2" s="211"/>
      <c r="R2" s="211"/>
      <c r="S2" s="211"/>
      <c r="T2" s="211"/>
      <c r="U2" s="211"/>
      <c r="V2" s="211"/>
      <c r="W2" s="211"/>
      <c r="X2" s="211"/>
      <c r="Y2" s="211"/>
      <c r="Z2" s="211"/>
      <c r="AA2" s="211"/>
      <c r="AB2" s="211"/>
      <c r="AC2" s="211"/>
      <c r="AD2" s="211"/>
      <c r="AE2" s="211"/>
      <c r="AF2" s="211"/>
      <c r="AG2" s="211"/>
      <c r="AH2" s="211"/>
      <c r="AI2" s="211"/>
      <c r="AJ2" s="211"/>
      <c r="AK2" s="211"/>
      <c r="AL2" s="211"/>
      <c r="AM2" s="211"/>
      <c r="AN2" s="211"/>
      <c r="AO2" s="211"/>
      <c r="AP2" s="211"/>
      <c r="AQ2" s="211"/>
      <c r="AR2" s="211"/>
      <c r="AS2" s="211"/>
      <c r="AT2" s="211"/>
      <c r="AU2" s="211"/>
      <c r="AV2" s="211"/>
      <c r="AW2" s="211"/>
      <c r="AX2" s="211"/>
      <c r="AY2" s="211"/>
      <c r="AZ2" s="211"/>
      <c r="BA2" s="211"/>
      <c r="BB2" s="211"/>
      <c r="BC2" s="211"/>
      <c r="BD2" s="211"/>
      <c r="BE2" s="211"/>
      <c r="BF2" s="211"/>
      <c r="BG2" s="211"/>
      <c r="BH2" s="211"/>
      <c r="BI2" s="211"/>
      <c r="BJ2" s="211"/>
      <c r="BK2" s="211"/>
      <c r="BL2" s="211"/>
      <c r="BM2" s="211"/>
      <c r="BN2" s="211"/>
      <c r="BO2" s="211"/>
      <c r="BP2" s="211"/>
      <c r="BQ2" s="211"/>
      <c r="BR2" s="211"/>
      <c r="BS2" s="211"/>
      <c r="BT2" s="211"/>
      <c r="BU2" s="211"/>
      <c r="BV2" s="211"/>
      <c r="BW2" s="211"/>
      <c r="BX2" s="211"/>
      <c r="BY2" s="211"/>
      <c r="BZ2" s="211"/>
      <c r="CA2" s="211"/>
      <c r="CB2" s="211"/>
      <c r="CC2" s="211"/>
      <c r="CD2" s="211"/>
      <c r="CE2" s="211"/>
      <c r="CF2" s="211"/>
      <c r="CG2" s="211"/>
      <c r="CH2" s="211"/>
      <c r="CI2" s="211"/>
      <c r="CJ2" s="211"/>
      <c r="CK2" s="211"/>
      <c r="CL2" s="211"/>
      <c r="CM2" s="211"/>
      <c r="CN2" s="211"/>
      <c r="CO2" s="211"/>
      <c r="CP2" s="211"/>
      <c r="CQ2" s="211"/>
      <c r="CR2" s="211"/>
      <c r="CS2" s="211"/>
      <c r="CT2" s="211"/>
      <c r="CU2" s="211"/>
      <c r="CV2" s="211"/>
      <c r="CW2" s="211"/>
      <c r="CX2" s="211"/>
      <c r="CY2" s="211"/>
      <c r="CZ2" s="211"/>
      <c r="DA2" s="211"/>
      <c r="DB2" s="211"/>
      <c r="DC2" s="211"/>
      <c r="DD2" s="211"/>
      <c r="DE2" s="211"/>
      <c r="DF2" s="211"/>
      <c r="DG2" s="211"/>
      <c r="DH2" s="211"/>
      <c r="DI2" s="211"/>
      <c r="DJ2" s="211"/>
      <c r="DK2" s="211"/>
      <c r="DL2" s="211"/>
      <c r="DM2" s="211"/>
      <c r="DN2" s="211"/>
      <c r="DO2" s="211"/>
      <c r="DP2" s="211"/>
      <c r="DQ2" s="211"/>
      <c r="DR2" s="211"/>
      <c r="DS2" s="211"/>
      <c r="DT2" s="211"/>
      <c r="DU2" s="211"/>
      <c r="DV2" s="211"/>
      <c r="DW2" s="211"/>
      <c r="DX2" s="211"/>
      <c r="DY2" s="211"/>
      <c r="DZ2" s="211"/>
      <c r="EA2" s="211"/>
      <c r="EB2" s="211"/>
      <c r="EC2" s="211"/>
      <c r="ED2" s="211"/>
      <c r="EE2" s="211"/>
      <c r="EF2" s="211"/>
      <c r="EG2" s="211"/>
      <c r="EH2" s="211"/>
      <c r="EI2" s="211"/>
      <c r="EJ2" s="211"/>
      <c r="EK2" s="211"/>
      <c r="EL2" s="211"/>
      <c r="EM2" s="211"/>
      <c r="EN2" s="211"/>
      <c r="EO2" s="211"/>
      <c r="EP2" s="211"/>
      <c r="EQ2" s="211"/>
      <c r="ER2" s="211"/>
      <c r="ES2" s="211"/>
      <c r="ET2" s="211"/>
      <c r="EU2" s="211"/>
      <c r="EV2" s="211"/>
      <c r="EW2" s="211"/>
      <c r="EX2" s="211"/>
      <c r="EY2" s="211"/>
      <c r="EZ2" s="211"/>
      <c r="FA2" s="211"/>
      <c r="FB2" s="211"/>
      <c r="FC2" s="211"/>
      <c r="FD2" s="211"/>
      <c r="FE2" s="211"/>
      <c r="FF2" s="211"/>
      <c r="FG2" s="211"/>
      <c r="FH2" s="211"/>
      <c r="FI2" s="211"/>
      <c r="FJ2" s="211"/>
      <c r="FK2" s="211"/>
      <c r="FL2" s="211"/>
      <c r="FM2" s="211"/>
      <c r="FN2" s="211"/>
      <c r="FO2" s="211"/>
      <c r="FP2" s="211"/>
      <c r="FQ2" s="211"/>
      <c r="FR2" s="211"/>
      <c r="FS2" s="211"/>
      <c r="FT2" s="211"/>
      <c r="FU2" s="211"/>
      <c r="FV2" s="211"/>
      <c r="FW2" s="211"/>
      <c r="FX2" s="211"/>
      <c r="FY2" s="211"/>
      <c r="FZ2" s="211"/>
      <c r="GA2" s="211"/>
      <c r="GB2" s="211"/>
      <c r="GC2" s="211"/>
      <c r="GD2" s="211"/>
      <c r="GE2" s="211"/>
      <c r="GF2" s="211"/>
      <c r="GG2" s="211"/>
      <c r="GH2" s="211"/>
      <c r="GI2" s="211"/>
      <c r="GJ2" s="211"/>
      <c r="GK2" s="211"/>
      <c r="GL2" s="211"/>
      <c r="GM2" s="211"/>
      <c r="GN2" s="211"/>
      <c r="GO2" s="211"/>
      <c r="GP2" s="211"/>
      <c r="GQ2" s="211"/>
      <c r="GR2" s="211"/>
      <c r="GS2" s="211"/>
      <c r="GT2" s="211"/>
      <c r="GU2" s="211"/>
      <c r="GV2" s="211"/>
      <c r="GW2" s="211"/>
      <c r="GX2" s="211"/>
      <c r="GY2" s="211"/>
      <c r="GZ2" s="211"/>
      <c r="HA2" s="211"/>
      <c r="HB2" s="211"/>
      <c r="HC2" s="211"/>
      <c r="HD2" s="211"/>
      <c r="HE2" s="211"/>
      <c r="HF2" s="211"/>
      <c r="HG2" s="211"/>
      <c r="HH2" s="211"/>
      <c r="HI2" s="211"/>
      <c r="HJ2" s="211"/>
      <c r="HK2" s="211"/>
      <c r="HL2" s="211"/>
      <c r="HM2" s="211"/>
      <c r="HN2" s="211"/>
      <c r="HO2" s="211"/>
      <c r="HP2" s="211"/>
      <c r="HQ2" s="211"/>
      <c r="HR2" s="211"/>
      <c r="HS2" s="211"/>
      <c r="HT2" s="211"/>
      <c r="HU2" s="211"/>
      <c r="HV2" s="211"/>
      <c r="HW2" s="211"/>
      <c r="HX2" s="211"/>
      <c r="HY2" s="211"/>
      <c r="HZ2" s="211"/>
      <c r="IA2" s="211"/>
      <c r="IB2" s="211"/>
      <c r="IC2" s="211"/>
      <c r="ID2" s="211"/>
      <c r="IE2" s="211"/>
      <c r="IF2" s="211"/>
      <c r="IG2" s="211"/>
      <c r="IH2" s="211"/>
      <c r="II2" s="211"/>
      <c r="IJ2" s="211"/>
      <c r="IK2" s="211"/>
      <c r="IL2" s="211"/>
      <c r="IM2" s="211"/>
      <c r="IN2" s="211"/>
      <c r="IO2" s="211"/>
      <c r="IP2" s="211"/>
      <c r="IQ2" s="211"/>
      <c r="IR2" s="211"/>
      <c r="IS2" s="211"/>
      <c r="IT2" s="211"/>
      <c r="IU2" s="211"/>
      <c r="IV2" s="211"/>
      <c r="IW2" s="211"/>
      <c r="IX2" s="211"/>
      <c r="IY2" s="211"/>
      <c r="IZ2" s="211"/>
      <c r="JA2" s="211"/>
      <c r="JB2" s="211"/>
      <c r="JC2" s="211"/>
      <c r="JD2" s="211"/>
      <c r="JE2" s="211"/>
      <c r="JF2" s="211"/>
      <c r="JG2" s="211"/>
      <c r="JH2" s="211"/>
      <c r="JI2" s="211"/>
      <c r="JJ2" s="211"/>
      <c r="JK2" s="211"/>
      <c r="JL2" s="211"/>
      <c r="JM2" s="211"/>
      <c r="JN2" s="211"/>
      <c r="JO2" s="211"/>
      <c r="JP2" s="211"/>
      <c r="JQ2" s="211"/>
      <c r="JR2" s="211"/>
      <c r="JS2" s="211"/>
      <c r="JT2" s="211"/>
      <c r="JU2" s="211"/>
      <c r="JV2" s="211"/>
      <c r="JW2" s="211"/>
      <c r="JX2" s="211"/>
      <c r="JY2" s="211"/>
      <c r="JZ2" s="211"/>
      <c r="KA2" s="211"/>
      <c r="KB2" s="211"/>
      <c r="KC2" s="211"/>
      <c r="KD2" s="211"/>
      <c r="KE2" s="211"/>
      <c r="KF2" s="211"/>
      <c r="KG2" s="211"/>
      <c r="KH2" s="211"/>
      <c r="KI2" s="211"/>
      <c r="KJ2" s="211"/>
      <c r="KK2" s="211"/>
      <c r="KL2" s="211"/>
      <c r="KM2" s="211"/>
      <c r="KN2" s="211"/>
      <c r="KO2" s="211"/>
      <c r="KP2" s="211"/>
      <c r="KQ2" s="211"/>
      <c r="KR2" s="211"/>
      <c r="KS2" s="211"/>
      <c r="KT2" s="211"/>
      <c r="KU2" s="211"/>
      <c r="KV2" s="211"/>
      <c r="KW2" s="211"/>
      <c r="KX2" s="211"/>
      <c r="KY2" s="211"/>
      <c r="KZ2" s="211"/>
      <c r="LA2" s="211"/>
      <c r="LB2" s="211"/>
      <c r="LC2" s="211"/>
      <c r="LD2" s="211"/>
      <c r="LE2" s="211"/>
      <c r="LF2" s="211"/>
      <c r="LG2" s="211"/>
      <c r="LH2" s="211"/>
      <c r="LI2" s="211"/>
      <c r="LJ2" s="211"/>
      <c r="LK2" s="211"/>
      <c r="LL2" s="211"/>
      <c r="LM2" s="211"/>
      <c r="LN2" s="211"/>
      <c r="LO2" s="211"/>
      <c r="LP2" s="211"/>
      <c r="LQ2" s="211"/>
      <c r="LR2" s="211"/>
      <c r="LS2" s="211"/>
      <c r="LT2" s="211"/>
      <c r="LU2" s="211"/>
      <c r="LV2" s="211"/>
      <c r="LW2" s="211"/>
      <c r="LX2" s="211"/>
      <c r="LY2" s="211"/>
      <c r="LZ2" s="211"/>
      <c r="MA2" s="211"/>
      <c r="MB2" s="211"/>
      <c r="MC2" s="211"/>
      <c r="MD2" s="211"/>
      <c r="ME2" s="211"/>
      <c r="MF2" s="211"/>
      <c r="MG2" s="211"/>
      <c r="MH2" s="211"/>
      <c r="MI2" s="211"/>
      <c r="MJ2" s="211"/>
      <c r="MK2" s="211"/>
      <c r="ML2" s="211"/>
      <c r="MM2" s="211"/>
      <c r="MN2" s="211"/>
      <c r="MO2" s="211"/>
      <c r="MP2" s="211"/>
      <c r="MQ2" s="211"/>
      <c r="MR2" s="211"/>
      <c r="MS2" s="211"/>
      <c r="MT2" s="211"/>
      <c r="MU2" s="211"/>
      <c r="MV2" s="211"/>
      <c r="MW2" s="211"/>
      <c r="MX2" s="211"/>
      <c r="MY2" s="211"/>
      <c r="MZ2" s="211"/>
      <c r="NA2" s="211"/>
      <c r="NB2" s="211"/>
      <c r="NC2" s="211"/>
      <c r="ND2" s="211"/>
      <c r="NE2" s="211"/>
      <c r="NF2" s="211"/>
      <c r="NG2" s="211"/>
      <c r="NH2" s="211"/>
      <c r="NI2" s="211"/>
      <c r="NJ2" s="211"/>
      <c r="NK2" s="211"/>
      <c r="NL2" s="211"/>
      <c r="NM2" s="211"/>
      <c r="NN2" s="211"/>
      <c r="NO2" s="211"/>
      <c r="NP2" s="211"/>
      <c r="NQ2" s="211"/>
      <c r="NR2" s="211"/>
      <c r="NS2" s="211"/>
      <c r="NT2" s="211"/>
      <c r="NU2" s="211"/>
      <c r="NV2" s="211"/>
      <c r="NW2" s="211"/>
      <c r="NX2" s="211"/>
      <c r="NY2" s="211"/>
      <c r="NZ2" s="211"/>
      <c r="OA2" s="211"/>
      <c r="OB2" s="211"/>
      <c r="OC2" s="211"/>
      <c r="OD2" s="211"/>
      <c r="OE2" s="211"/>
      <c r="OF2" s="211"/>
      <c r="OG2" s="211"/>
      <c r="OH2" s="211"/>
      <c r="OI2" s="211"/>
      <c r="OJ2" s="211"/>
      <c r="OK2" s="211"/>
      <c r="OL2" s="211"/>
      <c r="OM2" s="211"/>
      <c r="ON2" s="211"/>
      <c r="OO2" s="211"/>
      <c r="OP2" s="211"/>
      <c r="OQ2" s="211"/>
      <c r="OR2" s="211"/>
      <c r="OS2" s="211"/>
      <c r="OT2" s="211"/>
      <c r="OU2" s="211"/>
      <c r="OV2" s="211"/>
      <c r="OW2" s="211"/>
      <c r="OX2" s="211"/>
      <c r="OY2" s="211"/>
      <c r="OZ2" s="211"/>
      <c r="PA2" s="211"/>
      <c r="PB2" s="211"/>
      <c r="PC2" s="211"/>
      <c r="PD2" s="211"/>
      <c r="PE2" s="211"/>
      <c r="PF2" s="211"/>
      <c r="PG2" s="211"/>
      <c r="PH2" s="211"/>
      <c r="PI2" s="211"/>
      <c r="PJ2" s="211"/>
      <c r="PK2" s="211"/>
      <c r="PL2" s="211"/>
      <c r="PM2" s="211"/>
      <c r="PN2" s="211"/>
      <c r="PO2" s="211"/>
      <c r="PP2" s="211"/>
      <c r="PQ2" s="211"/>
      <c r="PR2" s="211"/>
      <c r="PS2" s="211"/>
      <c r="PT2" s="211"/>
      <c r="PU2" s="211"/>
      <c r="PV2" s="211"/>
      <c r="PW2" s="211"/>
      <c r="PX2" s="211"/>
      <c r="PY2" s="211"/>
      <c r="PZ2" s="211"/>
      <c r="QA2" s="211"/>
      <c r="QB2" s="211"/>
      <c r="QC2" s="211"/>
      <c r="QD2" s="211"/>
      <c r="QE2" s="211"/>
      <c r="QF2" s="211"/>
      <c r="QG2" s="211"/>
      <c r="QH2" s="211"/>
      <c r="QI2" s="211"/>
      <c r="QJ2" s="211"/>
      <c r="QK2" s="211"/>
      <c r="QL2" s="211"/>
      <c r="QM2" s="211"/>
      <c r="QN2" s="211"/>
      <c r="QO2" s="211"/>
      <c r="QP2" s="211"/>
      <c r="QQ2" s="211"/>
      <c r="QR2" s="211"/>
      <c r="QS2" s="211"/>
      <c r="QT2" s="211"/>
      <c r="QU2" s="211"/>
      <c r="QV2" s="211"/>
      <c r="QW2" s="211"/>
      <c r="QX2" s="211"/>
      <c r="QY2" s="211"/>
      <c r="QZ2" s="211"/>
      <c r="RA2" s="211"/>
      <c r="RB2" s="211"/>
      <c r="RC2" s="211"/>
      <c r="RD2" s="211"/>
      <c r="RE2" s="211"/>
      <c r="RF2" s="211"/>
      <c r="RG2" s="211"/>
      <c r="RH2" s="211"/>
      <c r="RI2" s="211"/>
      <c r="RJ2" s="211"/>
      <c r="RK2" s="211"/>
      <c r="RL2" s="211"/>
      <c r="RM2" s="211"/>
      <c r="RN2" s="211"/>
      <c r="RO2" s="211"/>
      <c r="RP2" s="211"/>
      <c r="RQ2" s="211"/>
      <c r="RR2" s="211"/>
      <c r="RS2" s="211"/>
      <c r="RT2" s="211"/>
      <c r="RU2" s="211"/>
      <c r="RV2" s="211"/>
      <c r="RW2" s="211"/>
      <c r="RX2" s="211"/>
      <c r="RY2" s="211"/>
      <c r="RZ2" s="211"/>
      <c r="SA2" s="211"/>
      <c r="SB2" s="211"/>
      <c r="SC2" s="211"/>
      <c r="SD2" s="211"/>
      <c r="SE2" s="211"/>
      <c r="SF2" s="211"/>
      <c r="SG2" s="211"/>
      <c r="SH2" s="211"/>
      <c r="SI2" s="211"/>
      <c r="SJ2" s="211"/>
      <c r="SK2" s="211"/>
      <c r="SL2" s="211"/>
      <c r="SM2" s="211"/>
      <c r="SN2" s="211"/>
      <c r="SO2" s="211"/>
      <c r="SP2" s="211"/>
      <c r="SQ2" s="211"/>
      <c r="SR2" s="211"/>
      <c r="SS2" s="211"/>
      <c r="ST2" s="211"/>
      <c r="SU2" s="211"/>
      <c r="SV2" s="211"/>
      <c r="SW2" s="211"/>
      <c r="SX2" s="211"/>
      <c r="SY2" s="211"/>
      <c r="SZ2" s="211"/>
      <c r="TA2" s="211"/>
      <c r="TB2" s="211"/>
      <c r="TC2" s="211"/>
      <c r="TD2" s="211"/>
      <c r="TE2" s="211"/>
      <c r="TF2" s="211"/>
      <c r="TG2" s="211"/>
      <c r="TH2" s="211"/>
      <c r="TI2" s="211"/>
      <c r="TJ2" s="211"/>
      <c r="TK2" s="211"/>
      <c r="TL2" s="211"/>
      <c r="TM2" s="211"/>
      <c r="TN2" s="211"/>
      <c r="TO2" s="211"/>
      <c r="TP2" s="211"/>
      <c r="TQ2" s="211"/>
      <c r="TR2" s="211"/>
      <c r="TS2" s="211"/>
      <c r="TT2" s="211"/>
      <c r="TU2" s="211"/>
      <c r="TV2" s="211"/>
      <c r="TW2" s="211"/>
      <c r="TX2" s="211"/>
      <c r="TY2" s="211"/>
      <c r="TZ2" s="211"/>
      <c r="UA2" s="211"/>
      <c r="UB2" s="211"/>
      <c r="UC2" s="211"/>
      <c r="UD2" s="211"/>
      <c r="UE2" s="211"/>
      <c r="UF2" s="211"/>
      <c r="UG2" s="211"/>
      <c r="UH2" s="211"/>
      <c r="UI2" s="211"/>
      <c r="UJ2" s="211"/>
      <c r="UK2" s="211"/>
      <c r="UL2" s="211"/>
      <c r="UM2" s="211"/>
      <c r="UN2" s="211"/>
      <c r="UO2" s="211"/>
      <c r="UP2" s="211"/>
      <c r="UQ2" s="211"/>
      <c r="UR2" s="211"/>
      <c r="US2" s="211"/>
      <c r="UT2" s="211"/>
      <c r="UU2" s="211"/>
      <c r="UV2" s="211"/>
      <c r="UW2" s="211"/>
      <c r="UX2" s="211"/>
      <c r="UY2" s="211"/>
      <c r="UZ2" s="211"/>
      <c r="VA2" s="211"/>
      <c r="VB2" s="211"/>
      <c r="VC2" s="211"/>
      <c r="VD2" s="211"/>
      <c r="VE2" s="211"/>
      <c r="VF2" s="211"/>
      <c r="VG2" s="211"/>
      <c r="VH2" s="211"/>
      <c r="VI2" s="211"/>
      <c r="VJ2" s="211"/>
      <c r="VK2" s="211"/>
      <c r="VL2" s="211"/>
      <c r="VM2" s="211"/>
      <c r="VN2" s="211"/>
      <c r="VO2" s="211"/>
      <c r="VP2" s="211"/>
      <c r="VQ2" s="211"/>
      <c r="VR2" s="211"/>
      <c r="VS2" s="211"/>
      <c r="VT2" s="211"/>
      <c r="VU2" s="211"/>
      <c r="VV2" s="211"/>
      <c r="VW2" s="211"/>
      <c r="VX2" s="211"/>
      <c r="VY2" s="211"/>
      <c r="VZ2" s="211"/>
      <c r="WA2" s="211"/>
      <c r="WB2" s="211"/>
      <c r="WC2" s="211"/>
      <c r="WD2" s="211"/>
      <c r="WE2" s="211"/>
      <c r="WF2" s="211"/>
      <c r="WG2" s="211"/>
      <c r="WH2" s="211"/>
      <c r="WI2" s="211"/>
      <c r="WJ2" s="211"/>
      <c r="WK2" s="211"/>
      <c r="WL2" s="211"/>
      <c r="WM2" s="211"/>
      <c r="WN2" s="211"/>
      <c r="WO2" s="211"/>
      <c r="WP2" s="211"/>
      <c r="WQ2" s="211"/>
      <c r="WR2" s="211"/>
      <c r="WS2" s="211"/>
      <c r="WT2" s="211"/>
      <c r="WU2" s="211"/>
      <c r="WV2" s="211"/>
      <c r="WW2" s="211"/>
      <c r="WX2" s="211"/>
      <c r="WY2" s="211"/>
      <c r="WZ2" s="211"/>
      <c r="XA2" s="211"/>
      <c r="XB2" s="211"/>
      <c r="XC2" s="211"/>
      <c r="XD2" s="211"/>
      <c r="XE2" s="211"/>
      <c r="XF2" s="211"/>
      <c r="XG2" s="211"/>
      <c r="XH2" s="211"/>
      <c r="XI2" s="211"/>
      <c r="XJ2" s="211"/>
      <c r="XK2" s="211"/>
      <c r="XL2" s="211"/>
      <c r="XM2" s="211"/>
      <c r="XN2" s="211"/>
      <c r="XO2" s="211"/>
      <c r="XP2" s="211"/>
      <c r="XQ2" s="211"/>
      <c r="XR2" s="211"/>
      <c r="XS2" s="211"/>
      <c r="XT2" s="211"/>
      <c r="XU2" s="211"/>
      <c r="XV2" s="211"/>
      <c r="XW2" s="211"/>
      <c r="XX2" s="211"/>
      <c r="XY2" s="211"/>
      <c r="XZ2" s="211"/>
      <c r="YA2" s="211"/>
      <c r="YB2" s="211"/>
      <c r="YC2" s="211"/>
      <c r="YD2" s="211"/>
      <c r="YE2" s="211"/>
      <c r="YF2" s="211"/>
      <c r="YG2" s="211"/>
      <c r="YH2" s="211"/>
      <c r="YI2" s="211"/>
      <c r="YJ2" s="211"/>
      <c r="YK2" s="211"/>
      <c r="YL2" s="211"/>
      <c r="YM2" s="211"/>
      <c r="YN2" s="211"/>
      <c r="YO2" s="211"/>
      <c r="YP2" s="211"/>
      <c r="YQ2" s="211"/>
      <c r="YR2" s="211"/>
      <c r="YS2" s="211"/>
      <c r="YT2" s="211"/>
      <c r="YU2" s="211"/>
      <c r="YV2" s="211"/>
      <c r="YW2" s="211"/>
      <c r="YX2" s="211"/>
      <c r="YY2" s="211"/>
      <c r="YZ2" s="211"/>
      <c r="ZA2" s="211"/>
      <c r="ZB2" s="211"/>
      <c r="ZC2" s="211"/>
      <c r="ZD2" s="211"/>
      <c r="ZE2" s="211"/>
      <c r="ZF2" s="211"/>
      <c r="ZG2" s="211"/>
      <c r="ZH2" s="211"/>
      <c r="ZI2" s="211"/>
      <c r="ZJ2" s="211"/>
      <c r="ZK2" s="211"/>
      <c r="ZL2" s="211"/>
      <c r="ZM2" s="211"/>
      <c r="ZN2" s="211"/>
      <c r="ZO2" s="211"/>
      <c r="ZP2" s="211"/>
      <c r="ZQ2" s="211"/>
      <c r="ZR2" s="211"/>
      <c r="ZS2" s="211"/>
      <c r="ZT2" s="211"/>
      <c r="ZU2" s="211"/>
      <c r="ZV2" s="211"/>
      <c r="ZW2" s="211"/>
      <c r="ZX2" s="211"/>
      <c r="ZY2" s="211"/>
      <c r="ZZ2" s="211"/>
      <c r="AAA2" s="211"/>
      <c r="AAB2" s="211"/>
      <c r="AAC2" s="211"/>
      <c r="AAD2" s="211"/>
      <c r="AAE2" s="211"/>
      <c r="AAF2" s="211"/>
      <c r="AAG2" s="211"/>
      <c r="AAH2" s="211"/>
      <c r="AAI2" s="211"/>
      <c r="AAJ2" s="211"/>
      <c r="AAK2" s="211"/>
      <c r="AAL2" s="211"/>
      <c r="AAM2" s="211"/>
      <c r="AAN2" s="211"/>
      <c r="AAO2" s="211"/>
      <c r="AAP2" s="211"/>
      <c r="AAQ2" s="211"/>
      <c r="AAR2" s="211"/>
      <c r="AAS2" s="211"/>
      <c r="AAT2" s="211"/>
      <c r="AAU2" s="211"/>
      <c r="AAV2" s="211"/>
      <c r="AAW2" s="211"/>
      <c r="AAX2" s="211"/>
      <c r="AAY2" s="211"/>
      <c r="AAZ2" s="211"/>
      <c r="ABA2" s="211"/>
      <c r="ABB2" s="211"/>
      <c r="ABC2" s="211"/>
      <c r="ABD2" s="211"/>
      <c r="ABE2" s="211"/>
      <c r="ABF2" s="211"/>
      <c r="ABG2" s="211"/>
      <c r="ABH2" s="211"/>
      <c r="ABI2" s="211"/>
      <c r="ABJ2" s="211"/>
      <c r="ABK2" s="211"/>
      <c r="ABL2" s="211"/>
      <c r="ABM2" s="211"/>
      <c r="ABN2" s="211"/>
      <c r="ABO2" s="211"/>
      <c r="ABP2" s="211"/>
      <c r="ABQ2" s="211"/>
      <c r="ABR2" s="211"/>
      <c r="ABS2" s="211"/>
      <c r="ABT2" s="211"/>
      <c r="ABU2" s="211"/>
      <c r="ABV2" s="211"/>
      <c r="ABW2" s="211"/>
      <c r="ABX2" s="211"/>
      <c r="ABY2" s="211"/>
      <c r="ABZ2" s="211"/>
      <c r="ACA2" s="211"/>
      <c r="ACB2" s="211"/>
      <c r="ACC2" s="211"/>
      <c r="ACD2" s="211"/>
      <c r="ACE2" s="211"/>
      <c r="ACF2" s="211"/>
      <c r="ACG2" s="211"/>
      <c r="ACH2" s="211"/>
      <c r="ACI2" s="211"/>
      <c r="ACJ2" s="211"/>
      <c r="ACK2" s="211"/>
      <c r="ACL2" s="211"/>
      <c r="ACM2" s="211"/>
      <c r="ACN2" s="211"/>
      <c r="ACO2" s="211"/>
      <c r="ACP2" s="211"/>
      <c r="ACQ2" s="211"/>
      <c r="ACR2" s="211"/>
      <c r="ACS2" s="211"/>
      <c r="ACT2" s="211"/>
      <c r="ACU2" s="211"/>
      <c r="ACV2" s="211"/>
      <c r="ACW2" s="211"/>
      <c r="ACX2" s="211"/>
      <c r="ACY2" s="211"/>
      <c r="ACZ2" s="211"/>
      <c r="ADA2" s="211"/>
      <c r="ADB2" s="211"/>
      <c r="ADC2" s="211"/>
      <c r="ADD2" s="211"/>
      <c r="ADE2" s="211"/>
      <c r="ADF2" s="211"/>
      <c r="ADG2" s="211"/>
      <c r="ADH2" s="211"/>
      <c r="ADI2" s="211"/>
      <c r="ADJ2" s="211"/>
      <c r="ADK2" s="211"/>
      <c r="ADL2" s="211"/>
      <c r="ADM2" s="211"/>
      <c r="ADN2" s="211"/>
      <c r="ADO2" s="211"/>
      <c r="ADP2" s="211"/>
      <c r="ADQ2" s="211"/>
      <c r="ADR2" s="211"/>
      <c r="ADS2" s="211"/>
      <c r="ADT2" s="211"/>
      <c r="ADU2" s="211"/>
      <c r="ADV2" s="211"/>
      <c r="ADW2" s="211"/>
      <c r="ADX2" s="211"/>
      <c r="ADY2" s="211"/>
      <c r="ADZ2" s="211"/>
      <c r="AEA2" s="211"/>
      <c r="AEB2" s="211"/>
      <c r="AEC2" s="211"/>
      <c r="AED2" s="211"/>
      <c r="AEE2" s="211"/>
      <c r="AEF2" s="211"/>
      <c r="AEG2" s="211"/>
      <c r="AEH2" s="211"/>
      <c r="AEI2" s="211"/>
      <c r="AEJ2" s="211"/>
      <c r="AEK2" s="211"/>
      <c r="AEL2" s="211"/>
      <c r="AEM2" s="211"/>
      <c r="AEN2" s="211"/>
      <c r="AEO2" s="211"/>
      <c r="AEP2" s="211"/>
      <c r="AEQ2" s="211"/>
      <c r="AER2" s="211"/>
      <c r="AES2" s="211"/>
      <c r="AET2" s="211"/>
      <c r="AEU2" s="211"/>
      <c r="AEV2" s="211"/>
      <c r="AEW2" s="211"/>
      <c r="AEX2" s="211"/>
      <c r="AEY2" s="211"/>
      <c r="AEZ2" s="211"/>
      <c r="AFA2" s="211"/>
      <c r="AFB2" s="211"/>
      <c r="AFC2" s="211"/>
      <c r="AFD2" s="211"/>
      <c r="AFE2" s="211"/>
      <c r="AFF2" s="211"/>
      <c r="AFG2" s="211"/>
      <c r="AFH2" s="211"/>
      <c r="AFI2" s="211"/>
      <c r="AFJ2" s="211"/>
      <c r="AFK2" s="211"/>
      <c r="AFL2" s="211"/>
      <c r="AFM2" s="211"/>
      <c r="AFN2" s="211"/>
      <c r="AFO2" s="211"/>
      <c r="AFP2" s="211"/>
      <c r="AFQ2" s="211"/>
      <c r="AFR2" s="211"/>
      <c r="AFS2" s="211"/>
      <c r="AFT2" s="211"/>
      <c r="AFU2" s="211"/>
      <c r="AFV2" s="211"/>
      <c r="AFW2" s="211"/>
      <c r="AFX2" s="211"/>
      <c r="AFY2" s="211"/>
      <c r="AFZ2" s="211"/>
      <c r="AGA2" s="211"/>
      <c r="AGB2" s="211"/>
      <c r="AGC2" s="211"/>
      <c r="AGD2" s="211"/>
      <c r="AGE2" s="211"/>
      <c r="AGF2" s="211"/>
      <c r="AGG2" s="211"/>
      <c r="AGH2" s="211"/>
      <c r="AGI2" s="211"/>
      <c r="AGJ2" s="211"/>
      <c r="AGK2" s="211"/>
      <c r="AGL2" s="211"/>
      <c r="AGM2" s="211"/>
      <c r="AGN2" s="211"/>
      <c r="AGO2" s="211"/>
      <c r="AGP2" s="211"/>
      <c r="AGQ2" s="211"/>
      <c r="AGR2" s="211"/>
      <c r="AGS2" s="211"/>
      <c r="AGT2" s="211"/>
      <c r="AGU2" s="211"/>
      <c r="AGV2" s="211"/>
      <c r="AGW2" s="211"/>
      <c r="AGX2" s="211"/>
      <c r="AGY2" s="211"/>
      <c r="AGZ2" s="211"/>
      <c r="AHA2" s="211"/>
      <c r="AHB2" s="211"/>
      <c r="AHC2" s="211"/>
      <c r="AHD2" s="211"/>
      <c r="AHE2" s="211"/>
      <c r="AHF2" s="211"/>
      <c r="AHG2" s="211"/>
      <c r="AHH2" s="211"/>
      <c r="AHI2" s="211"/>
      <c r="AHJ2" s="211"/>
      <c r="AHK2" s="211"/>
      <c r="AHL2" s="211"/>
      <c r="AHM2" s="211"/>
      <c r="AHN2" s="211"/>
      <c r="AHO2" s="211"/>
      <c r="AHP2" s="211"/>
      <c r="AHQ2" s="211"/>
      <c r="AHR2" s="211"/>
      <c r="AHS2" s="211"/>
      <c r="AHT2" s="211"/>
      <c r="AHU2" s="211"/>
      <c r="AHV2" s="211"/>
      <c r="AHW2" s="211"/>
      <c r="AHX2" s="211"/>
      <c r="AHY2" s="211"/>
      <c r="AHZ2" s="211"/>
      <c r="AIA2" s="211"/>
      <c r="AIB2" s="211"/>
      <c r="AIC2" s="211"/>
      <c r="AID2" s="211"/>
      <c r="AIE2" s="211"/>
      <c r="AIF2" s="211"/>
      <c r="AIG2" s="211"/>
      <c r="AIH2" s="211"/>
      <c r="AII2" s="211"/>
      <c r="AIJ2" s="211"/>
      <c r="AIK2" s="211"/>
      <c r="AIL2" s="211"/>
      <c r="AIM2" s="211"/>
      <c r="AIN2" s="211"/>
      <c r="AIO2" s="211"/>
      <c r="AIP2" s="211"/>
      <c r="AIQ2" s="211"/>
      <c r="AIR2" s="211"/>
      <c r="AIS2" s="211"/>
      <c r="AIT2" s="211"/>
      <c r="AIU2" s="211"/>
      <c r="AIV2" s="211"/>
      <c r="AIW2" s="211"/>
      <c r="AIX2" s="211"/>
      <c r="AIY2" s="211"/>
      <c r="AIZ2" s="211"/>
      <c r="AJA2" s="211"/>
      <c r="AJB2" s="211"/>
      <c r="AJC2" s="211"/>
      <c r="AJD2" s="211"/>
      <c r="AJE2" s="211"/>
      <c r="AJF2" s="211"/>
      <c r="AJG2" s="211"/>
      <c r="AJH2" s="211"/>
      <c r="AJI2" s="211"/>
      <c r="AJJ2" s="211"/>
      <c r="AJK2" s="211"/>
      <c r="AJL2" s="211"/>
      <c r="AJM2" s="211"/>
      <c r="AJN2" s="211"/>
      <c r="AJO2" s="211"/>
      <c r="AJP2" s="211"/>
      <c r="AJQ2" s="211"/>
      <c r="AJR2" s="211"/>
      <c r="AJS2" s="211"/>
      <c r="AJT2" s="211"/>
      <c r="AJU2" s="211"/>
      <c r="AJV2" s="211"/>
      <c r="AJW2" s="211"/>
      <c r="AJX2" s="211"/>
      <c r="AJY2" s="211"/>
      <c r="AJZ2" s="211"/>
      <c r="AKA2" s="211"/>
      <c r="AKB2" s="211"/>
      <c r="AKC2" s="211"/>
      <c r="AKD2" s="211"/>
      <c r="AKE2" s="211"/>
      <c r="AKF2" s="211"/>
      <c r="AKG2" s="211"/>
      <c r="AKH2" s="211"/>
      <c r="AKI2" s="211"/>
      <c r="AKJ2" s="211"/>
      <c r="AKK2" s="211"/>
      <c r="AKL2" s="211"/>
      <c r="AKM2" s="211"/>
      <c r="AKN2" s="211"/>
      <c r="AKO2" s="211"/>
      <c r="AKP2" s="211"/>
      <c r="AKQ2" s="211"/>
      <c r="AKR2" s="211"/>
      <c r="AKS2" s="211"/>
      <c r="AKT2" s="211"/>
      <c r="AKU2" s="211"/>
      <c r="AKV2" s="211"/>
      <c r="AKW2" s="211"/>
      <c r="AKX2" s="211"/>
      <c r="AKY2" s="211"/>
      <c r="AKZ2" s="211"/>
      <c r="ALA2" s="211"/>
      <c r="ALB2" s="211"/>
      <c r="ALC2" s="211"/>
      <c r="ALD2" s="211"/>
      <c r="ALE2" s="211"/>
      <c r="ALF2" s="211"/>
      <c r="ALG2" s="211"/>
      <c r="ALH2" s="211"/>
      <c r="ALI2" s="211"/>
      <c r="ALJ2" s="211"/>
      <c r="ALK2" s="211"/>
      <c r="ALL2" s="211"/>
      <c r="ALM2" s="211"/>
      <c r="ALN2" s="211"/>
      <c r="ALO2" s="211"/>
      <c r="ALP2" s="211"/>
      <c r="ALQ2" s="211"/>
      <c r="ALR2" s="211"/>
      <c r="ALS2" s="211"/>
      <c r="ALT2" s="211"/>
      <c r="ALU2" s="211"/>
      <c r="ALV2" s="211"/>
      <c r="ALW2" s="211"/>
      <c r="ALX2" s="211"/>
      <c r="ALY2" s="211"/>
      <c r="ALZ2" s="211"/>
      <c r="AMA2" s="211"/>
      <c r="AMB2" s="211"/>
      <c r="AMC2" s="211"/>
      <c r="AMD2" s="211"/>
      <c r="AME2" s="211"/>
      <c r="AMF2" s="211"/>
      <c r="AMG2" s="211"/>
      <c r="AMH2" s="211"/>
      <c r="AMI2" s="211"/>
      <c r="AMJ2" s="211"/>
    </row>
    <row r="3" spans="1:1024" s="213" customFormat="1" x14ac:dyDescent="0.25"/>
    <row r="4" spans="1:1024" s="213" customFormat="1" x14ac:dyDescent="0.25">
      <c r="B4" s="214" t="s">
        <v>87</v>
      </c>
      <c r="C4" s="582" t="s">
        <v>591</v>
      </c>
      <c r="D4" s="582"/>
      <c r="E4" s="582"/>
      <c r="F4" s="582"/>
    </row>
    <row r="5" spans="1:1024" s="213" customFormat="1" ht="31.5" x14ac:dyDescent="0.25">
      <c r="B5" s="215" t="s">
        <v>88</v>
      </c>
      <c r="C5" s="583" t="s">
        <v>466</v>
      </c>
      <c r="D5" s="583"/>
      <c r="E5" s="583"/>
      <c r="F5" s="583"/>
    </row>
    <row r="6" spans="1:1024" s="213" customFormat="1" x14ac:dyDescent="0.25">
      <c r="B6" s="214" t="s">
        <v>89</v>
      </c>
      <c r="C6" s="582" t="s">
        <v>590</v>
      </c>
      <c r="D6" s="582"/>
      <c r="E6" s="582"/>
      <c r="F6" s="582"/>
    </row>
    <row r="7" spans="1:1024" s="213" customFormat="1" x14ac:dyDescent="0.25">
      <c r="B7" s="214" t="s">
        <v>90</v>
      </c>
      <c r="C7" s="582" t="s">
        <v>589</v>
      </c>
      <c r="D7" s="582"/>
      <c r="E7" s="582"/>
      <c r="F7" s="582"/>
    </row>
    <row r="8" spans="1:1024" s="213" customFormat="1" x14ac:dyDescent="0.25">
      <c r="B8" s="214" t="s">
        <v>588</v>
      </c>
      <c r="C8" s="582" t="s">
        <v>220</v>
      </c>
      <c r="D8" s="582"/>
      <c r="E8" s="582"/>
      <c r="F8" s="582"/>
    </row>
    <row r="9" spans="1:1024" s="213" customFormat="1" x14ac:dyDescent="0.25">
      <c r="B9" s="214" t="s">
        <v>91</v>
      </c>
      <c r="C9" s="582">
        <v>5</v>
      </c>
      <c r="D9" s="582"/>
      <c r="E9" s="582"/>
      <c r="F9" s="582"/>
    </row>
    <row r="10" spans="1:1024" s="213" customFormat="1" x14ac:dyDescent="0.25">
      <c r="B10" s="241"/>
      <c r="C10" s="241"/>
      <c r="D10" s="241"/>
      <c r="E10" s="241"/>
      <c r="F10" s="241"/>
    </row>
    <row r="11" spans="1:1024" x14ac:dyDescent="0.25">
      <c r="A11" s="213"/>
      <c r="B11" s="584" t="s">
        <v>587</v>
      </c>
      <c r="C11" s="584"/>
      <c r="D11" s="584"/>
      <c r="E11" s="584"/>
      <c r="F11" s="584"/>
      <c r="G11" s="211"/>
    </row>
    <row r="12" spans="1:1024" x14ac:dyDescent="0.25">
      <c r="A12" s="213"/>
      <c r="B12" s="584" t="s">
        <v>93</v>
      </c>
      <c r="C12" s="584"/>
      <c r="D12" s="584" t="s">
        <v>94</v>
      </c>
      <c r="E12" s="584"/>
      <c r="F12" s="584"/>
      <c r="G12" s="211"/>
    </row>
    <row r="13" spans="1:1024" ht="15.6" customHeight="1" x14ac:dyDescent="0.25">
      <c r="A13" s="213"/>
      <c r="B13" s="585">
        <v>42879</v>
      </c>
      <c r="C13" s="585"/>
      <c r="D13" s="586" t="s">
        <v>632</v>
      </c>
      <c r="E13" s="586"/>
      <c r="F13" s="586"/>
      <c r="G13" s="211"/>
    </row>
    <row r="14" spans="1:1024" x14ac:dyDescent="0.25">
      <c r="A14" s="213"/>
      <c r="B14" s="588">
        <v>42923</v>
      </c>
      <c r="C14" s="589"/>
      <c r="D14" s="589" t="s">
        <v>633</v>
      </c>
      <c r="E14" s="589"/>
      <c r="F14" s="589"/>
      <c r="G14" s="211"/>
    </row>
    <row r="15" spans="1:1024" x14ac:dyDescent="0.25">
      <c r="A15" s="213"/>
      <c r="B15" s="590"/>
      <c r="C15" s="590"/>
      <c r="D15" s="590"/>
      <c r="E15" s="590"/>
      <c r="F15" s="590"/>
      <c r="G15" s="211"/>
    </row>
    <row r="16" spans="1:1024" x14ac:dyDescent="0.25">
      <c r="A16" s="213"/>
      <c r="B16" s="242"/>
      <c r="C16" s="242"/>
      <c r="D16" s="242"/>
      <c r="E16" s="242"/>
      <c r="F16" s="242"/>
      <c r="G16" s="211"/>
    </row>
    <row r="17" spans="1:7" x14ac:dyDescent="0.25">
      <c r="A17" s="213"/>
      <c r="B17" s="591" t="s">
        <v>634</v>
      </c>
      <c r="C17" s="591"/>
      <c r="D17" s="591"/>
      <c r="E17" s="591"/>
      <c r="F17" s="591"/>
      <c r="G17" s="211"/>
    </row>
    <row r="18" spans="1:7" x14ac:dyDescent="0.25">
      <c r="A18" s="213"/>
      <c r="B18" s="592" t="s">
        <v>582</v>
      </c>
      <c r="C18" s="592"/>
      <c r="D18" s="592"/>
      <c r="E18" s="592" t="s">
        <v>93</v>
      </c>
      <c r="F18" s="592"/>
      <c r="G18" s="211"/>
    </row>
    <row r="19" spans="1:7" x14ac:dyDescent="0.25">
      <c r="A19" s="213"/>
      <c r="B19" s="582" t="s">
        <v>580</v>
      </c>
      <c r="C19" s="582"/>
      <c r="D19" s="582"/>
      <c r="E19" s="593">
        <v>42879</v>
      </c>
      <c r="F19" s="593"/>
      <c r="G19" s="211"/>
    </row>
    <row r="20" spans="1:7" x14ac:dyDescent="0.25">
      <c r="A20" s="213"/>
      <c r="B20" s="582" t="s">
        <v>580</v>
      </c>
      <c r="C20" s="582"/>
      <c r="D20" s="582"/>
      <c r="E20" s="593"/>
      <c r="F20" s="593"/>
      <c r="G20" s="211"/>
    </row>
    <row r="21" spans="1:7" x14ac:dyDescent="0.25">
      <c r="A21" s="213"/>
      <c r="B21" s="243"/>
      <c r="C21" s="243"/>
      <c r="D21" s="243"/>
      <c r="E21" s="244"/>
      <c r="F21" s="243"/>
      <c r="G21" s="211"/>
    </row>
    <row r="22" spans="1:7" x14ac:dyDescent="0.25">
      <c r="A22" s="213"/>
      <c r="B22" s="245" t="s">
        <v>95</v>
      </c>
      <c r="C22" s="245" t="s">
        <v>96</v>
      </c>
      <c r="D22" s="245" t="s">
        <v>97</v>
      </c>
      <c r="E22" s="245" t="s">
        <v>98</v>
      </c>
      <c r="F22" s="245" t="s">
        <v>99</v>
      </c>
      <c r="G22" s="211"/>
    </row>
    <row r="23" spans="1:7" ht="31.5" x14ac:dyDescent="0.25">
      <c r="A23" s="213"/>
      <c r="B23" s="246" t="s">
        <v>630</v>
      </c>
      <c r="C23" s="247">
        <v>21</v>
      </c>
      <c r="D23" s="247">
        <v>1</v>
      </c>
      <c r="E23" s="247">
        <v>1</v>
      </c>
      <c r="F23" s="248" t="s">
        <v>635</v>
      </c>
      <c r="G23" s="211"/>
    </row>
    <row r="24" spans="1:7" ht="41.45" customHeight="1" x14ac:dyDescent="0.25">
      <c r="A24" s="213"/>
      <c r="B24" s="242"/>
      <c r="C24" s="242"/>
      <c r="D24" s="242"/>
      <c r="E24" s="242"/>
      <c r="F24" s="242"/>
      <c r="G24" s="211"/>
    </row>
    <row r="25" spans="1:7" x14ac:dyDescent="0.25">
      <c r="A25" s="213"/>
      <c r="B25" s="594" t="s">
        <v>100</v>
      </c>
      <c r="C25" s="594"/>
      <c r="D25" s="594"/>
      <c r="E25" s="594"/>
      <c r="F25" s="594"/>
      <c r="G25" s="211"/>
    </row>
    <row r="26" spans="1:7" ht="63" customHeight="1" x14ac:dyDescent="0.25">
      <c r="A26" s="213"/>
      <c r="B26" s="587" t="s">
        <v>636</v>
      </c>
      <c r="C26" s="587"/>
      <c r="D26" s="587"/>
      <c r="E26" s="587"/>
      <c r="F26" s="587"/>
      <c r="G26" s="211"/>
    </row>
    <row r="27" spans="1:7" ht="21.6" customHeight="1" x14ac:dyDescent="0.25">
      <c r="A27" s="213"/>
      <c r="B27" s="249"/>
      <c r="C27" s="249"/>
      <c r="D27" s="249"/>
      <c r="E27" s="249"/>
      <c r="F27" s="249"/>
      <c r="G27" s="250"/>
    </row>
    <row r="28" spans="1:7" ht="24.75" customHeight="1" x14ac:dyDescent="0.25">
      <c r="A28" s="213"/>
      <c r="B28" s="595" t="s">
        <v>101</v>
      </c>
      <c r="C28" s="595"/>
      <c r="D28" s="595"/>
      <c r="E28" s="595"/>
      <c r="F28" s="595"/>
    </row>
    <row r="29" spans="1:7" ht="132" customHeight="1" x14ac:dyDescent="0.25">
      <c r="A29" s="213"/>
      <c r="B29" s="596" t="s">
        <v>637</v>
      </c>
      <c r="C29" s="596"/>
      <c r="D29" s="596"/>
      <c r="E29" s="596"/>
      <c r="F29" s="596"/>
    </row>
    <row r="30" spans="1:7" ht="15" customHeight="1" x14ac:dyDescent="0.25">
      <c r="A30" s="213"/>
      <c r="B30" s="251"/>
      <c r="C30" s="251"/>
      <c r="D30" s="251"/>
      <c r="E30" s="251"/>
      <c r="F30" s="251"/>
    </row>
    <row r="31" spans="1:7" ht="17.25" customHeight="1" x14ac:dyDescent="0.25">
      <c r="A31" s="213"/>
      <c r="B31" s="594" t="s">
        <v>573</v>
      </c>
      <c r="C31" s="594"/>
      <c r="D31" s="594"/>
      <c r="E31" s="594"/>
      <c r="F31" s="594"/>
    </row>
    <row r="32" spans="1:7" ht="28.5" customHeight="1" x14ac:dyDescent="0.25">
      <c r="A32" s="213"/>
      <c r="B32" s="596" t="s">
        <v>638</v>
      </c>
      <c r="C32" s="596"/>
      <c r="D32" s="596"/>
      <c r="E32" s="596"/>
      <c r="F32" s="596"/>
    </row>
    <row r="33" spans="1:6" ht="15.75" customHeight="1" x14ac:dyDescent="0.25">
      <c r="A33" s="213"/>
      <c r="B33" s="251"/>
      <c r="C33" s="251"/>
      <c r="D33" s="251"/>
      <c r="E33" s="251"/>
      <c r="F33" s="251"/>
    </row>
    <row r="34" spans="1:6" ht="20.25" customHeight="1" x14ac:dyDescent="0.25">
      <c r="A34" s="213"/>
      <c r="B34" s="594" t="s">
        <v>571</v>
      </c>
      <c r="C34" s="594"/>
      <c r="D34" s="594"/>
      <c r="E34" s="594"/>
      <c r="F34" s="594"/>
    </row>
    <row r="35" spans="1:6" ht="15.75" customHeight="1" x14ac:dyDescent="0.25">
      <c r="A35" s="213"/>
      <c r="B35" s="587" t="s">
        <v>639</v>
      </c>
      <c r="C35" s="587"/>
      <c r="D35" s="587"/>
      <c r="E35" s="587"/>
      <c r="F35" s="587"/>
    </row>
    <row r="36" spans="1:6" ht="15.75" customHeight="1" x14ac:dyDescent="0.25">
      <c r="A36" s="213"/>
      <c r="B36" s="251"/>
      <c r="C36" s="251"/>
      <c r="D36" s="251"/>
      <c r="E36" s="251"/>
      <c r="F36" s="251"/>
    </row>
    <row r="37" spans="1:6" ht="30.75" customHeight="1" x14ac:dyDescent="0.25">
      <c r="A37" s="213"/>
      <c r="B37" s="597" t="s">
        <v>569</v>
      </c>
      <c r="C37" s="597"/>
      <c r="D37" s="597"/>
      <c r="E37" s="597"/>
      <c r="F37" s="597"/>
    </row>
    <row r="38" spans="1:6" x14ac:dyDescent="0.25">
      <c r="A38" s="213"/>
      <c r="B38" s="252" t="s">
        <v>568</v>
      </c>
      <c r="C38" s="594" t="s">
        <v>567</v>
      </c>
      <c r="D38" s="594"/>
      <c r="E38" s="594"/>
      <c r="F38" s="594"/>
    </row>
    <row r="39" spans="1:6" ht="51.6" customHeight="1" x14ac:dyDescent="0.25">
      <c r="A39" s="213"/>
      <c r="B39" s="253" t="s">
        <v>554</v>
      </c>
      <c r="C39" s="587" t="s">
        <v>640</v>
      </c>
      <c r="D39" s="587"/>
      <c r="E39" s="587"/>
      <c r="F39" s="587"/>
    </row>
    <row r="40" spans="1:6" ht="55.35" customHeight="1" x14ac:dyDescent="0.25">
      <c r="A40" s="213"/>
      <c r="B40" s="253" t="s">
        <v>558</v>
      </c>
      <c r="C40" s="587" t="s">
        <v>641</v>
      </c>
      <c r="D40" s="587"/>
      <c r="E40" s="587"/>
      <c r="F40" s="587"/>
    </row>
    <row r="41" spans="1:6" x14ac:dyDescent="0.25">
      <c r="A41" s="213"/>
      <c r="B41" s="253" t="s">
        <v>142</v>
      </c>
      <c r="C41" s="598" t="s">
        <v>564</v>
      </c>
      <c r="D41" s="598"/>
      <c r="E41" s="598"/>
      <c r="F41" s="598"/>
    </row>
    <row r="42" spans="1:6" ht="52.7" customHeight="1" x14ac:dyDescent="0.25">
      <c r="A42" s="213"/>
      <c r="B42" s="253" t="s">
        <v>551</v>
      </c>
      <c r="C42" s="587" t="s">
        <v>642</v>
      </c>
      <c r="D42" s="587"/>
      <c r="E42" s="587"/>
      <c r="F42" s="587"/>
    </row>
    <row r="43" spans="1:6" ht="43.7" customHeight="1" x14ac:dyDescent="0.25">
      <c r="A43" s="213"/>
      <c r="B43" s="253" t="s">
        <v>643</v>
      </c>
      <c r="C43" s="587" t="s">
        <v>644</v>
      </c>
      <c r="D43" s="587"/>
      <c r="E43" s="587"/>
      <c r="F43" s="587"/>
    </row>
    <row r="44" spans="1:6" x14ac:dyDescent="0.25">
      <c r="A44" s="213"/>
      <c r="B44" s="254"/>
      <c r="C44" s="255"/>
      <c r="D44" s="255"/>
      <c r="E44" s="255"/>
      <c r="F44" s="256"/>
    </row>
    <row r="45" spans="1:6" x14ac:dyDescent="0.25">
      <c r="A45" s="213"/>
      <c r="B45" s="594" t="s">
        <v>561</v>
      </c>
      <c r="C45" s="594"/>
      <c r="D45" s="594"/>
      <c r="E45" s="594"/>
      <c r="F45" s="594"/>
    </row>
    <row r="46" spans="1:6" x14ac:dyDescent="0.25">
      <c r="A46" s="213"/>
      <c r="B46" s="252" t="s">
        <v>560</v>
      </c>
      <c r="C46" s="594" t="s">
        <v>559</v>
      </c>
      <c r="D46" s="594"/>
      <c r="E46" s="594"/>
      <c r="F46" s="594"/>
    </row>
    <row r="47" spans="1:6" x14ac:dyDescent="0.25">
      <c r="A47" s="213"/>
      <c r="B47" s="598" t="s">
        <v>142</v>
      </c>
      <c r="C47" s="598" t="s">
        <v>12</v>
      </c>
      <c r="D47" s="598"/>
      <c r="E47" s="598"/>
      <c r="F47" s="598"/>
    </row>
    <row r="48" spans="1:6" x14ac:dyDescent="0.25">
      <c r="A48" s="213"/>
      <c r="B48" s="598"/>
      <c r="C48" s="598" t="s">
        <v>645</v>
      </c>
      <c r="D48" s="598"/>
      <c r="E48" s="598"/>
      <c r="F48" s="598"/>
    </row>
    <row r="49" spans="1:6" x14ac:dyDescent="0.25">
      <c r="A49" s="213"/>
      <c r="B49" s="598"/>
      <c r="C49" s="598" t="s">
        <v>147</v>
      </c>
      <c r="D49" s="598"/>
      <c r="E49" s="598"/>
      <c r="F49" s="598"/>
    </row>
    <row r="50" spans="1:6" x14ac:dyDescent="0.25">
      <c r="A50" s="213"/>
      <c r="B50" s="598"/>
      <c r="C50" s="599" t="s">
        <v>552</v>
      </c>
      <c r="D50" s="600"/>
      <c r="E50" s="600"/>
      <c r="F50" s="601"/>
    </row>
    <row r="51" spans="1:6" x14ac:dyDescent="0.25">
      <c r="A51" s="213"/>
      <c r="B51" s="598"/>
      <c r="C51" s="599" t="s">
        <v>15</v>
      </c>
      <c r="D51" s="600"/>
      <c r="E51" s="600"/>
      <c r="F51" s="601"/>
    </row>
    <row r="52" spans="1:6" ht="0.75" customHeight="1" x14ac:dyDescent="0.25">
      <c r="A52" s="213"/>
      <c r="B52" s="249"/>
      <c r="C52" s="257"/>
      <c r="D52" s="257"/>
      <c r="E52" s="257"/>
      <c r="F52" s="257"/>
    </row>
    <row r="53" spans="1:6" hidden="1" x14ac:dyDescent="0.25">
      <c r="A53" s="213"/>
      <c r="B53" s="249"/>
      <c r="C53" s="257"/>
      <c r="D53" s="257"/>
      <c r="E53" s="257"/>
      <c r="F53" s="257"/>
    </row>
    <row r="54" spans="1:6" ht="10.35" customHeight="1" x14ac:dyDescent="0.25">
      <c r="A54" s="213"/>
      <c r="B54" s="251"/>
      <c r="C54" s="251"/>
      <c r="D54" s="251"/>
      <c r="E54" s="251"/>
      <c r="F54" s="251"/>
    </row>
    <row r="55" spans="1:6" ht="18.600000000000001" customHeight="1" x14ac:dyDescent="0.25">
      <c r="A55" s="213"/>
      <c r="B55" s="594" t="s">
        <v>105</v>
      </c>
      <c r="C55" s="594"/>
      <c r="D55" s="594"/>
      <c r="E55" s="594"/>
      <c r="F55" s="594"/>
    </row>
    <row r="56" spans="1:6" ht="225.6" customHeight="1" x14ac:dyDescent="0.25">
      <c r="A56" s="213"/>
      <c r="B56" s="602" t="s">
        <v>646</v>
      </c>
      <c r="C56" s="602"/>
      <c r="D56" s="602"/>
      <c r="E56" s="602"/>
      <c r="F56" s="602"/>
    </row>
    <row r="57" spans="1:6" ht="17.25" customHeight="1" x14ac:dyDescent="0.25">
      <c r="A57" s="213"/>
      <c r="B57" s="258"/>
      <c r="C57" s="258"/>
      <c r="D57" s="258"/>
      <c r="E57" s="258"/>
      <c r="F57" s="258"/>
    </row>
    <row r="58" spans="1:6" x14ac:dyDescent="0.25">
      <c r="A58" s="213"/>
      <c r="B58" s="594" t="s">
        <v>473</v>
      </c>
      <c r="C58" s="594"/>
      <c r="D58" s="594"/>
      <c r="E58" s="594"/>
      <c r="F58" s="594"/>
    </row>
    <row r="59" spans="1:6" ht="31.5" x14ac:dyDescent="0.25">
      <c r="A59" s="213"/>
      <c r="B59" s="253" t="s">
        <v>647</v>
      </c>
      <c r="C59" s="598"/>
      <c r="D59" s="598"/>
      <c r="E59" s="598"/>
      <c r="F59" s="598"/>
    </row>
    <row r="60" spans="1:6" x14ac:dyDescent="0.25">
      <c r="A60" s="213"/>
      <c r="B60" s="251"/>
      <c r="C60" s="251"/>
      <c r="D60" s="251"/>
      <c r="E60" s="251"/>
      <c r="F60" s="251"/>
    </row>
    <row r="61" spans="1:6" x14ac:dyDescent="0.25">
      <c r="A61" s="213"/>
      <c r="B61" s="594" t="s">
        <v>106</v>
      </c>
      <c r="C61" s="594"/>
      <c r="D61" s="594"/>
      <c r="E61" s="594"/>
      <c r="F61" s="594"/>
    </row>
    <row r="62" spans="1:6" x14ac:dyDescent="0.25">
      <c r="A62" s="213"/>
      <c r="B62" s="598" t="s">
        <v>648</v>
      </c>
      <c r="C62" s="598"/>
      <c r="D62" s="598"/>
      <c r="E62" s="598"/>
      <c r="F62" s="598"/>
    </row>
    <row r="63" spans="1:6" ht="16.7" customHeight="1" x14ac:dyDescent="0.25">
      <c r="A63" s="213"/>
      <c r="B63" s="251"/>
      <c r="C63" s="251"/>
      <c r="D63" s="251"/>
      <c r="E63" s="251"/>
      <c r="F63" s="251"/>
    </row>
    <row r="64" spans="1:6" ht="36.75" customHeight="1" x14ac:dyDescent="0.25">
      <c r="A64" s="213"/>
      <c r="B64" s="603" t="s">
        <v>240</v>
      </c>
      <c r="C64" s="603"/>
      <c r="D64" s="603"/>
      <c r="E64" s="603"/>
      <c r="F64" s="603"/>
    </row>
    <row r="65" spans="1:6" x14ac:dyDescent="0.25">
      <c r="A65" s="213"/>
      <c r="B65" s="252" t="s">
        <v>241</v>
      </c>
      <c r="C65" s="252" t="s">
        <v>242</v>
      </c>
      <c r="D65" s="594" t="s">
        <v>243</v>
      </c>
      <c r="E65" s="594"/>
      <c r="F65" s="594"/>
    </row>
    <row r="66" spans="1:6" x14ac:dyDescent="0.25">
      <c r="A66" s="213"/>
      <c r="B66" s="253" t="s">
        <v>626</v>
      </c>
      <c r="C66" s="259" t="s">
        <v>281</v>
      </c>
      <c r="D66" s="604" t="s">
        <v>649</v>
      </c>
      <c r="E66" s="604"/>
      <c r="F66" s="604"/>
    </row>
    <row r="67" spans="1:6" x14ac:dyDescent="0.25">
      <c r="A67" s="213"/>
      <c r="B67" s="259" t="s">
        <v>650</v>
      </c>
      <c r="C67" s="259" t="s">
        <v>281</v>
      </c>
      <c r="D67" s="604" t="s">
        <v>649</v>
      </c>
      <c r="E67" s="604"/>
      <c r="F67" s="604"/>
    </row>
    <row r="68" spans="1:6" x14ac:dyDescent="0.25">
      <c r="A68" s="213"/>
      <c r="B68" s="259" t="s">
        <v>651</v>
      </c>
      <c r="C68" s="259" t="s">
        <v>281</v>
      </c>
      <c r="D68" s="604" t="s">
        <v>649</v>
      </c>
      <c r="E68" s="604"/>
      <c r="F68" s="604"/>
    </row>
    <row r="69" spans="1:6" x14ac:dyDescent="0.25">
      <c r="A69" s="213"/>
      <c r="B69" s="251"/>
      <c r="C69" s="251"/>
      <c r="D69" s="251"/>
      <c r="E69" s="251"/>
      <c r="F69" s="251"/>
    </row>
    <row r="70" spans="1:6" ht="37.5" customHeight="1" x14ac:dyDescent="0.25">
      <c r="A70" s="213"/>
      <c r="B70" s="603" t="s">
        <v>543</v>
      </c>
      <c r="C70" s="603"/>
      <c r="D70" s="603"/>
      <c r="E70" s="603"/>
      <c r="F70" s="603"/>
    </row>
    <row r="71" spans="1:6" x14ac:dyDescent="0.25">
      <c r="A71" s="213"/>
      <c r="B71" s="252" t="s">
        <v>542</v>
      </c>
      <c r="C71" s="252" t="s">
        <v>541</v>
      </c>
      <c r="D71" s="594" t="s">
        <v>540</v>
      </c>
      <c r="E71" s="594"/>
      <c r="F71" s="594"/>
    </row>
    <row r="72" spans="1:6" x14ac:dyDescent="0.25">
      <c r="A72" s="213"/>
      <c r="B72" s="260" t="s">
        <v>652</v>
      </c>
      <c r="C72" s="259" t="s">
        <v>653</v>
      </c>
      <c r="D72" s="590"/>
      <c r="E72" s="590"/>
      <c r="F72" s="590"/>
    </row>
    <row r="73" spans="1:6" x14ac:dyDescent="0.25">
      <c r="A73" s="213"/>
      <c r="B73" s="259" t="s">
        <v>654</v>
      </c>
      <c r="C73" s="259" t="s">
        <v>653</v>
      </c>
      <c r="D73" s="590" t="s">
        <v>655</v>
      </c>
      <c r="E73" s="590"/>
      <c r="F73" s="590"/>
    </row>
    <row r="74" spans="1:6" x14ac:dyDescent="0.25">
      <c r="A74" s="213"/>
      <c r="B74" s="259"/>
      <c r="C74" s="259"/>
      <c r="D74" s="590"/>
      <c r="E74" s="590"/>
      <c r="F74" s="590"/>
    </row>
    <row r="75" spans="1:6" x14ac:dyDescent="0.25">
      <c r="A75" s="213"/>
      <c r="B75" s="251"/>
      <c r="C75" s="251"/>
      <c r="D75" s="251"/>
      <c r="E75" s="251"/>
      <c r="F75" s="251"/>
    </row>
    <row r="76" spans="1:6" x14ac:dyDescent="0.25">
      <c r="A76" s="213"/>
      <c r="B76" s="594" t="s">
        <v>107</v>
      </c>
      <c r="C76" s="594"/>
      <c r="D76" s="594"/>
      <c r="E76" s="594"/>
      <c r="F76" s="594"/>
    </row>
    <row r="77" spans="1:6" ht="114.6" customHeight="1" x14ac:dyDescent="0.25">
      <c r="A77" s="213"/>
      <c r="B77" s="587" t="s">
        <v>656</v>
      </c>
      <c r="C77" s="587"/>
      <c r="D77" s="587"/>
      <c r="E77" s="587"/>
      <c r="F77" s="587"/>
    </row>
    <row r="78" spans="1:6" ht="48" customHeight="1" x14ac:dyDescent="0.25"/>
  </sheetData>
  <mergeCells count="64">
    <mergeCell ref="B77:F77"/>
    <mergeCell ref="B64:F64"/>
    <mergeCell ref="D65:F65"/>
    <mergeCell ref="D66:F66"/>
    <mergeCell ref="D67:F67"/>
    <mergeCell ref="D68:F68"/>
    <mergeCell ref="B70:F70"/>
    <mergeCell ref="D71:F71"/>
    <mergeCell ref="D72:F72"/>
    <mergeCell ref="D73:F73"/>
    <mergeCell ref="D74:F74"/>
    <mergeCell ref="B76:F76"/>
    <mergeCell ref="B62:F62"/>
    <mergeCell ref="C43:F43"/>
    <mergeCell ref="B45:F45"/>
    <mergeCell ref="C46:F46"/>
    <mergeCell ref="B47:B51"/>
    <mergeCell ref="C47:F47"/>
    <mergeCell ref="C48:F48"/>
    <mergeCell ref="C49:F49"/>
    <mergeCell ref="C50:F50"/>
    <mergeCell ref="C51:F51"/>
    <mergeCell ref="B55:F55"/>
    <mergeCell ref="B56:F56"/>
    <mergeCell ref="B58:F58"/>
    <mergeCell ref="C59:F59"/>
    <mergeCell ref="B61:F61"/>
    <mergeCell ref="C42:F42"/>
    <mergeCell ref="B28:F28"/>
    <mergeCell ref="B29:F29"/>
    <mergeCell ref="B31:F31"/>
    <mergeCell ref="B32:F32"/>
    <mergeCell ref="B34:F34"/>
    <mergeCell ref="B35:F35"/>
    <mergeCell ref="B37:F37"/>
    <mergeCell ref="C38:F38"/>
    <mergeCell ref="C39:F39"/>
    <mergeCell ref="C40:F40"/>
    <mergeCell ref="C41:F41"/>
    <mergeCell ref="B26:F26"/>
    <mergeCell ref="B14:C14"/>
    <mergeCell ref="D14:F14"/>
    <mergeCell ref="B15:C15"/>
    <mergeCell ref="D15:F15"/>
    <mergeCell ref="B17:F17"/>
    <mergeCell ref="B18:D18"/>
    <mergeCell ref="E18:F18"/>
    <mergeCell ref="B19:D19"/>
    <mergeCell ref="E19:F19"/>
    <mergeCell ref="B20:D20"/>
    <mergeCell ref="E20:F20"/>
    <mergeCell ref="B25:F25"/>
    <mergeCell ref="C9:F9"/>
    <mergeCell ref="B11:F11"/>
    <mergeCell ref="B12:C12"/>
    <mergeCell ref="D12:F12"/>
    <mergeCell ref="B13:C13"/>
    <mergeCell ref="D13:F13"/>
    <mergeCell ref="C8:F8"/>
    <mergeCell ref="B2:F2"/>
    <mergeCell ref="C4:F4"/>
    <mergeCell ref="C5:F5"/>
    <mergeCell ref="C6:F6"/>
    <mergeCell ref="C7:F7"/>
  </mergeCells>
  <dataValidations count="3">
    <dataValidation type="list" allowBlank="1" showInputMessage="1" showErrorMessage="1" sqref="C72:C74">
      <formula1>"Formation,Certification,Stage / projet,Autre"</formula1>
      <formula2>0</formula2>
    </dataValidation>
    <dataValidation type="list" allowBlank="1" showInputMessage="1" showErrorMessage="1" sqref="C66:C68">
      <formula1>"Académique,Professionnel,Associatif,Autre"</formula1>
      <formula2>0</formula2>
    </dataValidation>
    <dataValidation type="list" allowBlank="1" showInputMessage="1" showErrorMessage="1" sqref="C4">
      <formula1>"Mise à jour à partir du plan d'études,Nouvelle création"</formula1>
      <formula2>0</formula2>
    </dataValidation>
  </dataValidations>
  <hyperlinks>
    <hyperlink ref="B1" r:id="rId1" location="'Schéma d''enseignement'!A1"/>
  </hyperlinks>
  <pageMargins left="0.7" right="0.7" top="0.75" bottom="0.75" header="0.51180555555555496" footer="0.51180555555555496"/>
  <pageSetup paperSize="9" firstPageNumber="0" orientation="portrait" horizontalDpi="300" verticalDpi="300"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rgb="FF00B050"/>
    <pageSetUpPr fitToPage="1"/>
  </sheetPr>
  <dimension ref="B1:F90"/>
  <sheetViews>
    <sheetView view="pageBreakPreview" zoomScale="85" zoomScaleNormal="70" zoomScaleSheetLayoutView="85" workbookViewId="0">
      <selection activeCell="B1" sqref="B1"/>
    </sheetView>
  </sheetViews>
  <sheetFormatPr baseColWidth="10" defaultColWidth="8.85546875" defaultRowHeight="15.75" x14ac:dyDescent="0.25"/>
  <cols>
    <col min="1" max="1" width="1.42578125" style="108" customWidth="1"/>
    <col min="2" max="2" width="23.85546875" style="108" customWidth="1"/>
    <col min="3" max="3" width="21.42578125" style="108" customWidth="1"/>
    <col min="4" max="4" width="11.5703125" style="108" customWidth="1"/>
    <col min="5" max="5" width="9.85546875" style="108" customWidth="1"/>
    <col min="6" max="6" width="21.140625" style="108" customWidth="1"/>
    <col min="7" max="7" width="4.140625" style="108" customWidth="1"/>
    <col min="8" max="8" width="14.85546875" style="108" customWidth="1"/>
    <col min="9" max="256" width="8.85546875" style="108"/>
    <col min="257" max="257" width="1.42578125" style="108" customWidth="1"/>
    <col min="258" max="258" width="23.85546875" style="108" customWidth="1"/>
    <col min="259" max="259" width="21.42578125" style="108" customWidth="1"/>
    <col min="260" max="260" width="11.5703125" style="108" customWidth="1"/>
    <col min="261" max="261" width="9.85546875" style="108" customWidth="1"/>
    <col min="262" max="262" width="21.140625" style="108" customWidth="1"/>
    <col min="263" max="263" width="4.140625" style="108" customWidth="1"/>
    <col min="264" max="264" width="14.85546875" style="108" customWidth="1"/>
    <col min="265" max="512" width="8.85546875" style="108"/>
    <col min="513" max="513" width="1.42578125" style="108" customWidth="1"/>
    <col min="514" max="514" width="23.85546875" style="108" customWidth="1"/>
    <col min="515" max="515" width="21.42578125" style="108" customWidth="1"/>
    <col min="516" max="516" width="11.5703125" style="108" customWidth="1"/>
    <col min="517" max="517" width="9.85546875" style="108" customWidth="1"/>
    <col min="518" max="518" width="21.140625" style="108" customWidth="1"/>
    <col min="519" max="519" width="4.140625" style="108" customWidth="1"/>
    <col min="520" max="520" width="14.85546875" style="108" customWidth="1"/>
    <col min="521" max="768" width="8.85546875" style="108"/>
    <col min="769" max="769" width="1.42578125" style="108" customWidth="1"/>
    <col min="770" max="770" width="23.85546875" style="108" customWidth="1"/>
    <col min="771" max="771" width="21.42578125" style="108" customWidth="1"/>
    <col min="772" max="772" width="11.5703125" style="108" customWidth="1"/>
    <col min="773" max="773" width="9.85546875" style="108" customWidth="1"/>
    <col min="774" max="774" width="21.140625" style="108" customWidth="1"/>
    <col min="775" max="775" width="4.140625" style="108" customWidth="1"/>
    <col min="776" max="776" width="14.85546875" style="108" customWidth="1"/>
    <col min="777" max="1024" width="8.85546875" style="108"/>
    <col min="1025" max="1025" width="1.42578125" style="108" customWidth="1"/>
    <col min="1026" max="1026" width="23.85546875" style="108" customWidth="1"/>
    <col min="1027" max="1027" width="21.42578125" style="108" customWidth="1"/>
    <col min="1028" max="1028" width="11.5703125" style="108" customWidth="1"/>
    <col min="1029" max="1029" width="9.85546875" style="108" customWidth="1"/>
    <col min="1030" max="1030" width="21.140625" style="108" customWidth="1"/>
    <col min="1031" max="1031" width="4.140625" style="108" customWidth="1"/>
    <col min="1032" max="1032" width="14.85546875" style="108" customWidth="1"/>
    <col min="1033" max="1280" width="8.85546875" style="108"/>
    <col min="1281" max="1281" width="1.42578125" style="108" customWidth="1"/>
    <col min="1282" max="1282" width="23.85546875" style="108" customWidth="1"/>
    <col min="1283" max="1283" width="21.42578125" style="108" customWidth="1"/>
    <col min="1284" max="1284" width="11.5703125" style="108" customWidth="1"/>
    <col min="1285" max="1285" width="9.85546875" style="108" customWidth="1"/>
    <col min="1286" max="1286" width="21.140625" style="108" customWidth="1"/>
    <col min="1287" max="1287" width="4.140625" style="108" customWidth="1"/>
    <col min="1288" max="1288" width="14.85546875" style="108" customWidth="1"/>
    <col min="1289" max="1536" width="8.85546875" style="108"/>
    <col min="1537" max="1537" width="1.42578125" style="108" customWidth="1"/>
    <col min="1538" max="1538" width="23.85546875" style="108" customWidth="1"/>
    <col min="1539" max="1539" width="21.42578125" style="108" customWidth="1"/>
    <col min="1540" max="1540" width="11.5703125" style="108" customWidth="1"/>
    <col min="1541" max="1541" width="9.85546875" style="108" customWidth="1"/>
    <col min="1542" max="1542" width="21.140625" style="108" customWidth="1"/>
    <col min="1543" max="1543" width="4.140625" style="108" customWidth="1"/>
    <col min="1544" max="1544" width="14.85546875" style="108" customWidth="1"/>
    <col min="1545" max="1792" width="8.85546875" style="108"/>
    <col min="1793" max="1793" width="1.42578125" style="108" customWidth="1"/>
    <col min="1794" max="1794" width="23.85546875" style="108" customWidth="1"/>
    <col min="1795" max="1795" width="21.42578125" style="108" customWidth="1"/>
    <col min="1796" max="1796" width="11.5703125" style="108" customWidth="1"/>
    <col min="1797" max="1797" width="9.85546875" style="108" customWidth="1"/>
    <col min="1798" max="1798" width="21.140625" style="108" customWidth="1"/>
    <col min="1799" max="1799" width="4.140625" style="108" customWidth="1"/>
    <col min="1800" max="1800" width="14.85546875" style="108" customWidth="1"/>
    <col min="1801" max="2048" width="8.85546875" style="108"/>
    <col min="2049" max="2049" width="1.42578125" style="108" customWidth="1"/>
    <col min="2050" max="2050" width="23.85546875" style="108" customWidth="1"/>
    <col min="2051" max="2051" width="21.42578125" style="108" customWidth="1"/>
    <col min="2052" max="2052" width="11.5703125" style="108" customWidth="1"/>
    <col min="2053" max="2053" width="9.85546875" style="108" customWidth="1"/>
    <col min="2054" max="2054" width="21.140625" style="108" customWidth="1"/>
    <col min="2055" max="2055" width="4.140625" style="108" customWidth="1"/>
    <col min="2056" max="2056" width="14.85546875" style="108" customWidth="1"/>
    <col min="2057" max="2304" width="8.85546875" style="108"/>
    <col min="2305" max="2305" width="1.42578125" style="108" customWidth="1"/>
    <col min="2306" max="2306" width="23.85546875" style="108" customWidth="1"/>
    <col min="2307" max="2307" width="21.42578125" style="108" customWidth="1"/>
    <col min="2308" max="2308" width="11.5703125" style="108" customWidth="1"/>
    <col min="2309" max="2309" width="9.85546875" style="108" customWidth="1"/>
    <col min="2310" max="2310" width="21.140625" style="108" customWidth="1"/>
    <col min="2311" max="2311" width="4.140625" style="108" customWidth="1"/>
    <col min="2312" max="2312" width="14.85546875" style="108" customWidth="1"/>
    <col min="2313" max="2560" width="8.85546875" style="108"/>
    <col min="2561" max="2561" width="1.42578125" style="108" customWidth="1"/>
    <col min="2562" max="2562" width="23.85546875" style="108" customWidth="1"/>
    <col min="2563" max="2563" width="21.42578125" style="108" customWidth="1"/>
    <col min="2564" max="2564" width="11.5703125" style="108" customWidth="1"/>
    <col min="2565" max="2565" width="9.85546875" style="108" customWidth="1"/>
    <col min="2566" max="2566" width="21.140625" style="108" customWidth="1"/>
    <col min="2567" max="2567" width="4.140625" style="108" customWidth="1"/>
    <col min="2568" max="2568" width="14.85546875" style="108" customWidth="1"/>
    <col min="2569" max="2816" width="8.85546875" style="108"/>
    <col min="2817" max="2817" width="1.42578125" style="108" customWidth="1"/>
    <col min="2818" max="2818" width="23.85546875" style="108" customWidth="1"/>
    <col min="2819" max="2819" width="21.42578125" style="108" customWidth="1"/>
    <col min="2820" max="2820" width="11.5703125" style="108" customWidth="1"/>
    <col min="2821" max="2821" width="9.85546875" style="108" customWidth="1"/>
    <col min="2822" max="2822" width="21.140625" style="108" customWidth="1"/>
    <col min="2823" max="2823" width="4.140625" style="108" customWidth="1"/>
    <col min="2824" max="2824" width="14.85546875" style="108" customWidth="1"/>
    <col min="2825" max="3072" width="8.85546875" style="108"/>
    <col min="3073" max="3073" width="1.42578125" style="108" customWidth="1"/>
    <col min="3074" max="3074" width="23.85546875" style="108" customWidth="1"/>
    <col min="3075" max="3075" width="21.42578125" style="108" customWidth="1"/>
    <col min="3076" max="3076" width="11.5703125" style="108" customWidth="1"/>
    <col min="3077" max="3077" width="9.85546875" style="108" customWidth="1"/>
    <col min="3078" max="3078" width="21.140625" style="108" customWidth="1"/>
    <col min="3079" max="3079" width="4.140625" style="108" customWidth="1"/>
    <col min="3080" max="3080" width="14.85546875" style="108" customWidth="1"/>
    <col min="3081" max="3328" width="8.85546875" style="108"/>
    <col min="3329" max="3329" width="1.42578125" style="108" customWidth="1"/>
    <col min="3330" max="3330" width="23.85546875" style="108" customWidth="1"/>
    <col min="3331" max="3331" width="21.42578125" style="108" customWidth="1"/>
    <col min="3332" max="3332" width="11.5703125" style="108" customWidth="1"/>
    <col min="3333" max="3333" width="9.85546875" style="108" customWidth="1"/>
    <col min="3334" max="3334" width="21.140625" style="108" customWidth="1"/>
    <col min="3335" max="3335" width="4.140625" style="108" customWidth="1"/>
    <col min="3336" max="3336" width="14.85546875" style="108" customWidth="1"/>
    <col min="3337" max="3584" width="8.85546875" style="108"/>
    <col min="3585" max="3585" width="1.42578125" style="108" customWidth="1"/>
    <col min="3586" max="3586" width="23.85546875" style="108" customWidth="1"/>
    <col min="3587" max="3587" width="21.42578125" style="108" customWidth="1"/>
    <col min="3588" max="3588" width="11.5703125" style="108" customWidth="1"/>
    <col min="3589" max="3589" width="9.85546875" style="108" customWidth="1"/>
    <col min="3590" max="3590" width="21.140625" style="108" customWidth="1"/>
    <col min="3591" max="3591" width="4.140625" style="108" customWidth="1"/>
    <col min="3592" max="3592" width="14.85546875" style="108" customWidth="1"/>
    <col min="3593" max="3840" width="8.85546875" style="108"/>
    <col min="3841" max="3841" width="1.42578125" style="108" customWidth="1"/>
    <col min="3842" max="3842" width="23.85546875" style="108" customWidth="1"/>
    <col min="3843" max="3843" width="21.42578125" style="108" customWidth="1"/>
    <col min="3844" max="3844" width="11.5703125" style="108" customWidth="1"/>
    <col min="3845" max="3845" width="9.85546875" style="108" customWidth="1"/>
    <col min="3846" max="3846" width="21.140625" style="108" customWidth="1"/>
    <col min="3847" max="3847" width="4.140625" style="108" customWidth="1"/>
    <col min="3848" max="3848" width="14.85546875" style="108" customWidth="1"/>
    <col min="3849" max="4096" width="8.85546875" style="108"/>
    <col min="4097" max="4097" width="1.42578125" style="108" customWidth="1"/>
    <col min="4098" max="4098" width="23.85546875" style="108" customWidth="1"/>
    <col min="4099" max="4099" width="21.42578125" style="108" customWidth="1"/>
    <col min="4100" max="4100" width="11.5703125" style="108" customWidth="1"/>
    <col min="4101" max="4101" width="9.85546875" style="108" customWidth="1"/>
    <col min="4102" max="4102" width="21.140625" style="108" customWidth="1"/>
    <col min="4103" max="4103" width="4.140625" style="108" customWidth="1"/>
    <col min="4104" max="4104" width="14.85546875" style="108" customWidth="1"/>
    <col min="4105" max="4352" width="8.85546875" style="108"/>
    <col min="4353" max="4353" width="1.42578125" style="108" customWidth="1"/>
    <col min="4354" max="4354" width="23.85546875" style="108" customWidth="1"/>
    <col min="4355" max="4355" width="21.42578125" style="108" customWidth="1"/>
    <col min="4356" max="4356" width="11.5703125" style="108" customWidth="1"/>
    <col min="4357" max="4357" width="9.85546875" style="108" customWidth="1"/>
    <col min="4358" max="4358" width="21.140625" style="108" customWidth="1"/>
    <col min="4359" max="4359" width="4.140625" style="108" customWidth="1"/>
    <col min="4360" max="4360" width="14.85546875" style="108" customWidth="1"/>
    <col min="4361" max="4608" width="8.85546875" style="108"/>
    <col min="4609" max="4609" width="1.42578125" style="108" customWidth="1"/>
    <col min="4610" max="4610" width="23.85546875" style="108" customWidth="1"/>
    <col min="4611" max="4611" width="21.42578125" style="108" customWidth="1"/>
    <col min="4612" max="4612" width="11.5703125" style="108" customWidth="1"/>
    <col min="4613" max="4613" width="9.85546875" style="108" customWidth="1"/>
    <col min="4614" max="4614" width="21.140625" style="108" customWidth="1"/>
    <col min="4615" max="4615" width="4.140625" style="108" customWidth="1"/>
    <col min="4616" max="4616" width="14.85546875" style="108" customWidth="1"/>
    <col min="4617" max="4864" width="8.85546875" style="108"/>
    <col min="4865" max="4865" width="1.42578125" style="108" customWidth="1"/>
    <col min="4866" max="4866" width="23.85546875" style="108" customWidth="1"/>
    <col min="4867" max="4867" width="21.42578125" style="108" customWidth="1"/>
    <col min="4868" max="4868" width="11.5703125" style="108" customWidth="1"/>
    <col min="4869" max="4869" width="9.85546875" style="108" customWidth="1"/>
    <col min="4870" max="4870" width="21.140625" style="108" customWidth="1"/>
    <col min="4871" max="4871" width="4.140625" style="108" customWidth="1"/>
    <col min="4872" max="4872" width="14.85546875" style="108" customWidth="1"/>
    <col min="4873" max="5120" width="8.85546875" style="108"/>
    <col min="5121" max="5121" width="1.42578125" style="108" customWidth="1"/>
    <col min="5122" max="5122" width="23.85546875" style="108" customWidth="1"/>
    <col min="5123" max="5123" width="21.42578125" style="108" customWidth="1"/>
    <col min="5124" max="5124" width="11.5703125" style="108" customWidth="1"/>
    <col min="5125" max="5125" width="9.85546875" style="108" customWidth="1"/>
    <col min="5126" max="5126" width="21.140625" style="108" customWidth="1"/>
    <col min="5127" max="5127" width="4.140625" style="108" customWidth="1"/>
    <col min="5128" max="5128" width="14.85546875" style="108" customWidth="1"/>
    <col min="5129" max="5376" width="8.85546875" style="108"/>
    <col min="5377" max="5377" width="1.42578125" style="108" customWidth="1"/>
    <col min="5378" max="5378" width="23.85546875" style="108" customWidth="1"/>
    <col min="5379" max="5379" width="21.42578125" style="108" customWidth="1"/>
    <col min="5380" max="5380" width="11.5703125" style="108" customWidth="1"/>
    <col min="5381" max="5381" width="9.85546875" style="108" customWidth="1"/>
    <col min="5382" max="5382" width="21.140625" style="108" customWidth="1"/>
    <col min="5383" max="5383" width="4.140625" style="108" customWidth="1"/>
    <col min="5384" max="5384" width="14.85546875" style="108" customWidth="1"/>
    <col min="5385" max="5632" width="8.85546875" style="108"/>
    <col min="5633" max="5633" width="1.42578125" style="108" customWidth="1"/>
    <col min="5634" max="5634" width="23.85546875" style="108" customWidth="1"/>
    <col min="5635" max="5635" width="21.42578125" style="108" customWidth="1"/>
    <col min="5636" max="5636" width="11.5703125" style="108" customWidth="1"/>
    <col min="5637" max="5637" width="9.85546875" style="108" customWidth="1"/>
    <col min="5638" max="5638" width="21.140625" style="108" customWidth="1"/>
    <col min="5639" max="5639" width="4.140625" style="108" customWidth="1"/>
    <col min="5640" max="5640" width="14.85546875" style="108" customWidth="1"/>
    <col min="5641" max="5888" width="8.85546875" style="108"/>
    <col min="5889" max="5889" width="1.42578125" style="108" customWidth="1"/>
    <col min="5890" max="5890" width="23.85546875" style="108" customWidth="1"/>
    <col min="5891" max="5891" width="21.42578125" style="108" customWidth="1"/>
    <col min="5892" max="5892" width="11.5703125" style="108" customWidth="1"/>
    <col min="5893" max="5893" width="9.85546875" style="108" customWidth="1"/>
    <col min="5894" max="5894" width="21.140625" style="108" customWidth="1"/>
    <col min="5895" max="5895" width="4.140625" style="108" customWidth="1"/>
    <col min="5896" max="5896" width="14.85546875" style="108" customWidth="1"/>
    <col min="5897" max="6144" width="8.85546875" style="108"/>
    <col min="6145" max="6145" width="1.42578125" style="108" customWidth="1"/>
    <col min="6146" max="6146" width="23.85546875" style="108" customWidth="1"/>
    <col min="6147" max="6147" width="21.42578125" style="108" customWidth="1"/>
    <col min="6148" max="6148" width="11.5703125" style="108" customWidth="1"/>
    <col min="6149" max="6149" width="9.85546875" style="108" customWidth="1"/>
    <col min="6150" max="6150" width="21.140625" style="108" customWidth="1"/>
    <col min="6151" max="6151" width="4.140625" style="108" customWidth="1"/>
    <col min="6152" max="6152" width="14.85546875" style="108" customWidth="1"/>
    <col min="6153" max="6400" width="8.85546875" style="108"/>
    <col min="6401" max="6401" width="1.42578125" style="108" customWidth="1"/>
    <col min="6402" max="6402" width="23.85546875" style="108" customWidth="1"/>
    <col min="6403" max="6403" width="21.42578125" style="108" customWidth="1"/>
    <col min="6404" max="6404" width="11.5703125" style="108" customWidth="1"/>
    <col min="6405" max="6405" width="9.85546875" style="108" customWidth="1"/>
    <col min="6406" max="6406" width="21.140625" style="108" customWidth="1"/>
    <col min="6407" max="6407" width="4.140625" style="108" customWidth="1"/>
    <col min="6408" max="6408" width="14.85546875" style="108" customWidth="1"/>
    <col min="6409" max="6656" width="8.85546875" style="108"/>
    <col min="6657" max="6657" width="1.42578125" style="108" customWidth="1"/>
    <col min="6658" max="6658" width="23.85546875" style="108" customWidth="1"/>
    <col min="6659" max="6659" width="21.42578125" style="108" customWidth="1"/>
    <col min="6660" max="6660" width="11.5703125" style="108" customWidth="1"/>
    <col min="6661" max="6661" width="9.85546875" style="108" customWidth="1"/>
    <col min="6662" max="6662" width="21.140625" style="108" customWidth="1"/>
    <col min="6663" max="6663" width="4.140625" style="108" customWidth="1"/>
    <col min="6664" max="6664" width="14.85546875" style="108" customWidth="1"/>
    <col min="6665" max="6912" width="8.85546875" style="108"/>
    <col min="6913" max="6913" width="1.42578125" style="108" customWidth="1"/>
    <col min="6914" max="6914" width="23.85546875" style="108" customWidth="1"/>
    <col min="6915" max="6915" width="21.42578125" style="108" customWidth="1"/>
    <col min="6916" max="6916" width="11.5703125" style="108" customWidth="1"/>
    <col min="6917" max="6917" width="9.85546875" style="108" customWidth="1"/>
    <col min="6918" max="6918" width="21.140625" style="108" customWidth="1"/>
    <col min="6919" max="6919" width="4.140625" style="108" customWidth="1"/>
    <col min="6920" max="6920" width="14.85546875" style="108" customWidth="1"/>
    <col min="6921" max="7168" width="8.85546875" style="108"/>
    <col min="7169" max="7169" width="1.42578125" style="108" customWidth="1"/>
    <col min="7170" max="7170" width="23.85546875" style="108" customWidth="1"/>
    <col min="7171" max="7171" width="21.42578125" style="108" customWidth="1"/>
    <col min="7172" max="7172" width="11.5703125" style="108" customWidth="1"/>
    <col min="7173" max="7173" width="9.85546875" style="108" customWidth="1"/>
    <col min="7174" max="7174" width="21.140625" style="108" customWidth="1"/>
    <col min="7175" max="7175" width="4.140625" style="108" customWidth="1"/>
    <col min="7176" max="7176" width="14.85546875" style="108" customWidth="1"/>
    <col min="7177" max="7424" width="8.85546875" style="108"/>
    <col min="7425" max="7425" width="1.42578125" style="108" customWidth="1"/>
    <col min="7426" max="7426" width="23.85546875" style="108" customWidth="1"/>
    <col min="7427" max="7427" width="21.42578125" style="108" customWidth="1"/>
    <col min="7428" max="7428" width="11.5703125" style="108" customWidth="1"/>
    <col min="7429" max="7429" width="9.85546875" style="108" customWidth="1"/>
    <col min="7430" max="7430" width="21.140625" style="108" customWidth="1"/>
    <col min="7431" max="7431" width="4.140625" style="108" customWidth="1"/>
    <col min="7432" max="7432" width="14.85546875" style="108" customWidth="1"/>
    <col min="7433" max="7680" width="8.85546875" style="108"/>
    <col min="7681" max="7681" width="1.42578125" style="108" customWidth="1"/>
    <col min="7682" max="7682" width="23.85546875" style="108" customWidth="1"/>
    <col min="7683" max="7683" width="21.42578125" style="108" customWidth="1"/>
    <col min="7684" max="7684" width="11.5703125" style="108" customWidth="1"/>
    <col min="7685" max="7685" width="9.85546875" style="108" customWidth="1"/>
    <col min="7686" max="7686" width="21.140625" style="108" customWidth="1"/>
    <col min="7687" max="7687" width="4.140625" style="108" customWidth="1"/>
    <col min="7688" max="7688" width="14.85546875" style="108" customWidth="1"/>
    <col min="7689" max="7936" width="8.85546875" style="108"/>
    <col min="7937" max="7937" width="1.42578125" style="108" customWidth="1"/>
    <col min="7938" max="7938" width="23.85546875" style="108" customWidth="1"/>
    <col min="7939" max="7939" width="21.42578125" style="108" customWidth="1"/>
    <col min="7940" max="7940" width="11.5703125" style="108" customWidth="1"/>
    <col min="7941" max="7941" width="9.85546875" style="108" customWidth="1"/>
    <col min="7942" max="7942" width="21.140625" style="108" customWidth="1"/>
    <col min="7943" max="7943" width="4.140625" style="108" customWidth="1"/>
    <col min="7944" max="7944" width="14.85546875" style="108" customWidth="1"/>
    <col min="7945" max="8192" width="8.85546875" style="108"/>
    <col min="8193" max="8193" width="1.42578125" style="108" customWidth="1"/>
    <col min="8194" max="8194" width="23.85546875" style="108" customWidth="1"/>
    <col min="8195" max="8195" width="21.42578125" style="108" customWidth="1"/>
    <col min="8196" max="8196" width="11.5703125" style="108" customWidth="1"/>
    <col min="8197" max="8197" width="9.85546875" style="108" customWidth="1"/>
    <col min="8198" max="8198" width="21.140625" style="108" customWidth="1"/>
    <col min="8199" max="8199" width="4.140625" style="108" customWidth="1"/>
    <col min="8200" max="8200" width="14.85546875" style="108" customWidth="1"/>
    <col min="8201" max="8448" width="8.85546875" style="108"/>
    <col min="8449" max="8449" width="1.42578125" style="108" customWidth="1"/>
    <col min="8450" max="8450" width="23.85546875" style="108" customWidth="1"/>
    <col min="8451" max="8451" width="21.42578125" style="108" customWidth="1"/>
    <col min="8452" max="8452" width="11.5703125" style="108" customWidth="1"/>
    <col min="8453" max="8453" width="9.85546875" style="108" customWidth="1"/>
    <col min="8454" max="8454" width="21.140625" style="108" customWidth="1"/>
    <col min="8455" max="8455" width="4.140625" style="108" customWidth="1"/>
    <col min="8456" max="8456" width="14.85546875" style="108" customWidth="1"/>
    <col min="8457" max="8704" width="8.85546875" style="108"/>
    <col min="8705" max="8705" width="1.42578125" style="108" customWidth="1"/>
    <col min="8706" max="8706" width="23.85546875" style="108" customWidth="1"/>
    <col min="8707" max="8707" width="21.42578125" style="108" customWidth="1"/>
    <col min="8708" max="8708" width="11.5703125" style="108" customWidth="1"/>
    <col min="8709" max="8709" width="9.85546875" style="108" customWidth="1"/>
    <col min="8710" max="8710" width="21.140625" style="108" customWidth="1"/>
    <col min="8711" max="8711" width="4.140625" style="108" customWidth="1"/>
    <col min="8712" max="8712" width="14.85546875" style="108" customWidth="1"/>
    <col min="8713" max="8960" width="8.85546875" style="108"/>
    <col min="8961" max="8961" width="1.42578125" style="108" customWidth="1"/>
    <col min="8962" max="8962" width="23.85546875" style="108" customWidth="1"/>
    <col min="8963" max="8963" width="21.42578125" style="108" customWidth="1"/>
    <col min="8964" max="8964" width="11.5703125" style="108" customWidth="1"/>
    <col min="8965" max="8965" width="9.85546875" style="108" customWidth="1"/>
    <col min="8966" max="8966" width="21.140625" style="108" customWidth="1"/>
    <col min="8967" max="8967" width="4.140625" style="108" customWidth="1"/>
    <col min="8968" max="8968" width="14.85546875" style="108" customWidth="1"/>
    <col min="8969" max="9216" width="8.85546875" style="108"/>
    <col min="9217" max="9217" width="1.42578125" style="108" customWidth="1"/>
    <col min="9218" max="9218" width="23.85546875" style="108" customWidth="1"/>
    <col min="9219" max="9219" width="21.42578125" style="108" customWidth="1"/>
    <col min="9220" max="9220" width="11.5703125" style="108" customWidth="1"/>
    <col min="9221" max="9221" width="9.85546875" style="108" customWidth="1"/>
    <col min="9222" max="9222" width="21.140625" style="108" customWidth="1"/>
    <col min="9223" max="9223" width="4.140625" style="108" customWidth="1"/>
    <col min="9224" max="9224" width="14.85546875" style="108" customWidth="1"/>
    <col min="9225" max="9472" width="8.85546875" style="108"/>
    <col min="9473" max="9473" width="1.42578125" style="108" customWidth="1"/>
    <col min="9474" max="9474" width="23.85546875" style="108" customWidth="1"/>
    <col min="9475" max="9475" width="21.42578125" style="108" customWidth="1"/>
    <col min="9476" max="9476" width="11.5703125" style="108" customWidth="1"/>
    <col min="9477" max="9477" width="9.85546875" style="108" customWidth="1"/>
    <col min="9478" max="9478" width="21.140625" style="108" customWidth="1"/>
    <col min="9479" max="9479" width="4.140625" style="108" customWidth="1"/>
    <col min="9480" max="9480" width="14.85546875" style="108" customWidth="1"/>
    <col min="9481" max="9728" width="8.85546875" style="108"/>
    <col min="9729" max="9729" width="1.42578125" style="108" customWidth="1"/>
    <col min="9730" max="9730" width="23.85546875" style="108" customWidth="1"/>
    <col min="9731" max="9731" width="21.42578125" style="108" customWidth="1"/>
    <col min="9732" max="9732" width="11.5703125" style="108" customWidth="1"/>
    <col min="9733" max="9733" width="9.85546875" style="108" customWidth="1"/>
    <col min="9734" max="9734" width="21.140625" style="108" customWidth="1"/>
    <col min="9735" max="9735" width="4.140625" style="108" customWidth="1"/>
    <col min="9736" max="9736" width="14.85546875" style="108" customWidth="1"/>
    <col min="9737" max="9984" width="8.85546875" style="108"/>
    <col min="9985" max="9985" width="1.42578125" style="108" customWidth="1"/>
    <col min="9986" max="9986" width="23.85546875" style="108" customWidth="1"/>
    <col min="9987" max="9987" width="21.42578125" style="108" customWidth="1"/>
    <col min="9988" max="9988" width="11.5703125" style="108" customWidth="1"/>
    <col min="9989" max="9989" width="9.85546875" style="108" customWidth="1"/>
    <col min="9990" max="9990" width="21.140625" style="108" customWidth="1"/>
    <col min="9991" max="9991" width="4.140625" style="108" customWidth="1"/>
    <col min="9992" max="9992" width="14.85546875" style="108" customWidth="1"/>
    <col min="9993" max="10240" width="8.85546875" style="108"/>
    <col min="10241" max="10241" width="1.42578125" style="108" customWidth="1"/>
    <col min="10242" max="10242" width="23.85546875" style="108" customWidth="1"/>
    <col min="10243" max="10243" width="21.42578125" style="108" customWidth="1"/>
    <col min="10244" max="10244" width="11.5703125" style="108" customWidth="1"/>
    <col min="10245" max="10245" width="9.85546875" style="108" customWidth="1"/>
    <col min="10246" max="10246" width="21.140625" style="108" customWidth="1"/>
    <col min="10247" max="10247" width="4.140625" style="108" customWidth="1"/>
    <col min="10248" max="10248" width="14.85546875" style="108" customWidth="1"/>
    <col min="10249" max="10496" width="8.85546875" style="108"/>
    <col min="10497" max="10497" width="1.42578125" style="108" customWidth="1"/>
    <col min="10498" max="10498" width="23.85546875" style="108" customWidth="1"/>
    <col min="10499" max="10499" width="21.42578125" style="108" customWidth="1"/>
    <col min="10500" max="10500" width="11.5703125" style="108" customWidth="1"/>
    <col min="10501" max="10501" width="9.85546875" style="108" customWidth="1"/>
    <col min="10502" max="10502" width="21.140625" style="108" customWidth="1"/>
    <col min="10503" max="10503" width="4.140625" style="108" customWidth="1"/>
    <col min="10504" max="10504" width="14.85546875" style="108" customWidth="1"/>
    <col min="10505" max="10752" width="8.85546875" style="108"/>
    <col min="10753" max="10753" width="1.42578125" style="108" customWidth="1"/>
    <col min="10754" max="10754" width="23.85546875" style="108" customWidth="1"/>
    <col min="10755" max="10755" width="21.42578125" style="108" customWidth="1"/>
    <col min="10756" max="10756" width="11.5703125" style="108" customWidth="1"/>
    <col min="10757" max="10757" width="9.85546875" style="108" customWidth="1"/>
    <col min="10758" max="10758" width="21.140625" style="108" customWidth="1"/>
    <col min="10759" max="10759" width="4.140625" style="108" customWidth="1"/>
    <col min="10760" max="10760" width="14.85546875" style="108" customWidth="1"/>
    <col min="10761" max="11008" width="8.85546875" style="108"/>
    <col min="11009" max="11009" width="1.42578125" style="108" customWidth="1"/>
    <col min="11010" max="11010" width="23.85546875" style="108" customWidth="1"/>
    <col min="11011" max="11011" width="21.42578125" style="108" customWidth="1"/>
    <col min="11012" max="11012" width="11.5703125" style="108" customWidth="1"/>
    <col min="11013" max="11013" width="9.85546875" style="108" customWidth="1"/>
    <col min="11014" max="11014" width="21.140625" style="108" customWidth="1"/>
    <col min="11015" max="11015" width="4.140625" style="108" customWidth="1"/>
    <col min="11016" max="11016" width="14.85546875" style="108" customWidth="1"/>
    <col min="11017" max="11264" width="8.85546875" style="108"/>
    <col min="11265" max="11265" width="1.42578125" style="108" customWidth="1"/>
    <col min="11266" max="11266" width="23.85546875" style="108" customWidth="1"/>
    <col min="11267" max="11267" width="21.42578125" style="108" customWidth="1"/>
    <col min="11268" max="11268" width="11.5703125" style="108" customWidth="1"/>
    <col min="11269" max="11269" width="9.85546875" style="108" customWidth="1"/>
    <col min="11270" max="11270" width="21.140625" style="108" customWidth="1"/>
    <col min="11271" max="11271" width="4.140625" style="108" customWidth="1"/>
    <col min="11272" max="11272" width="14.85546875" style="108" customWidth="1"/>
    <col min="11273" max="11520" width="8.85546875" style="108"/>
    <col min="11521" max="11521" width="1.42578125" style="108" customWidth="1"/>
    <col min="11522" max="11522" width="23.85546875" style="108" customWidth="1"/>
    <col min="11523" max="11523" width="21.42578125" style="108" customWidth="1"/>
    <col min="11524" max="11524" width="11.5703125" style="108" customWidth="1"/>
    <col min="11525" max="11525" width="9.85546875" style="108" customWidth="1"/>
    <col min="11526" max="11526" width="21.140625" style="108" customWidth="1"/>
    <col min="11527" max="11527" width="4.140625" style="108" customWidth="1"/>
    <col min="11528" max="11528" width="14.85546875" style="108" customWidth="1"/>
    <col min="11529" max="11776" width="8.85546875" style="108"/>
    <col min="11777" max="11777" width="1.42578125" style="108" customWidth="1"/>
    <col min="11778" max="11778" width="23.85546875" style="108" customWidth="1"/>
    <col min="11779" max="11779" width="21.42578125" style="108" customWidth="1"/>
    <col min="11780" max="11780" width="11.5703125" style="108" customWidth="1"/>
    <col min="11781" max="11781" width="9.85546875" style="108" customWidth="1"/>
    <col min="11782" max="11782" width="21.140625" style="108" customWidth="1"/>
    <col min="11783" max="11783" width="4.140625" style="108" customWidth="1"/>
    <col min="11784" max="11784" width="14.85546875" style="108" customWidth="1"/>
    <col min="11785" max="12032" width="8.85546875" style="108"/>
    <col min="12033" max="12033" width="1.42578125" style="108" customWidth="1"/>
    <col min="12034" max="12034" width="23.85546875" style="108" customWidth="1"/>
    <col min="12035" max="12035" width="21.42578125" style="108" customWidth="1"/>
    <col min="12036" max="12036" width="11.5703125" style="108" customWidth="1"/>
    <col min="12037" max="12037" width="9.85546875" style="108" customWidth="1"/>
    <col min="12038" max="12038" width="21.140625" style="108" customWidth="1"/>
    <col min="12039" max="12039" width="4.140625" style="108" customWidth="1"/>
    <col min="12040" max="12040" width="14.85546875" style="108" customWidth="1"/>
    <col min="12041" max="12288" width="8.85546875" style="108"/>
    <col min="12289" max="12289" width="1.42578125" style="108" customWidth="1"/>
    <col min="12290" max="12290" width="23.85546875" style="108" customWidth="1"/>
    <col min="12291" max="12291" width="21.42578125" style="108" customWidth="1"/>
    <col min="12292" max="12292" width="11.5703125" style="108" customWidth="1"/>
    <col min="12293" max="12293" width="9.85546875" style="108" customWidth="1"/>
    <col min="12294" max="12294" width="21.140625" style="108" customWidth="1"/>
    <col min="12295" max="12295" width="4.140625" style="108" customWidth="1"/>
    <col min="12296" max="12296" width="14.85546875" style="108" customWidth="1"/>
    <col min="12297" max="12544" width="8.85546875" style="108"/>
    <col min="12545" max="12545" width="1.42578125" style="108" customWidth="1"/>
    <col min="12546" max="12546" width="23.85546875" style="108" customWidth="1"/>
    <col min="12547" max="12547" width="21.42578125" style="108" customWidth="1"/>
    <col min="12548" max="12548" width="11.5703125" style="108" customWidth="1"/>
    <col min="12549" max="12549" width="9.85546875" style="108" customWidth="1"/>
    <col min="12550" max="12550" width="21.140625" style="108" customWidth="1"/>
    <col min="12551" max="12551" width="4.140625" style="108" customWidth="1"/>
    <col min="12552" max="12552" width="14.85546875" style="108" customWidth="1"/>
    <col min="12553" max="12800" width="8.85546875" style="108"/>
    <col min="12801" max="12801" width="1.42578125" style="108" customWidth="1"/>
    <col min="12802" max="12802" width="23.85546875" style="108" customWidth="1"/>
    <col min="12803" max="12803" width="21.42578125" style="108" customWidth="1"/>
    <col min="12804" max="12804" width="11.5703125" style="108" customWidth="1"/>
    <col min="12805" max="12805" width="9.85546875" style="108" customWidth="1"/>
    <col min="12806" max="12806" width="21.140625" style="108" customWidth="1"/>
    <col min="12807" max="12807" width="4.140625" style="108" customWidth="1"/>
    <col min="12808" max="12808" width="14.85546875" style="108" customWidth="1"/>
    <col min="12809" max="13056" width="8.85546875" style="108"/>
    <col min="13057" max="13057" width="1.42578125" style="108" customWidth="1"/>
    <col min="13058" max="13058" width="23.85546875" style="108" customWidth="1"/>
    <col min="13059" max="13059" width="21.42578125" style="108" customWidth="1"/>
    <col min="13060" max="13060" width="11.5703125" style="108" customWidth="1"/>
    <col min="13061" max="13061" width="9.85546875" style="108" customWidth="1"/>
    <col min="13062" max="13062" width="21.140625" style="108" customWidth="1"/>
    <col min="13063" max="13063" width="4.140625" style="108" customWidth="1"/>
    <col min="13064" max="13064" width="14.85546875" style="108" customWidth="1"/>
    <col min="13065" max="13312" width="8.85546875" style="108"/>
    <col min="13313" max="13313" width="1.42578125" style="108" customWidth="1"/>
    <col min="13314" max="13314" width="23.85546875" style="108" customWidth="1"/>
    <col min="13315" max="13315" width="21.42578125" style="108" customWidth="1"/>
    <col min="13316" max="13316" width="11.5703125" style="108" customWidth="1"/>
    <col min="13317" max="13317" width="9.85546875" style="108" customWidth="1"/>
    <col min="13318" max="13318" width="21.140625" style="108" customWidth="1"/>
    <col min="13319" max="13319" width="4.140625" style="108" customWidth="1"/>
    <col min="13320" max="13320" width="14.85546875" style="108" customWidth="1"/>
    <col min="13321" max="13568" width="8.85546875" style="108"/>
    <col min="13569" max="13569" width="1.42578125" style="108" customWidth="1"/>
    <col min="13570" max="13570" width="23.85546875" style="108" customWidth="1"/>
    <col min="13571" max="13571" width="21.42578125" style="108" customWidth="1"/>
    <col min="13572" max="13572" width="11.5703125" style="108" customWidth="1"/>
    <col min="13573" max="13573" width="9.85546875" style="108" customWidth="1"/>
    <col min="13574" max="13574" width="21.140625" style="108" customWidth="1"/>
    <col min="13575" max="13575" width="4.140625" style="108" customWidth="1"/>
    <col min="13576" max="13576" width="14.85546875" style="108" customWidth="1"/>
    <col min="13577" max="13824" width="8.85546875" style="108"/>
    <col min="13825" max="13825" width="1.42578125" style="108" customWidth="1"/>
    <col min="13826" max="13826" width="23.85546875" style="108" customWidth="1"/>
    <col min="13827" max="13827" width="21.42578125" style="108" customWidth="1"/>
    <col min="13828" max="13828" width="11.5703125" style="108" customWidth="1"/>
    <col min="13829" max="13829" width="9.85546875" style="108" customWidth="1"/>
    <col min="13830" max="13830" width="21.140625" style="108" customWidth="1"/>
    <col min="13831" max="13831" width="4.140625" style="108" customWidth="1"/>
    <col min="13832" max="13832" width="14.85546875" style="108" customWidth="1"/>
    <col min="13833" max="14080" width="8.85546875" style="108"/>
    <col min="14081" max="14081" width="1.42578125" style="108" customWidth="1"/>
    <col min="14082" max="14082" width="23.85546875" style="108" customWidth="1"/>
    <col min="14083" max="14083" width="21.42578125" style="108" customWidth="1"/>
    <col min="14084" max="14084" width="11.5703125" style="108" customWidth="1"/>
    <col min="14085" max="14085" width="9.85546875" style="108" customWidth="1"/>
    <col min="14086" max="14086" width="21.140625" style="108" customWidth="1"/>
    <col min="14087" max="14087" width="4.140625" style="108" customWidth="1"/>
    <col min="14088" max="14088" width="14.85546875" style="108" customWidth="1"/>
    <col min="14089" max="14336" width="8.85546875" style="108"/>
    <col min="14337" max="14337" width="1.42578125" style="108" customWidth="1"/>
    <col min="14338" max="14338" width="23.85546875" style="108" customWidth="1"/>
    <col min="14339" max="14339" width="21.42578125" style="108" customWidth="1"/>
    <col min="14340" max="14340" width="11.5703125" style="108" customWidth="1"/>
    <col min="14341" max="14341" width="9.85546875" style="108" customWidth="1"/>
    <col min="14342" max="14342" width="21.140625" style="108" customWidth="1"/>
    <col min="14343" max="14343" width="4.140625" style="108" customWidth="1"/>
    <col min="14344" max="14344" width="14.85546875" style="108" customWidth="1"/>
    <col min="14345" max="14592" width="8.85546875" style="108"/>
    <col min="14593" max="14593" width="1.42578125" style="108" customWidth="1"/>
    <col min="14594" max="14594" width="23.85546875" style="108" customWidth="1"/>
    <col min="14595" max="14595" width="21.42578125" style="108" customWidth="1"/>
    <col min="14596" max="14596" width="11.5703125" style="108" customWidth="1"/>
    <col min="14597" max="14597" width="9.85546875" style="108" customWidth="1"/>
    <col min="14598" max="14598" width="21.140625" style="108" customWidth="1"/>
    <col min="14599" max="14599" width="4.140625" style="108" customWidth="1"/>
    <col min="14600" max="14600" width="14.85546875" style="108" customWidth="1"/>
    <col min="14601" max="14848" width="8.85546875" style="108"/>
    <col min="14849" max="14849" width="1.42578125" style="108" customWidth="1"/>
    <col min="14850" max="14850" width="23.85546875" style="108" customWidth="1"/>
    <col min="14851" max="14851" width="21.42578125" style="108" customWidth="1"/>
    <col min="14852" max="14852" width="11.5703125" style="108" customWidth="1"/>
    <col min="14853" max="14853" width="9.85546875" style="108" customWidth="1"/>
    <col min="14854" max="14854" width="21.140625" style="108" customWidth="1"/>
    <col min="14855" max="14855" width="4.140625" style="108" customWidth="1"/>
    <col min="14856" max="14856" width="14.85546875" style="108" customWidth="1"/>
    <col min="14857" max="15104" width="8.85546875" style="108"/>
    <col min="15105" max="15105" width="1.42578125" style="108" customWidth="1"/>
    <col min="15106" max="15106" width="23.85546875" style="108" customWidth="1"/>
    <col min="15107" max="15107" width="21.42578125" style="108" customWidth="1"/>
    <col min="15108" max="15108" width="11.5703125" style="108" customWidth="1"/>
    <col min="15109" max="15109" width="9.85546875" style="108" customWidth="1"/>
    <col min="15110" max="15110" width="21.140625" style="108" customWidth="1"/>
    <col min="15111" max="15111" width="4.140625" style="108" customWidth="1"/>
    <col min="15112" max="15112" width="14.85546875" style="108" customWidth="1"/>
    <col min="15113" max="15360" width="8.85546875" style="108"/>
    <col min="15361" max="15361" width="1.42578125" style="108" customWidth="1"/>
    <col min="15362" max="15362" width="23.85546875" style="108" customWidth="1"/>
    <col min="15363" max="15363" width="21.42578125" style="108" customWidth="1"/>
    <col min="15364" max="15364" width="11.5703125" style="108" customWidth="1"/>
    <col min="15365" max="15365" width="9.85546875" style="108" customWidth="1"/>
    <col min="15366" max="15366" width="21.140625" style="108" customWidth="1"/>
    <col min="15367" max="15367" width="4.140625" style="108" customWidth="1"/>
    <col min="15368" max="15368" width="14.85546875" style="108" customWidth="1"/>
    <col min="15369" max="15616" width="8.85546875" style="108"/>
    <col min="15617" max="15617" width="1.42578125" style="108" customWidth="1"/>
    <col min="15618" max="15618" width="23.85546875" style="108" customWidth="1"/>
    <col min="15619" max="15619" width="21.42578125" style="108" customWidth="1"/>
    <col min="15620" max="15620" width="11.5703125" style="108" customWidth="1"/>
    <col min="15621" max="15621" width="9.85546875" style="108" customWidth="1"/>
    <col min="15622" max="15622" width="21.140625" style="108" customWidth="1"/>
    <col min="15623" max="15623" width="4.140625" style="108" customWidth="1"/>
    <col min="15624" max="15624" width="14.85546875" style="108" customWidth="1"/>
    <col min="15625" max="15872" width="8.85546875" style="108"/>
    <col min="15873" max="15873" width="1.42578125" style="108" customWidth="1"/>
    <col min="15874" max="15874" width="23.85546875" style="108" customWidth="1"/>
    <col min="15875" max="15875" width="21.42578125" style="108" customWidth="1"/>
    <col min="15876" max="15876" width="11.5703125" style="108" customWidth="1"/>
    <col min="15877" max="15877" width="9.85546875" style="108" customWidth="1"/>
    <col min="15878" max="15878" width="21.140625" style="108" customWidth="1"/>
    <col min="15879" max="15879" width="4.140625" style="108" customWidth="1"/>
    <col min="15880" max="15880" width="14.85546875" style="108" customWidth="1"/>
    <col min="15881" max="16128" width="8.85546875" style="108"/>
    <col min="16129" max="16129" width="1.42578125" style="108" customWidth="1"/>
    <col min="16130" max="16130" width="23.85546875" style="108" customWidth="1"/>
    <col min="16131" max="16131" width="21.42578125" style="108" customWidth="1"/>
    <col min="16132" max="16132" width="11.5703125" style="108" customWidth="1"/>
    <col min="16133" max="16133" width="9.85546875" style="108" customWidth="1"/>
    <col min="16134" max="16134" width="21.140625" style="108" customWidth="1"/>
    <col min="16135" max="16135" width="4.140625" style="108" customWidth="1"/>
    <col min="16136" max="16136" width="14.85546875" style="108" customWidth="1"/>
    <col min="16137" max="16384" width="8.85546875" style="108"/>
  </cols>
  <sheetData>
    <row r="1" spans="2:6" x14ac:dyDescent="0.25">
      <c r="B1" s="309" t="s">
        <v>857</v>
      </c>
    </row>
    <row r="2" spans="2:6" ht="22.35" customHeight="1" x14ac:dyDescent="0.25">
      <c r="B2" s="109" t="s">
        <v>736</v>
      </c>
      <c r="C2" s="110"/>
      <c r="D2" s="110"/>
      <c r="E2" s="110"/>
      <c r="F2" s="110"/>
    </row>
    <row r="3" spans="2:6" s="112" customFormat="1" x14ac:dyDescent="0.25"/>
    <row r="4" spans="2:6" s="112" customFormat="1" x14ac:dyDescent="0.25">
      <c r="B4" s="128" t="s">
        <v>87</v>
      </c>
      <c r="C4" s="555" t="s">
        <v>465</v>
      </c>
      <c r="D4" s="555"/>
      <c r="E4" s="555"/>
      <c r="F4" s="555"/>
    </row>
    <row r="5" spans="2:6" s="112" customFormat="1" x14ac:dyDescent="0.25">
      <c r="B5" s="128" t="s">
        <v>88</v>
      </c>
      <c r="C5" s="555" t="s">
        <v>483</v>
      </c>
      <c r="D5" s="555"/>
      <c r="E5" s="555"/>
      <c r="F5" s="555"/>
    </row>
    <row r="6" spans="2:6" s="112" customFormat="1" x14ac:dyDescent="0.25">
      <c r="B6" s="128" t="s">
        <v>89</v>
      </c>
      <c r="C6" s="555" t="s">
        <v>737</v>
      </c>
      <c r="D6" s="555"/>
      <c r="E6" s="555"/>
      <c r="F6" s="555"/>
    </row>
    <row r="7" spans="2:6" s="112" customFormat="1" x14ac:dyDescent="0.25">
      <c r="B7" s="128" t="s">
        <v>90</v>
      </c>
      <c r="C7" s="555" t="s">
        <v>738</v>
      </c>
      <c r="D7" s="555"/>
      <c r="E7" s="555"/>
      <c r="F7" s="555"/>
    </row>
    <row r="8" spans="2:6" s="112" customFormat="1" x14ac:dyDescent="0.25">
      <c r="B8" s="128" t="s">
        <v>225</v>
      </c>
      <c r="C8" s="555" t="s">
        <v>739</v>
      </c>
      <c r="D8" s="555"/>
      <c r="E8" s="555"/>
      <c r="F8" s="555"/>
    </row>
    <row r="9" spans="2:6" s="112" customFormat="1" x14ac:dyDescent="0.25">
      <c r="B9" s="128" t="s">
        <v>91</v>
      </c>
      <c r="C9" s="555">
        <v>5</v>
      </c>
      <c r="D9" s="555"/>
      <c r="E9" s="555"/>
      <c r="F9" s="555"/>
    </row>
    <row r="10" spans="2:6" s="112" customFormat="1" x14ac:dyDescent="0.25"/>
    <row r="11" spans="2:6" s="112" customFormat="1" x14ac:dyDescent="0.25">
      <c r="B11" s="607" t="s">
        <v>587</v>
      </c>
      <c r="C11" s="607"/>
      <c r="D11" s="607"/>
      <c r="E11" s="607"/>
      <c r="F11" s="607"/>
    </row>
    <row r="12" spans="2:6" s="112" customFormat="1" x14ac:dyDescent="0.25">
      <c r="B12" s="608" t="s">
        <v>93</v>
      </c>
      <c r="C12" s="609"/>
      <c r="D12" s="607" t="s">
        <v>94</v>
      </c>
      <c r="E12" s="607"/>
      <c r="F12" s="607"/>
    </row>
    <row r="13" spans="2:6" s="112" customFormat="1" x14ac:dyDescent="0.25">
      <c r="B13" s="605">
        <v>42795</v>
      </c>
      <c r="C13" s="606"/>
      <c r="D13" s="555" t="s">
        <v>227</v>
      </c>
      <c r="E13" s="555"/>
      <c r="F13" s="555"/>
    </row>
    <row r="14" spans="2:6" s="112" customFormat="1" x14ac:dyDescent="0.25">
      <c r="B14" s="605">
        <v>42796</v>
      </c>
      <c r="C14" s="606"/>
      <c r="D14" s="555" t="s">
        <v>740</v>
      </c>
      <c r="E14" s="555"/>
      <c r="F14" s="555"/>
    </row>
    <row r="15" spans="2:6" s="112" customFormat="1" x14ac:dyDescent="0.25">
      <c r="B15" s="405"/>
      <c r="C15" s="407"/>
      <c r="D15" s="555"/>
      <c r="E15" s="555"/>
      <c r="F15" s="555"/>
    </row>
    <row r="16" spans="2:6" s="112" customFormat="1" x14ac:dyDescent="0.25"/>
    <row r="17" spans="2:6" s="112" customFormat="1" x14ac:dyDescent="0.25">
      <c r="B17" s="607" t="s">
        <v>583</v>
      </c>
      <c r="C17" s="607"/>
      <c r="D17" s="607"/>
      <c r="E17" s="607"/>
      <c r="F17" s="607"/>
    </row>
    <row r="18" spans="2:6" s="112" customFormat="1" x14ac:dyDescent="0.25">
      <c r="B18" s="607" t="s">
        <v>582</v>
      </c>
      <c r="C18" s="607"/>
      <c r="D18" s="607"/>
      <c r="E18" s="607" t="s">
        <v>93</v>
      </c>
      <c r="F18" s="607"/>
    </row>
    <row r="19" spans="2:6" s="112" customFormat="1" x14ac:dyDescent="0.25">
      <c r="B19" s="555" t="s">
        <v>741</v>
      </c>
      <c r="C19" s="555"/>
      <c r="D19" s="555"/>
      <c r="E19" s="556">
        <v>42795</v>
      </c>
      <c r="F19" s="556"/>
    </row>
    <row r="20" spans="2:6" s="112" customFormat="1" x14ac:dyDescent="0.25">
      <c r="B20" s="555" t="s">
        <v>742</v>
      </c>
      <c r="C20" s="555"/>
      <c r="D20" s="555"/>
      <c r="E20" s="556">
        <v>42796</v>
      </c>
      <c r="F20" s="556"/>
    </row>
    <row r="21" spans="2:6" s="112" customFormat="1" x14ac:dyDescent="0.25">
      <c r="B21" s="555"/>
      <c r="C21" s="555"/>
      <c r="D21" s="555"/>
      <c r="E21" s="555"/>
      <c r="F21" s="555"/>
    </row>
    <row r="22" spans="2:6" s="112" customFormat="1" x14ac:dyDescent="0.25"/>
    <row r="23" spans="2:6" s="112" customFormat="1" x14ac:dyDescent="0.25">
      <c r="B23" s="118" t="s">
        <v>95</v>
      </c>
      <c r="C23" s="118" t="s">
        <v>96</v>
      </c>
      <c r="D23" s="118" t="s">
        <v>97</v>
      </c>
      <c r="E23" s="118" t="s">
        <v>98</v>
      </c>
      <c r="F23" s="118" t="s">
        <v>99</v>
      </c>
    </row>
    <row r="24" spans="2:6" s="112" customFormat="1" ht="41.45" customHeight="1" x14ac:dyDescent="0.25">
      <c r="B24" s="198" t="s">
        <v>743</v>
      </c>
      <c r="C24" s="196">
        <v>21</v>
      </c>
      <c r="D24" s="196">
        <v>2</v>
      </c>
      <c r="E24" s="196">
        <v>2</v>
      </c>
      <c r="F24" s="196"/>
    </row>
    <row r="25" spans="2:6" s="112" customFormat="1" x14ac:dyDescent="0.25"/>
    <row r="26" spans="2:6" s="112" customFormat="1" x14ac:dyDescent="0.25">
      <c r="B26" s="379" t="s">
        <v>100</v>
      </c>
      <c r="C26" s="380"/>
      <c r="D26" s="380"/>
      <c r="E26" s="380"/>
      <c r="F26" s="381"/>
    </row>
    <row r="27" spans="2:6" s="112" customFormat="1" ht="52.35" customHeight="1" x14ac:dyDescent="0.25">
      <c r="B27" s="575" t="s">
        <v>744</v>
      </c>
      <c r="C27" s="386"/>
      <c r="D27" s="386"/>
      <c r="E27" s="386"/>
      <c r="F27" s="387"/>
    </row>
    <row r="28" spans="2:6" s="112" customFormat="1" x14ac:dyDescent="0.25"/>
    <row r="29" spans="2:6" s="112" customFormat="1" x14ac:dyDescent="0.25">
      <c r="B29" s="379" t="s">
        <v>101</v>
      </c>
      <c r="C29" s="380"/>
      <c r="D29" s="380"/>
      <c r="E29" s="380"/>
      <c r="F29" s="381"/>
    </row>
    <row r="30" spans="2:6" s="112" customFormat="1" ht="77.25" customHeight="1" x14ac:dyDescent="0.25">
      <c r="B30" s="385" t="s">
        <v>745</v>
      </c>
      <c r="C30" s="444"/>
      <c r="D30" s="444"/>
      <c r="E30" s="444"/>
      <c r="F30" s="445"/>
    </row>
    <row r="31" spans="2:6" s="112" customFormat="1" x14ac:dyDescent="0.25"/>
    <row r="32" spans="2:6" s="112" customFormat="1" x14ac:dyDescent="0.25">
      <c r="B32" s="379" t="s">
        <v>573</v>
      </c>
      <c r="C32" s="380"/>
      <c r="D32" s="380"/>
      <c r="E32" s="380"/>
      <c r="F32" s="381"/>
    </row>
    <row r="33" spans="2:6" s="112" customFormat="1" ht="45.6" customHeight="1" x14ac:dyDescent="0.25">
      <c r="B33" s="575" t="s">
        <v>746</v>
      </c>
      <c r="C33" s="386"/>
      <c r="D33" s="386"/>
      <c r="E33" s="386"/>
      <c r="F33" s="387"/>
    </row>
    <row r="34" spans="2:6" s="112" customFormat="1" x14ac:dyDescent="0.25"/>
    <row r="35" spans="2:6" s="112" customFormat="1" x14ac:dyDescent="0.25">
      <c r="B35" s="379" t="s">
        <v>571</v>
      </c>
      <c r="C35" s="380"/>
      <c r="D35" s="380"/>
      <c r="E35" s="380"/>
      <c r="F35" s="381"/>
    </row>
    <row r="36" spans="2:6" s="112" customFormat="1" ht="47.45" customHeight="1" x14ac:dyDescent="0.25">
      <c r="B36" s="575"/>
      <c r="C36" s="386"/>
      <c r="D36" s="386"/>
      <c r="E36" s="386"/>
      <c r="F36" s="387"/>
    </row>
    <row r="37" spans="2:6" s="112" customFormat="1" x14ac:dyDescent="0.25"/>
    <row r="38" spans="2:6" s="112" customFormat="1" ht="32.25" customHeight="1" x14ac:dyDescent="0.25">
      <c r="B38" s="612" t="s">
        <v>569</v>
      </c>
      <c r="C38" s="613"/>
      <c r="D38" s="613"/>
      <c r="E38" s="613"/>
      <c r="F38" s="614"/>
    </row>
    <row r="39" spans="2:6" s="112" customFormat="1" x14ac:dyDescent="0.25">
      <c r="B39" s="128" t="s">
        <v>568</v>
      </c>
      <c r="C39" s="541" t="s">
        <v>567</v>
      </c>
      <c r="D39" s="541"/>
      <c r="E39" s="541"/>
      <c r="F39" s="541"/>
    </row>
    <row r="40" spans="2:6" s="112" customFormat="1" x14ac:dyDescent="0.25">
      <c r="B40" s="131" t="s">
        <v>747</v>
      </c>
      <c r="C40" s="542"/>
      <c r="D40" s="542"/>
      <c r="E40" s="542"/>
      <c r="F40" s="542"/>
    </row>
    <row r="41" spans="2:6" s="112" customFormat="1" x14ac:dyDescent="0.25">
      <c r="B41" s="131" t="s">
        <v>681</v>
      </c>
      <c r="C41" s="542"/>
      <c r="D41" s="542"/>
      <c r="E41" s="542"/>
      <c r="F41" s="542"/>
    </row>
    <row r="42" spans="2:6" s="112" customFormat="1" x14ac:dyDescent="0.25">
      <c r="B42" s="131"/>
      <c r="C42" s="542"/>
      <c r="D42" s="542"/>
      <c r="E42" s="542"/>
      <c r="F42" s="542"/>
    </row>
    <row r="43" spans="2:6" s="112" customFormat="1" x14ac:dyDescent="0.25"/>
    <row r="44" spans="2:6" s="112" customFormat="1" x14ac:dyDescent="0.25">
      <c r="B44" s="379" t="s">
        <v>561</v>
      </c>
      <c r="C44" s="380"/>
      <c r="D44" s="380"/>
      <c r="E44" s="380"/>
      <c r="F44" s="381"/>
    </row>
    <row r="45" spans="2:6" s="112" customFormat="1" x14ac:dyDescent="0.25">
      <c r="B45" s="128" t="s">
        <v>560</v>
      </c>
      <c r="C45" s="541" t="s">
        <v>748</v>
      </c>
      <c r="D45" s="541"/>
      <c r="E45" s="541"/>
      <c r="F45" s="541"/>
    </row>
    <row r="46" spans="2:6" s="112" customFormat="1" x14ac:dyDescent="0.25">
      <c r="B46" s="615" t="s">
        <v>142</v>
      </c>
      <c r="C46" s="542" t="s">
        <v>749</v>
      </c>
      <c r="D46" s="542"/>
      <c r="E46" s="542"/>
      <c r="F46" s="542"/>
    </row>
    <row r="47" spans="2:6" s="112" customFormat="1" x14ac:dyDescent="0.25">
      <c r="B47" s="616"/>
      <c r="C47" s="542" t="s">
        <v>20</v>
      </c>
      <c r="D47" s="542"/>
      <c r="E47" s="542"/>
      <c r="F47" s="542"/>
    </row>
    <row r="48" spans="2:6" s="112" customFormat="1" x14ac:dyDescent="0.25">
      <c r="B48" s="617"/>
      <c r="C48" s="542"/>
      <c r="D48" s="542"/>
      <c r="E48" s="542"/>
      <c r="F48" s="542"/>
    </row>
    <row r="49" spans="2:6" s="112" customFormat="1" x14ac:dyDescent="0.25">
      <c r="B49" s="615" t="s">
        <v>681</v>
      </c>
      <c r="C49" s="542" t="s">
        <v>749</v>
      </c>
      <c r="D49" s="542"/>
      <c r="E49" s="542"/>
      <c r="F49" s="542"/>
    </row>
    <row r="50" spans="2:6" s="112" customFormat="1" x14ac:dyDescent="0.25">
      <c r="B50" s="616"/>
      <c r="C50" s="542" t="s">
        <v>20</v>
      </c>
      <c r="D50" s="542"/>
      <c r="E50" s="542"/>
      <c r="F50" s="542"/>
    </row>
    <row r="51" spans="2:6" s="112" customFormat="1" x14ac:dyDescent="0.25">
      <c r="B51" s="617"/>
      <c r="C51" s="542"/>
      <c r="D51" s="542"/>
      <c r="E51" s="542"/>
      <c r="F51" s="542"/>
    </row>
    <row r="52" spans="2:6" s="112" customFormat="1" x14ac:dyDescent="0.25"/>
    <row r="53" spans="2:6" s="112" customFormat="1" x14ac:dyDescent="0.25">
      <c r="B53" s="379" t="s">
        <v>667</v>
      </c>
      <c r="C53" s="380"/>
      <c r="D53" s="380"/>
      <c r="E53" s="380"/>
      <c r="F53" s="381"/>
    </row>
    <row r="54" spans="2:6" s="112" customFormat="1" x14ac:dyDescent="0.25">
      <c r="B54" s="128" t="s">
        <v>560</v>
      </c>
      <c r="C54" s="541" t="s">
        <v>666</v>
      </c>
      <c r="D54" s="541"/>
      <c r="E54" s="541"/>
      <c r="F54" s="541"/>
    </row>
    <row r="55" spans="2:6" s="112" customFormat="1" ht="32.25" customHeight="1" x14ac:dyDescent="0.25">
      <c r="B55" s="610" t="s">
        <v>142</v>
      </c>
      <c r="C55" s="571" t="s">
        <v>750</v>
      </c>
      <c r="D55" s="542"/>
      <c r="E55" s="542"/>
      <c r="F55" s="542"/>
    </row>
    <row r="56" spans="2:6" s="112" customFormat="1" ht="21.75" customHeight="1" x14ac:dyDescent="0.25">
      <c r="B56" s="611"/>
      <c r="C56" s="571" t="s">
        <v>751</v>
      </c>
      <c r="D56" s="542"/>
      <c r="E56" s="542"/>
      <c r="F56" s="542"/>
    </row>
    <row r="57" spans="2:6" s="112" customFormat="1" ht="33" customHeight="1" x14ac:dyDescent="0.25">
      <c r="B57" s="622" t="s">
        <v>681</v>
      </c>
      <c r="C57" s="571" t="s">
        <v>752</v>
      </c>
      <c r="D57" s="542"/>
      <c r="E57" s="542"/>
      <c r="F57" s="542"/>
    </row>
    <row r="58" spans="2:6" s="112" customFormat="1" ht="33.75" customHeight="1" x14ac:dyDescent="0.25">
      <c r="B58" s="622"/>
      <c r="C58" s="571" t="s">
        <v>753</v>
      </c>
      <c r="D58" s="571"/>
      <c r="E58" s="571"/>
      <c r="F58" s="571"/>
    </row>
    <row r="59" spans="2:6" s="112" customFormat="1" x14ac:dyDescent="0.25"/>
    <row r="60" spans="2:6" s="112" customFormat="1" x14ac:dyDescent="0.25">
      <c r="B60" s="541" t="s">
        <v>105</v>
      </c>
      <c r="C60" s="541"/>
      <c r="D60" s="541"/>
      <c r="E60" s="541"/>
      <c r="F60" s="541"/>
    </row>
    <row r="61" spans="2:6" s="112" customFormat="1" ht="294.75" customHeight="1" x14ac:dyDescent="0.25">
      <c r="B61" s="618" t="s">
        <v>754</v>
      </c>
      <c r="C61" s="619"/>
      <c r="D61" s="619"/>
      <c r="E61" s="619"/>
      <c r="F61" s="620"/>
    </row>
    <row r="62" spans="2:6" s="112" customFormat="1" ht="315" customHeight="1" x14ac:dyDescent="0.25">
      <c r="B62" s="621" t="s">
        <v>755</v>
      </c>
      <c r="C62" s="621"/>
      <c r="D62" s="621"/>
      <c r="E62" s="621"/>
      <c r="F62" s="621"/>
    </row>
    <row r="63" spans="2:6" s="112" customFormat="1" x14ac:dyDescent="0.25"/>
    <row r="64" spans="2:6" s="112" customFormat="1" x14ac:dyDescent="0.25">
      <c r="B64" s="379" t="s">
        <v>473</v>
      </c>
      <c r="C64" s="380"/>
      <c r="D64" s="380"/>
      <c r="E64" s="380"/>
      <c r="F64" s="381"/>
    </row>
    <row r="65" spans="2:6" s="112" customFormat="1" x14ac:dyDescent="0.25">
      <c r="B65" s="131" t="s">
        <v>548</v>
      </c>
      <c r="C65" s="542"/>
      <c r="D65" s="542"/>
      <c r="E65" s="542"/>
      <c r="F65" s="542"/>
    </row>
    <row r="66" spans="2:6" s="112" customFormat="1" x14ac:dyDescent="0.25">
      <c r="B66" s="131" t="s">
        <v>547</v>
      </c>
      <c r="C66" s="542"/>
      <c r="D66" s="542"/>
      <c r="E66" s="542"/>
      <c r="F66" s="542"/>
    </row>
    <row r="67" spans="2:6" s="112" customFormat="1" x14ac:dyDescent="0.25">
      <c r="B67" s="131" t="s">
        <v>546</v>
      </c>
      <c r="C67" s="542" t="s">
        <v>72</v>
      </c>
      <c r="D67" s="542"/>
      <c r="E67" s="542"/>
      <c r="F67" s="542"/>
    </row>
    <row r="68" spans="2:6" s="112" customFormat="1" x14ac:dyDescent="0.25">
      <c r="B68" s="131" t="s">
        <v>660</v>
      </c>
      <c r="C68" s="542" t="s">
        <v>72</v>
      </c>
      <c r="D68" s="542"/>
      <c r="E68" s="542"/>
      <c r="F68" s="542"/>
    </row>
    <row r="69" spans="2:6" s="112" customFormat="1" x14ac:dyDescent="0.25">
      <c r="B69" s="131" t="s">
        <v>756</v>
      </c>
      <c r="C69" s="542" t="s">
        <v>72</v>
      </c>
      <c r="D69" s="542"/>
      <c r="E69" s="542"/>
      <c r="F69" s="542"/>
    </row>
    <row r="70" spans="2:6" s="112" customFormat="1" x14ac:dyDescent="0.25">
      <c r="B70" s="131" t="s">
        <v>108</v>
      </c>
      <c r="C70" s="542"/>
      <c r="D70" s="542"/>
      <c r="E70" s="542"/>
      <c r="F70" s="542"/>
    </row>
    <row r="71" spans="2:6" s="112" customFormat="1" x14ac:dyDescent="0.25"/>
    <row r="72" spans="2:6" s="112" customFormat="1" x14ac:dyDescent="0.25">
      <c r="B72" s="379" t="s">
        <v>757</v>
      </c>
      <c r="C72" s="380"/>
      <c r="D72" s="380"/>
      <c r="E72" s="380"/>
      <c r="F72" s="381"/>
    </row>
    <row r="73" spans="2:6" s="112" customFormat="1" ht="39.6" customHeight="1" x14ac:dyDescent="0.25">
      <c r="B73" s="575"/>
      <c r="C73" s="386"/>
      <c r="D73" s="386"/>
      <c r="E73" s="386"/>
      <c r="F73" s="387"/>
    </row>
    <row r="74" spans="2:6" s="112" customFormat="1" x14ac:dyDescent="0.25"/>
    <row r="75" spans="2:6" s="112" customFormat="1" ht="31.5" customHeight="1" x14ac:dyDescent="0.25">
      <c r="B75" s="612" t="s">
        <v>240</v>
      </c>
      <c r="C75" s="613"/>
      <c r="D75" s="613"/>
      <c r="E75" s="613"/>
      <c r="F75" s="614"/>
    </row>
    <row r="76" spans="2:6" s="112" customFormat="1" x14ac:dyDescent="0.25">
      <c r="B76" s="128" t="s">
        <v>241</v>
      </c>
      <c r="C76" s="128" t="s">
        <v>242</v>
      </c>
      <c r="D76" s="379" t="s">
        <v>243</v>
      </c>
      <c r="E76" s="380"/>
      <c r="F76" s="381"/>
    </row>
    <row r="77" spans="2:6" s="112" customFormat="1" x14ac:dyDescent="0.25">
      <c r="B77" s="131"/>
      <c r="C77" s="131"/>
      <c r="D77" s="405"/>
      <c r="E77" s="406"/>
      <c r="F77" s="407"/>
    </row>
    <row r="78" spans="2:6" s="112" customFormat="1" x14ac:dyDescent="0.25">
      <c r="B78" s="131"/>
      <c r="C78" s="131"/>
      <c r="D78" s="405"/>
      <c r="E78" s="406"/>
      <c r="F78" s="407"/>
    </row>
    <row r="79" spans="2:6" s="112" customFormat="1" x14ac:dyDescent="0.25">
      <c r="B79" s="131"/>
      <c r="C79" s="131"/>
      <c r="D79" s="405"/>
      <c r="E79" s="406"/>
      <c r="F79" s="407"/>
    </row>
    <row r="80" spans="2:6" s="112" customFormat="1" x14ac:dyDescent="0.25"/>
    <row r="81" spans="2:6" s="112" customFormat="1" ht="31.5" customHeight="1" x14ac:dyDescent="0.25">
      <c r="B81" s="612" t="s">
        <v>543</v>
      </c>
      <c r="C81" s="613"/>
      <c r="D81" s="613"/>
      <c r="E81" s="613"/>
      <c r="F81" s="614"/>
    </row>
    <row r="82" spans="2:6" s="112" customFormat="1" x14ac:dyDescent="0.25">
      <c r="B82" s="128" t="s">
        <v>542</v>
      </c>
      <c r="C82" s="128" t="s">
        <v>541</v>
      </c>
      <c r="D82" s="379" t="s">
        <v>540</v>
      </c>
      <c r="E82" s="380"/>
      <c r="F82" s="381"/>
    </row>
    <row r="83" spans="2:6" s="112" customFormat="1" x14ac:dyDescent="0.25">
      <c r="B83" s="131"/>
      <c r="C83" s="131" t="s">
        <v>539</v>
      </c>
      <c r="D83" s="405"/>
      <c r="E83" s="406"/>
      <c r="F83" s="407"/>
    </row>
    <row r="84" spans="2:6" s="112" customFormat="1" x14ac:dyDescent="0.25">
      <c r="B84" s="131"/>
      <c r="C84" s="131"/>
      <c r="D84" s="405"/>
      <c r="E84" s="406"/>
      <c r="F84" s="407"/>
    </row>
    <row r="85" spans="2:6" s="112" customFormat="1" x14ac:dyDescent="0.25">
      <c r="B85" s="131"/>
      <c r="C85" s="131"/>
      <c r="D85" s="405"/>
      <c r="E85" s="406"/>
      <c r="F85" s="407"/>
    </row>
    <row r="86" spans="2:6" s="112" customFormat="1" x14ac:dyDescent="0.25"/>
    <row r="87" spans="2:6" s="112" customFormat="1" x14ac:dyDescent="0.25">
      <c r="B87" s="379" t="s">
        <v>107</v>
      </c>
      <c r="C87" s="380"/>
      <c r="D87" s="380"/>
      <c r="E87" s="380"/>
      <c r="F87" s="381"/>
    </row>
    <row r="88" spans="2:6" s="112" customFormat="1" ht="71.25" customHeight="1" x14ac:dyDescent="0.25">
      <c r="B88" s="385" t="s">
        <v>758</v>
      </c>
      <c r="C88" s="444"/>
      <c r="D88" s="444"/>
      <c r="E88" s="444"/>
      <c r="F88" s="445"/>
    </row>
    <row r="89" spans="2:6" s="112" customFormat="1" x14ac:dyDescent="0.25"/>
    <row r="90" spans="2:6" s="112" customFormat="1" x14ac:dyDescent="0.25"/>
  </sheetData>
  <mergeCells count="79">
    <mergeCell ref="B88:F88"/>
    <mergeCell ref="B75:F75"/>
    <mergeCell ref="D76:F76"/>
    <mergeCell ref="D77:F77"/>
    <mergeCell ref="D78:F78"/>
    <mergeCell ref="D79:F79"/>
    <mergeCell ref="B81:F81"/>
    <mergeCell ref="D82:F82"/>
    <mergeCell ref="D83:F83"/>
    <mergeCell ref="D84:F84"/>
    <mergeCell ref="D85:F85"/>
    <mergeCell ref="B87:F87"/>
    <mergeCell ref="C56:F56"/>
    <mergeCell ref="B73:F73"/>
    <mergeCell ref="B60:F60"/>
    <mergeCell ref="B61:F61"/>
    <mergeCell ref="B62:F62"/>
    <mergeCell ref="B64:F64"/>
    <mergeCell ref="C65:F65"/>
    <mergeCell ref="C66:F66"/>
    <mergeCell ref="C67:F67"/>
    <mergeCell ref="C68:F68"/>
    <mergeCell ref="C69:F69"/>
    <mergeCell ref="C70:F70"/>
    <mergeCell ref="B72:F72"/>
    <mergeCell ref="B57:B58"/>
    <mergeCell ref="C57:F57"/>
    <mergeCell ref="C58:F58"/>
    <mergeCell ref="C49:F49"/>
    <mergeCell ref="C50:F50"/>
    <mergeCell ref="C51:F51"/>
    <mergeCell ref="B53:F53"/>
    <mergeCell ref="C45:F45"/>
    <mergeCell ref="B46:B48"/>
    <mergeCell ref="C46:F46"/>
    <mergeCell ref="C47:F47"/>
    <mergeCell ref="C48:F48"/>
    <mergeCell ref="C54:F54"/>
    <mergeCell ref="B55:B56"/>
    <mergeCell ref="C55:F55"/>
    <mergeCell ref="B44:F44"/>
    <mergeCell ref="B29:F29"/>
    <mergeCell ref="B30:F30"/>
    <mergeCell ref="B32:F32"/>
    <mergeCell ref="B33:F33"/>
    <mergeCell ref="B35:F35"/>
    <mergeCell ref="B36:F36"/>
    <mergeCell ref="B38:F38"/>
    <mergeCell ref="C39:F39"/>
    <mergeCell ref="C40:F40"/>
    <mergeCell ref="C41:F41"/>
    <mergeCell ref="C42:F42"/>
    <mergeCell ref="B49:B51"/>
    <mergeCell ref="B27:F27"/>
    <mergeCell ref="B15:C15"/>
    <mergeCell ref="D15:F15"/>
    <mergeCell ref="B17:F17"/>
    <mergeCell ref="B18:D18"/>
    <mergeCell ref="E18:F18"/>
    <mergeCell ref="B19:D19"/>
    <mergeCell ref="E19:F19"/>
    <mergeCell ref="B20:D20"/>
    <mergeCell ref="E20:F20"/>
    <mergeCell ref="B21:D21"/>
    <mergeCell ref="E21:F21"/>
    <mergeCell ref="B26:F26"/>
    <mergeCell ref="B14:C14"/>
    <mergeCell ref="D14:F14"/>
    <mergeCell ref="C4:F4"/>
    <mergeCell ref="C5:F5"/>
    <mergeCell ref="C6:F6"/>
    <mergeCell ref="C7:F7"/>
    <mergeCell ref="C8:F8"/>
    <mergeCell ref="C9:F9"/>
    <mergeCell ref="B11:F11"/>
    <mergeCell ref="B12:C12"/>
    <mergeCell ref="D12:F12"/>
    <mergeCell ref="B13:C13"/>
    <mergeCell ref="D13:F13"/>
  </mergeCells>
  <dataValidations count="3">
    <dataValidation type="list" allowBlank="1" showInputMessage="1" showErrorMessage="1" sqref="C83:C85 IY83:IY85 SU83:SU85 ACQ83:ACQ85 AMM83:AMM85 AWI83:AWI85 BGE83:BGE85 BQA83:BQA85 BZW83:BZW85 CJS83:CJS85 CTO83:CTO85 DDK83:DDK85 DNG83:DNG85 DXC83:DXC85 EGY83:EGY85 EQU83:EQU85 FAQ83:FAQ85 FKM83:FKM85 FUI83:FUI85 GEE83:GEE85 GOA83:GOA85 GXW83:GXW85 HHS83:HHS85 HRO83:HRO85 IBK83:IBK85 ILG83:ILG85 IVC83:IVC85 JEY83:JEY85 JOU83:JOU85 JYQ83:JYQ85 KIM83:KIM85 KSI83:KSI85 LCE83:LCE85 LMA83:LMA85 LVW83:LVW85 MFS83:MFS85 MPO83:MPO85 MZK83:MZK85 NJG83:NJG85 NTC83:NTC85 OCY83:OCY85 OMU83:OMU85 OWQ83:OWQ85 PGM83:PGM85 PQI83:PQI85 QAE83:QAE85 QKA83:QKA85 QTW83:QTW85 RDS83:RDS85 RNO83:RNO85 RXK83:RXK85 SHG83:SHG85 SRC83:SRC85 TAY83:TAY85 TKU83:TKU85 TUQ83:TUQ85 UEM83:UEM85 UOI83:UOI85 UYE83:UYE85 VIA83:VIA85 VRW83:VRW85 WBS83:WBS85 WLO83:WLO85 WVK83:WVK85 C65619:C65621 IY65619:IY65621 SU65619:SU65621 ACQ65619:ACQ65621 AMM65619:AMM65621 AWI65619:AWI65621 BGE65619:BGE65621 BQA65619:BQA65621 BZW65619:BZW65621 CJS65619:CJS65621 CTO65619:CTO65621 DDK65619:DDK65621 DNG65619:DNG65621 DXC65619:DXC65621 EGY65619:EGY65621 EQU65619:EQU65621 FAQ65619:FAQ65621 FKM65619:FKM65621 FUI65619:FUI65621 GEE65619:GEE65621 GOA65619:GOA65621 GXW65619:GXW65621 HHS65619:HHS65621 HRO65619:HRO65621 IBK65619:IBK65621 ILG65619:ILG65621 IVC65619:IVC65621 JEY65619:JEY65621 JOU65619:JOU65621 JYQ65619:JYQ65621 KIM65619:KIM65621 KSI65619:KSI65621 LCE65619:LCE65621 LMA65619:LMA65621 LVW65619:LVW65621 MFS65619:MFS65621 MPO65619:MPO65621 MZK65619:MZK65621 NJG65619:NJG65621 NTC65619:NTC65621 OCY65619:OCY65621 OMU65619:OMU65621 OWQ65619:OWQ65621 PGM65619:PGM65621 PQI65619:PQI65621 QAE65619:QAE65621 QKA65619:QKA65621 QTW65619:QTW65621 RDS65619:RDS65621 RNO65619:RNO65621 RXK65619:RXK65621 SHG65619:SHG65621 SRC65619:SRC65621 TAY65619:TAY65621 TKU65619:TKU65621 TUQ65619:TUQ65621 UEM65619:UEM65621 UOI65619:UOI65621 UYE65619:UYE65621 VIA65619:VIA65621 VRW65619:VRW65621 WBS65619:WBS65621 WLO65619:WLO65621 WVK65619:WVK65621 C131155:C131157 IY131155:IY131157 SU131155:SU131157 ACQ131155:ACQ131157 AMM131155:AMM131157 AWI131155:AWI131157 BGE131155:BGE131157 BQA131155:BQA131157 BZW131155:BZW131157 CJS131155:CJS131157 CTO131155:CTO131157 DDK131155:DDK131157 DNG131155:DNG131157 DXC131155:DXC131157 EGY131155:EGY131157 EQU131155:EQU131157 FAQ131155:FAQ131157 FKM131155:FKM131157 FUI131155:FUI131157 GEE131155:GEE131157 GOA131155:GOA131157 GXW131155:GXW131157 HHS131155:HHS131157 HRO131155:HRO131157 IBK131155:IBK131157 ILG131155:ILG131157 IVC131155:IVC131157 JEY131155:JEY131157 JOU131155:JOU131157 JYQ131155:JYQ131157 KIM131155:KIM131157 KSI131155:KSI131157 LCE131155:LCE131157 LMA131155:LMA131157 LVW131155:LVW131157 MFS131155:MFS131157 MPO131155:MPO131157 MZK131155:MZK131157 NJG131155:NJG131157 NTC131155:NTC131157 OCY131155:OCY131157 OMU131155:OMU131157 OWQ131155:OWQ131157 PGM131155:PGM131157 PQI131155:PQI131157 QAE131155:QAE131157 QKA131155:QKA131157 QTW131155:QTW131157 RDS131155:RDS131157 RNO131155:RNO131157 RXK131155:RXK131157 SHG131155:SHG131157 SRC131155:SRC131157 TAY131155:TAY131157 TKU131155:TKU131157 TUQ131155:TUQ131157 UEM131155:UEM131157 UOI131155:UOI131157 UYE131155:UYE131157 VIA131155:VIA131157 VRW131155:VRW131157 WBS131155:WBS131157 WLO131155:WLO131157 WVK131155:WVK131157 C196691:C196693 IY196691:IY196693 SU196691:SU196693 ACQ196691:ACQ196693 AMM196691:AMM196693 AWI196691:AWI196693 BGE196691:BGE196693 BQA196691:BQA196693 BZW196691:BZW196693 CJS196691:CJS196693 CTO196691:CTO196693 DDK196691:DDK196693 DNG196691:DNG196693 DXC196691:DXC196693 EGY196691:EGY196693 EQU196691:EQU196693 FAQ196691:FAQ196693 FKM196691:FKM196693 FUI196691:FUI196693 GEE196691:GEE196693 GOA196691:GOA196693 GXW196691:GXW196693 HHS196691:HHS196693 HRO196691:HRO196693 IBK196691:IBK196693 ILG196691:ILG196693 IVC196691:IVC196693 JEY196691:JEY196693 JOU196691:JOU196693 JYQ196691:JYQ196693 KIM196691:KIM196693 KSI196691:KSI196693 LCE196691:LCE196693 LMA196691:LMA196693 LVW196691:LVW196693 MFS196691:MFS196693 MPO196691:MPO196693 MZK196691:MZK196693 NJG196691:NJG196693 NTC196691:NTC196693 OCY196691:OCY196693 OMU196691:OMU196693 OWQ196691:OWQ196693 PGM196691:PGM196693 PQI196691:PQI196693 QAE196691:QAE196693 QKA196691:QKA196693 QTW196691:QTW196693 RDS196691:RDS196693 RNO196691:RNO196693 RXK196691:RXK196693 SHG196691:SHG196693 SRC196691:SRC196693 TAY196691:TAY196693 TKU196691:TKU196693 TUQ196691:TUQ196693 UEM196691:UEM196693 UOI196691:UOI196693 UYE196691:UYE196693 VIA196691:VIA196693 VRW196691:VRW196693 WBS196691:WBS196693 WLO196691:WLO196693 WVK196691:WVK196693 C262227:C262229 IY262227:IY262229 SU262227:SU262229 ACQ262227:ACQ262229 AMM262227:AMM262229 AWI262227:AWI262229 BGE262227:BGE262229 BQA262227:BQA262229 BZW262227:BZW262229 CJS262227:CJS262229 CTO262227:CTO262229 DDK262227:DDK262229 DNG262227:DNG262229 DXC262227:DXC262229 EGY262227:EGY262229 EQU262227:EQU262229 FAQ262227:FAQ262229 FKM262227:FKM262229 FUI262227:FUI262229 GEE262227:GEE262229 GOA262227:GOA262229 GXW262227:GXW262229 HHS262227:HHS262229 HRO262227:HRO262229 IBK262227:IBK262229 ILG262227:ILG262229 IVC262227:IVC262229 JEY262227:JEY262229 JOU262227:JOU262229 JYQ262227:JYQ262229 KIM262227:KIM262229 KSI262227:KSI262229 LCE262227:LCE262229 LMA262227:LMA262229 LVW262227:LVW262229 MFS262227:MFS262229 MPO262227:MPO262229 MZK262227:MZK262229 NJG262227:NJG262229 NTC262227:NTC262229 OCY262227:OCY262229 OMU262227:OMU262229 OWQ262227:OWQ262229 PGM262227:PGM262229 PQI262227:PQI262229 QAE262227:QAE262229 QKA262227:QKA262229 QTW262227:QTW262229 RDS262227:RDS262229 RNO262227:RNO262229 RXK262227:RXK262229 SHG262227:SHG262229 SRC262227:SRC262229 TAY262227:TAY262229 TKU262227:TKU262229 TUQ262227:TUQ262229 UEM262227:UEM262229 UOI262227:UOI262229 UYE262227:UYE262229 VIA262227:VIA262229 VRW262227:VRW262229 WBS262227:WBS262229 WLO262227:WLO262229 WVK262227:WVK262229 C327763:C327765 IY327763:IY327765 SU327763:SU327765 ACQ327763:ACQ327765 AMM327763:AMM327765 AWI327763:AWI327765 BGE327763:BGE327765 BQA327763:BQA327765 BZW327763:BZW327765 CJS327763:CJS327765 CTO327763:CTO327765 DDK327763:DDK327765 DNG327763:DNG327765 DXC327763:DXC327765 EGY327763:EGY327765 EQU327763:EQU327765 FAQ327763:FAQ327765 FKM327763:FKM327765 FUI327763:FUI327765 GEE327763:GEE327765 GOA327763:GOA327765 GXW327763:GXW327765 HHS327763:HHS327765 HRO327763:HRO327765 IBK327763:IBK327765 ILG327763:ILG327765 IVC327763:IVC327765 JEY327763:JEY327765 JOU327763:JOU327765 JYQ327763:JYQ327765 KIM327763:KIM327765 KSI327763:KSI327765 LCE327763:LCE327765 LMA327763:LMA327765 LVW327763:LVW327765 MFS327763:MFS327765 MPO327763:MPO327765 MZK327763:MZK327765 NJG327763:NJG327765 NTC327763:NTC327765 OCY327763:OCY327765 OMU327763:OMU327765 OWQ327763:OWQ327765 PGM327763:PGM327765 PQI327763:PQI327765 QAE327763:QAE327765 QKA327763:QKA327765 QTW327763:QTW327765 RDS327763:RDS327765 RNO327763:RNO327765 RXK327763:RXK327765 SHG327763:SHG327765 SRC327763:SRC327765 TAY327763:TAY327765 TKU327763:TKU327765 TUQ327763:TUQ327765 UEM327763:UEM327765 UOI327763:UOI327765 UYE327763:UYE327765 VIA327763:VIA327765 VRW327763:VRW327765 WBS327763:WBS327765 WLO327763:WLO327765 WVK327763:WVK327765 C393299:C393301 IY393299:IY393301 SU393299:SU393301 ACQ393299:ACQ393301 AMM393299:AMM393301 AWI393299:AWI393301 BGE393299:BGE393301 BQA393299:BQA393301 BZW393299:BZW393301 CJS393299:CJS393301 CTO393299:CTO393301 DDK393299:DDK393301 DNG393299:DNG393301 DXC393299:DXC393301 EGY393299:EGY393301 EQU393299:EQU393301 FAQ393299:FAQ393301 FKM393299:FKM393301 FUI393299:FUI393301 GEE393299:GEE393301 GOA393299:GOA393301 GXW393299:GXW393301 HHS393299:HHS393301 HRO393299:HRO393301 IBK393299:IBK393301 ILG393299:ILG393301 IVC393299:IVC393301 JEY393299:JEY393301 JOU393299:JOU393301 JYQ393299:JYQ393301 KIM393299:KIM393301 KSI393299:KSI393301 LCE393299:LCE393301 LMA393299:LMA393301 LVW393299:LVW393301 MFS393299:MFS393301 MPO393299:MPO393301 MZK393299:MZK393301 NJG393299:NJG393301 NTC393299:NTC393301 OCY393299:OCY393301 OMU393299:OMU393301 OWQ393299:OWQ393301 PGM393299:PGM393301 PQI393299:PQI393301 QAE393299:QAE393301 QKA393299:QKA393301 QTW393299:QTW393301 RDS393299:RDS393301 RNO393299:RNO393301 RXK393299:RXK393301 SHG393299:SHG393301 SRC393299:SRC393301 TAY393299:TAY393301 TKU393299:TKU393301 TUQ393299:TUQ393301 UEM393299:UEM393301 UOI393299:UOI393301 UYE393299:UYE393301 VIA393299:VIA393301 VRW393299:VRW393301 WBS393299:WBS393301 WLO393299:WLO393301 WVK393299:WVK393301 C458835:C458837 IY458835:IY458837 SU458835:SU458837 ACQ458835:ACQ458837 AMM458835:AMM458837 AWI458835:AWI458837 BGE458835:BGE458837 BQA458835:BQA458837 BZW458835:BZW458837 CJS458835:CJS458837 CTO458835:CTO458837 DDK458835:DDK458837 DNG458835:DNG458837 DXC458835:DXC458837 EGY458835:EGY458837 EQU458835:EQU458837 FAQ458835:FAQ458837 FKM458835:FKM458837 FUI458835:FUI458837 GEE458835:GEE458837 GOA458835:GOA458837 GXW458835:GXW458837 HHS458835:HHS458837 HRO458835:HRO458837 IBK458835:IBK458837 ILG458835:ILG458837 IVC458835:IVC458837 JEY458835:JEY458837 JOU458835:JOU458837 JYQ458835:JYQ458837 KIM458835:KIM458837 KSI458835:KSI458837 LCE458835:LCE458837 LMA458835:LMA458837 LVW458835:LVW458837 MFS458835:MFS458837 MPO458835:MPO458837 MZK458835:MZK458837 NJG458835:NJG458837 NTC458835:NTC458837 OCY458835:OCY458837 OMU458835:OMU458837 OWQ458835:OWQ458837 PGM458835:PGM458837 PQI458835:PQI458837 QAE458835:QAE458837 QKA458835:QKA458837 QTW458835:QTW458837 RDS458835:RDS458837 RNO458835:RNO458837 RXK458835:RXK458837 SHG458835:SHG458837 SRC458835:SRC458837 TAY458835:TAY458837 TKU458835:TKU458837 TUQ458835:TUQ458837 UEM458835:UEM458837 UOI458835:UOI458837 UYE458835:UYE458837 VIA458835:VIA458837 VRW458835:VRW458837 WBS458835:WBS458837 WLO458835:WLO458837 WVK458835:WVK458837 C524371:C524373 IY524371:IY524373 SU524371:SU524373 ACQ524371:ACQ524373 AMM524371:AMM524373 AWI524371:AWI524373 BGE524371:BGE524373 BQA524371:BQA524373 BZW524371:BZW524373 CJS524371:CJS524373 CTO524371:CTO524373 DDK524371:DDK524373 DNG524371:DNG524373 DXC524371:DXC524373 EGY524371:EGY524373 EQU524371:EQU524373 FAQ524371:FAQ524373 FKM524371:FKM524373 FUI524371:FUI524373 GEE524371:GEE524373 GOA524371:GOA524373 GXW524371:GXW524373 HHS524371:HHS524373 HRO524371:HRO524373 IBK524371:IBK524373 ILG524371:ILG524373 IVC524371:IVC524373 JEY524371:JEY524373 JOU524371:JOU524373 JYQ524371:JYQ524373 KIM524371:KIM524373 KSI524371:KSI524373 LCE524371:LCE524373 LMA524371:LMA524373 LVW524371:LVW524373 MFS524371:MFS524373 MPO524371:MPO524373 MZK524371:MZK524373 NJG524371:NJG524373 NTC524371:NTC524373 OCY524371:OCY524373 OMU524371:OMU524373 OWQ524371:OWQ524373 PGM524371:PGM524373 PQI524371:PQI524373 QAE524371:QAE524373 QKA524371:QKA524373 QTW524371:QTW524373 RDS524371:RDS524373 RNO524371:RNO524373 RXK524371:RXK524373 SHG524371:SHG524373 SRC524371:SRC524373 TAY524371:TAY524373 TKU524371:TKU524373 TUQ524371:TUQ524373 UEM524371:UEM524373 UOI524371:UOI524373 UYE524371:UYE524373 VIA524371:VIA524373 VRW524371:VRW524373 WBS524371:WBS524373 WLO524371:WLO524373 WVK524371:WVK524373 C589907:C589909 IY589907:IY589909 SU589907:SU589909 ACQ589907:ACQ589909 AMM589907:AMM589909 AWI589907:AWI589909 BGE589907:BGE589909 BQA589907:BQA589909 BZW589907:BZW589909 CJS589907:CJS589909 CTO589907:CTO589909 DDK589907:DDK589909 DNG589907:DNG589909 DXC589907:DXC589909 EGY589907:EGY589909 EQU589907:EQU589909 FAQ589907:FAQ589909 FKM589907:FKM589909 FUI589907:FUI589909 GEE589907:GEE589909 GOA589907:GOA589909 GXW589907:GXW589909 HHS589907:HHS589909 HRO589907:HRO589909 IBK589907:IBK589909 ILG589907:ILG589909 IVC589907:IVC589909 JEY589907:JEY589909 JOU589907:JOU589909 JYQ589907:JYQ589909 KIM589907:KIM589909 KSI589907:KSI589909 LCE589907:LCE589909 LMA589907:LMA589909 LVW589907:LVW589909 MFS589907:MFS589909 MPO589907:MPO589909 MZK589907:MZK589909 NJG589907:NJG589909 NTC589907:NTC589909 OCY589907:OCY589909 OMU589907:OMU589909 OWQ589907:OWQ589909 PGM589907:PGM589909 PQI589907:PQI589909 QAE589907:QAE589909 QKA589907:QKA589909 QTW589907:QTW589909 RDS589907:RDS589909 RNO589907:RNO589909 RXK589907:RXK589909 SHG589907:SHG589909 SRC589907:SRC589909 TAY589907:TAY589909 TKU589907:TKU589909 TUQ589907:TUQ589909 UEM589907:UEM589909 UOI589907:UOI589909 UYE589907:UYE589909 VIA589907:VIA589909 VRW589907:VRW589909 WBS589907:WBS589909 WLO589907:WLO589909 WVK589907:WVK589909 C655443:C655445 IY655443:IY655445 SU655443:SU655445 ACQ655443:ACQ655445 AMM655443:AMM655445 AWI655443:AWI655445 BGE655443:BGE655445 BQA655443:BQA655445 BZW655443:BZW655445 CJS655443:CJS655445 CTO655443:CTO655445 DDK655443:DDK655445 DNG655443:DNG655445 DXC655443:DXC655445 EGY655443:EGY655445 EQU655443:EQU655445 FAQ655443:FAQ655445 FKM655443:FKM655445 FUI655443:FUI655445 GEE655443:GEE655445 GOA655443:GOA655445 GXW655443:GXW655445 HHS655443:HHS655445 HRO655443:HRO655445 IBK655443:IBK655445 ILG655443:ILG655445 IVC655443:IVC655445 JEY655443:JEY655445 JOU655443:JOU655445 JYQ655443:JYQ655445 KIM655443:KIM655445 KSI655443:KSI655445 LCE655443:LCE655445 LMA655443:LMA655445 LVW655443:LVW655445 MFS655443:MFS655445 MPO655443:MPO655445 MZK655443:MZK655445 NJG655443:NJG655445 NTC655443:NTC655445 OCY655443:OCY655445 OMU655443:OMU655445 OWQ655443:OWQ655445 PGM655443:PGM655445 PQI655443:PQI655445 QAE655443:QAE655445 QKA655443:QKA655445 QTW655443:QTW655445 RDS655443:RDS655445 RNO655443:RNO655445 RXK655443:RXK655445 SHG655443:SHG655445 SRC655443:SRC655445 TAY655443:TAY655445 TKU655443:TKU655445 TUQ655443:TUQ655445 UEM655443:UEM655445 UOI655443:UOI655445 UYE655443:UYE655445 VIA655443:VIA655445 VRW655443:VRW655445 WBS655443:WBS655445 WLO655443:WLO655445 WVK655443:WVK655445 C720979:C720981 IY720979:IY720981 SU720979:SU720981 ACQ720979:ACQ720981 AMM720979:AMM720981 AWI720979:AWI720981 BGE720979:BGE720981 BQA720979:BQA720981 BZW720979:BZW720981 CJS720979:CJS720981 CTO720979:CTO720981 DDK720979:DDK720981 DNG720979:DNG720981 DXC720979:DXC720981 EGY720979:EGY720981 EQU720979:EQU720981 FAQ720979:FAQ720981 FKM720979:FKM720981 FUI720979:FUI720981 GEE720979:GEE720981 GOA720979:GOA720981 GXW720979:GXW720981 HHS720979:HHS720981 HRO720979:HRO720981 IBK720979:IBK720981 ILG720979:ILG720981 IVC720979:IVC720981 JEY720979:JEY720981 JOU720979:JOU720981 JYQ720979:JYQ720981 KIM720979:KIM720981 KSI720979:KSI720981 LCE720979:LCE720981 LMA720979:LMA720981 LVW720979:LVW720981 MFS720979:MFS720981 MPO720979:MPO720981 MZK720979:MZK720981 NJG720979:NJG720981 NTC720979:NTC720981 OCY720979:OCY720981 OMU720979:OMU720981 OWQ720979:OWQ720981 PGM720979:PGM720981 PQI720979:PQI720981 QAE720979:QAE720981 QKA720979:QKA720981 QTW720979:QTW720981 RDS720979:RDS720981 RNO720979:RNO720981 RXK720979:RXK720981 SHG720979:SHG720981 SRC720979:SRC720981 TAY720979:TAY720981 TKU720979:TKU720981 TUQ720979:TUQ720981 UEM720979:UEM720981 UOI720979:UOI720981 UYE720979:UYE720981 VIA720979:VIA720981 VRW720979:VRW720981 WBS720979:WBS720981 WLO720979:WLO720981 WVK720979:WVK720981 C786515:C786517 IY786515:IY786517 SU786515:SU786517 ACQ786515:ACQ786517 AMM786515:AMM786517 AWI786515:AWI786517 BGE786515:BGE786517 BQA786515:BQA786517 BZW786515:BZW786517 CJS786515:CJS786517 CTO786515:CTO786517 DDK786515:DDK786517 DNG786515:DNG786517 DXC786515:DXC786517 EGY786515:EGY786517 EQU786515:EQU786517 FAQ786515:FAQ786517 FKM786515:FKM786517 FUI786515:FUI786517 GEE786515:GEE786517 GOA786515:GOA786517 GXW786515:GXW786517 HHS786515:HHS786517 HRO786515:HRO786517 IBK786515:IBK786517 ILG786515:ILG786517 IVC786515:IVC786517 JEY786515:JEY786517 JOU786515:JOU786517 JYQ786515:JYQ786517 KIM786515:KIM786517 KSI786515:KSI786517 LCE786515:LCE786517 LMA786515:LMA786517 LVW786515:LVW786517 MFS786515:MFS786517 MPO786515:MPO786517 MZK786515:MZK786517 NJG786515:NJG786517 NTC786515:NTC786517 OCY786515:OCY786517 OMU786515:OMU786517 OWQ786515:OWQ786517 PGM786515:PGM786517 PQI786515:PQI786517 QAE786515:QAE786517 QKA786515:QKA786517 QTW786515:QTW786517 RDS786515:RDS786517 RNO786515:RNO786517 RXK786515:RXK786517 SHG786515:SHG786517 SRC786515:SRC786517 TAY786515:TAY786517 TKU786515:TKU786517 TUQ786515:TUQ786517 UEM786515:UEM786517 UOI786515:UOI786517 UYE786515:UYE786517 VIA786515:VIA786517 VRW786515:VRW786517 WBS786515:WBS786517 WLO786515:WLO786517 WVK786515:WVK786517 C852051:C852053 IY852051:IY852053 SU852051:SU852053 ACQ852051:ACQ852053 AMM852051:AMM852053 AWI852051:AWI852053 BGE852051:BGE852053 BQA852051:BQA852053 BZW852051:BZW852053 CJS852051:CJS852053 CTO852051:CTO852053 DDK852051:DDK852053 DNG852051:DNG852053 DXC852051:DXC852053 EGY852051:EGY852053 EQU852051:EQU852053 FAQ852051:FAQ852053 FKM852051:FKM852053 FUI852051:FUI852053 GEE852051:GEE852053 GOA852051:GOA852053 GXW852051:GXW852053 HHS852051:HHS852053 HRO852051:HRO852053 IBK852051:IBK852053 ILG852051:ILG852053 IVC852051:IVC852053 JEY852051:JEY852053 JOU852051:JOU852053 JYQ852051:JYQ852053 KIM852051:KIM852053 KSI852051:KSI852053 LCE852051:LCE852053 LMA852051:LMA852053 LVW852051:LVW852053 MFS852051:MFS852053 MPO852051:MPO852053 MZK852051:MZK852053 NJG852051:NJG852053 NTC852051:NTC852053 OCY852051:OCY852053 OMU852051:OMU852053 OWQ852051:OWQ852053 PGM852051:PGM852053 PQI852051:PQI852053 QAE852051:QAE852053 QKA852051:QKA852053 QTW852051:QTW852053 RDS852051:RDS852053 RNO852051:RNO852053 RXK852051:RXK852053 SHG852051:SHG852053 SRC852051:SRC852053 TAY852051:TAY852053 TKU852051:TKU852053 TUQ852051:TUQ852053 UEM852051:UEM852053 UOI852051:UOI852053 UYE852051:UYE852053 VIA852051:VIA852053 VRW852051:VRW852053 WBS852051:WBS852053 WLO852051:WLO852053 WVK852051:WVK852053 C917587:C917589 IY917587:IY917589 SU917587:SU917589 ACQ917587:ACQ917589 AMM917587:AMM917589 AWI917587:AWI917589 BGE917587:BGE917589 BQA917587:BQA917589 BZW917587:BZW917589 CJS917587:CJS917589 CTO917587:CTO917589 DDK917587:DDK917589 DNG917587:DNG917589 DXC917587:DXC917589 EGY917587:EGY917589 EQU917587:EQU917589 FAQ917587:FAQ917589 FKM917587:FKM917589 FUI917587:FUI917589 GEE917587:GEE917589 GOA917587:GOA917589 GXW917587:GXW917589 HHS917587:HHS917589 HRO917587:HRO917589 IBK917587:IBK917589 ILG917587:ILG917589 IVC917587:IVC917589 JEY917587:JEY917589 JOU917587:JOU917589 JYQ917587:JYQ917589 KIM917587:KIM917589 KSI917587:KSI917589 LCE917587:LCE917589 LMA917587:LMA917589 LVW917587:LVW917589 MFS917587:MFS917589 MPO917587:MPO917589 MZK917587:MZK917589 NJG917587:NJG917589 NTC917587:NTC917589 OCY917587:OCY917589 OMU917587:OMU917589 OWQ917587:OWQ917589 PGM917587:PGM917589 PQI917587:PQI917589 QAE917587:QAE917589 QKA917587:QKA917589 QTW917587:QTW917589 RDS917587:RDS917589 RNO917587:RNO917589 RXK917587:RXK917589 SHG917587:SHG917589 SRC917587:SRC917589 TAY917587:TAY917589 TKU917587:TKU917589 TUQ917587:TUQ917589 UEM917587:UEM917589 UOI917587:UOI917589 UYE917587:UYE917589 VIA917587:VIA917589 VRW917587:VRW917589 WBS917587:WBS917589 WLO917587:WLO917589 WVK917587:WVK917589 C983123:C983125 IY983123:IY983125 SU983123:SU983125 ACQ983123:ACQ983125 AMM983123:AMM983125 AWI983123:AWI983125 BGE983123:BGE983125 BQA983123:BQA983125 BZW983123:BZW983125 CJS983123:CJS983125 CTO983123:CTO983125 DDK983123:DDK983125 DNG983123:DNG983125 DXC983123:DXC983125 EGY983123:EGY983125 EQU983123:EQU983125 FAQ983123:FAQ983125 FKM983123:FKM983125 FUI983123:FUI983125 GEE983123:GEE983125 GOA983123:GOA983125 GXW983123:GXW983125 HHS983123:HHS983125 HRO983123:HRO983125 IBK983123:IBK983125 ILG983123:ILG983125 IVC983123:IVC983125 JEY983123:JEY983125 JOU983123:JOU983125 JYQ983123:JYQ983125 KIM983123:KIM983125 KSI983123:KSI983125 LCE983123:LCE983125 LMA983123:LMA983125 LVW983123:LVW983125 MFS983123:MFS983125 MPO983123:MPO983125 MZK983123:MZK983125 NJG983123:NJG983125 NTC983123:NTC983125 OCY983123:OCY983125 OMU983123:OMU983125 OWQ983123:OWQ983125 PGM983123:PGM983125 PQI983123:PQI983125 QAE983123:QAE983125 QKA983123:QKA983125 QTW983123:QTW983125 RDS983123:RDS983125 RNO983123:RNO983125 RXK983123:RXK983125 SHG983123:SHG983125 SRC983123:SRC983125 TAY983123:TAY983125 TKU983123:TKU983125 TUQ983123:TUQ983125 UEM983123:UEM983125 UOI983123:UOI983125 UYE983123:UYE983125 VIA983123:VIA983125 VRW983123:VRW983125 WBS983123:WBS983125 WLO983123:WLO983125 WVK983123:WVK983125">
      <formula1>"Formation, Certification, Stage / projet, Autre"</formula1>
    </dataValidation>
    <dataValidation type="list" allowBlank="1" showInputMessage="1" showErrorMessage="1" sqref="C77:C79 IY77:IY79 SU77:SU79 ACQ77:ACQ79 AMM77:AMM79 AWI77:AWI79 BGE77:BGE79 BQA77:BQA79 BZW77:BZW79 CJS77:CJS79 CTO77:CTO79 DDK77:DDK79 DNG77:DNG79 DXC77:DXC79 EGY77:EGY79 EQU77:EQU79 FAQ77:FAQ79 FKM77:FKM79 FUI77:FUI79 GEE77:GEE79 GOA77:GOA79 GXW77:GXW79 HHS77:HHS79 HRO77:HRO79 IBK77:IBK79 ILG77:ILG79 IVC77:IVC79 JEY77:JEY79 JOU77:JOU79 JYQ77:JYQ79 KIM77:KIM79 KSI77:KSI79 LCE77:LCE79 LMA77:LMA79 LVW77:LVW79 MFS77:MFS79 MPO77:MPO79 MZK77:MZK79 NJG77:NJG79 NTC77:NTC79 OCY77:OCY79 OMU77:OMU79 OWQ77:OWQ79 PGM77:PGM79 PQI77:PQI79 QAE77:QAE79 QKA77:QKA79 QTW77:QTW79 RDS77:RDS79 RNO77:RNO79 RXK77:RXK79 SHG77:SHG79 SRC77:SRC79 TAY77:TAY79 TKU77:TKU79 TUQ77:TUQ79 UEM77:UEM79 UOI77:UOI79 UYE77:UYE79 VIA77:VIA79 VRW77:VRW79 WBS77:WBS79 WLO77:WLO79 WVK77:WVK79 C65613:C65615 IY65613:IY65615 SU65613:SU65615 ACQ65613:ACQ65615 AMM65613:AMM65615 AWI65613:AWI65615 BGE65613:BGE65615 BQA65613:BQA65615 BZW65613:BZW65615 CJS65613:CJS65615 CTO65613:CTO65615 DDK65613:DDK65615 DNG65613:DNG65615 DXC65613:DXC65615 EGY65613:EGY65615 EQU65613:EQU65615 FAQ65613:FAQ65615 FKM65613:FKM65615 FUI65613:FUI65615 GEE65613:GEE65615 GOA65613:GOA65615 GXW65613:GXW65615 HHS65613:HHS65615 HRO65613:HRO65615 IBK65613:IBK65615 ILG65613:ILG65615 IVC65613:IVC65615 JEY65613:JEY65615 JOU65613:JOU65615 JYQ65613:JYQ65615 KIM65613:KIM65615 KSI65613:KSI65615 LCE65613:LCE65615 LMA65613:LMA65615 LVW65613:LVW65615 MFS65613:MFS65615 MPO65613:MPO65615 MZK65613:MZK65615 NJG65613:NJG65615 NTC65613:NTC65615 OCY65613:OCY65615 OMU65613:OMU65615 OWQ65613:OWQ65615 PGM65613:PGM65615 PQI65613:PQI65615 QAE65613:QAE65615 QKA65613:QKA65615 QTW65613:QTW65615 RDS65613:RDS65615 RNO65613:RNO65615 RXK65613:RXK65615 SHG65613:SHG65615 SRC65613:SRC65615 TAY65613:TAY65615 TKU65613:TKU65615 TUQ65613:TUQ65615 UEM65613:UEM65615 UOI65613:UOI65615 UYE65613:UYE65615 VIA65613:VIA65615 VRW65613:VRW65615 WBS65613:WBS65615 WLO65613:WLO65615 WVK65613:WVK65615 C131149:C131151 IY131149:IY131151 SU131149:SU131151 ACQ131149:ACQ131151 AMM131149:AMM131151 AWI131149:AWI131151 BGE131149:BGE131151 BQA131149:BQA131151 BZW131149:BZW131151 CJS131149:CJS131151 CTO131149:CTO131151 DDK131149:DDK131151 DNG131149:DNG131151 DXC131149:DXC131151 EGY131149:EGY131151 EQU131149:EQU131151 FAQ131149:FAQ131151 FKM131149:FKM131151 FUI131149:FUI131151 GEE131149:GEE131151 GOA131149:GOA131151 GXW131149:GXW131151 HHS131149:HHS131151 HRO131149:HRO131151 IBK131149:IBK131151 ILG131149:ILG131151 IVC131149:IVC131151 JEY131149:JEY131151 JOU131149:JOU131151 JYQ131149:JYQ131151 KIM131149:KIM131151 KSI131149:KSI131151 LCE131149:LCE131151 LMA131149:LMA131151 LVW131149:LVW131151 MFS131149:MFS131151 MPO131149:MPO131151 MZK131149:MZK131151 NJG131149:NJG131151 NTC131149:NTC131151 OCY131149:OCY131151 OMU131149:OMU131151 OWQ131149:OWQ131151 PGM131149:PGM131151 PQI131149:PQI131151 QAE131149:QAE131151 QKA131149:QKA131151 QTW131149:QTW131151 RDS131149:RDS131151 RNO131149:RNO131151 RXK131149:RXK131151 SHG131149:SHG131151 SRC131149:SRC131151 TAY131149:TAY131151 TKU131149:TKU131151 TUQ131149:TUQ131151 UEM131149:UEM131151 UOI131149:UOI131151 UYE131149:UYE131151 VIA131149:VIA131151 VRW131149:VRW131151 WBS131149:WBS131151 WLO131149:WLO131151 WVK131149:WVK131151 C196685:C196687 IY196685:IY196687 SU196685:SU196687 ACQ196685:ACQ196687 AMM196685:AMM196687 AWI196685:AWI196687 BGE196685:BGE196687 BQA196685:BQA196687 BZW196685:BZW196687 CJS196685:CJS196687 CTO196685:CTO196687 DDK196685:DDK196687 DNG196685:DNG196687 DXC196685:DXC196687 EGY196685:EGY196687 EQU196685:EQU196687 FAQ196685:FAQ196687 FKM196685:FKM196687 FUI196685:FUI196687 GEE196685:GEE196687 GOA196685:GOA196687 GXW196685:GXW196687 HHS196685:HHS196687 HRO196685:HRO196687 IBK196685:IBK196687 ILG196685:ILG196687 IVC196685:IVC196687 JEY196685:JEY196687 JOU196685:JOU196687 JYQ196685:JYQ196687 KIM196685:KIM196687 KSI196685:KSI196687 LCE196685:LCE196687 LMA196685:LMA196687 LVW196685:LVW196687 MFS196685:MFS196687 MPO196685:MPO196687 MZK196685:MZK196687 NJG196685:NJG196687 NTC196685:NTC196687 OCY196685:OCY196687 OMU196685:OMU196687 OWQ196685:OWQ196687 PGM196685:PGM196687 PQI196685:PQI196687 QAE196685:QAE196687 QKA196685:QKA196687 QTW196685:QTW196687 RDS196685:RDS196687 RNO196685:RNO196687 RXK196685:RXK196687 SHG196685:SHG196687 SRC196685:SRC196687 TAY196685:TAY196687 TKU196685:TKU196687 TUQ196685:TUQ196687 UEM196685:UEM196687 UOI196685:UOI196687 UYE196685:UYE196687 VIA196685:VIA196687 VRW196685:VRW196687 WBS196685:WBS196687 WLO196685:WLO196687 WVK196685:WVK196687 C262221:C262223 IY262221:IY262223 SU262221:SU262223 ACQ262221:ACQ262223 AMM262221:AMM262223 AWI262221:AWI262223 BGE262221:BGE262223 BQA262221:BQA262223 BZW262221:BZW262223 CJS262221:CJS262223 CTO262221:CTO262223 DDK262221:DDK262223 DNG262221:DNG262223 DXC262221:DXC262223 EGY262221:EGY262223 EQU262221:EQU262223 FAQ262221:FAQ262223 FKM262221:FKM262223 FUI262221:FUI262223 GEE262221:GEE262223 GOA262221:GOA262223 GXW262221:GXW262223 HHS262221:HHS262223 HRO262221:HRO262223 IBK262221:IBK262223 ILG262221:ILG262223 IVC262221:IVC262223 JEY262221:JEY262223 JOU262221:JOU262223 JYQ262221:JYQ262223 KIM262221:KIM262223 KSI262221:KSI262223 LCE262221:LCE262223 LMA262221:LMA262223 LVW262221:LVW262223 MFS262221:MFS262223 MPO262221:MPO262223 MZK262221:MZK262223 NJG262221:NJG262223 NTC262221:NTC262223 OCY262221:OCY262223 OMU262221:OMU262223 OWQ262221:OWQ262223 PGM262221:PGM262223 PQI262221:PQI262223 QAE262221:QAE262223 QKA262221:QKA262223 QTW262221:QTW262223 RDS262221:RDS262223 RNO262221:RNO262223 RXK262221:RXK262223 SHG262221:SHG262223 SRC262221:SRC262223 TAY262221:TAY262223 TKU262221:TKU262223 TUQ262221:TUQ262223 UEM262221:UEM262223 UOI262221:UOI262223 UYE262221:UYE262223 VIA262221:VIA262223 VRW262221:VRW262223 WBS262221:WBS262223 WLO262221:WLO262223 WVK262221:WVK262223 C327757:C327759 IY327757:IY327759 SU327757:SU327759 ACQ327757:ACQ327759 AMM327757:AMM327759 AWI327757:AWI327759 BGE327757:BGE327759 BQA327757:BQA327759 BZW327757:BZW327759 CJS327757:CJS327759 CTO327757:CTO327759 DDK327757:DDK327759 DNG327757:DNG327759 DXC327757:DXC327759 EGY327757:EGY327759 EQU327757:EQU327759 FAQ327757:FAQ327759 FKM327757:FKM327759 FUI327757:FUI327759 GEE327757:GEE327759 GOA327757:GOA327759 GXW327757:GXW327759 HHS327757:HHS327759 HRO327757:HRO327759 IBK327757:IBK327759 ILG327757:ILG327759 IVC327757:IVC327759 JEY327757:JEY327759 JOU327757:JOU327759 JYQ327757:JYQ327759 KIM327757:KIM327759 KSI327757:KSI327759 LCE327757:LCE327759 LMA327757:LMA327759 LVW327757:LVW327759 MFS327757:MFS327759 MPO327757:MPO327759 MZK327757:MZK327759 NJG327757:NJG327759 NTC327757:NTC327759 OCY327757:OCY327759 OMU327757:OMU327759 OWQ327757:OWQ327759 PGM327757:PGM327759 PQI327757:PQI327759 QAE327757:QAE327759 QKA327757:QKA327759 QTW327757:QTW327759 RDS327757:RDS327759 RNO327757:RNO327759 RXK327757:RXK327759 SHG327757:SHG327759 SRC327757:SRC327759 TAY327757:TAY327759 TKU327757:TKU327759 TUQ327757:TUQ327759 UEM327757:UEM327759 UOI327757:UOI327759 UYE327757:UYE327759 VIA327757:VIA327759 VRW327757:VRW327759 WBS327757:WBS327759 WLO327757:WLO327759 WVK327757:WVK327759 C393293:C393295 IY393293:IY393295 SU393293:SU393295 ACQ393293:ACQ393295 AMM393293:AMM393295 AWI393293:AWI393295 BGE393293:BGE393295 BQA393293:BQA393295 BZW393293:BZW393295 CJS393293:CJS393295 CTO393293:CTO393295 DDK393293:DDK393295 DNG393293:DNG393295 DXC393293:DXC393295 EGY393293:EGY393295 EQU393293:EQU393295 FAQ393293:FAQ393295 FKM393293:FKM393295 FUI393293:FUI393295 GEE393293:GEE393295 GOA393293:GOA393295 GXW393293:GXW393295 HHS393293:HHS393295 HRO393293:HRO393295 IBK393293:IBK393295 ILG393293:ILG393295 IVC393293:IVC393295 JEY393293:JEY393295 JOU393293:JOU393295 JYQ393293:JYQ393295 KIM393293:KIM393295 KSI393293:KSI393295 LCE393293:LCE393295 LMA393293:LMA393295 LVW393293:LVW393295 MFS393293:MFS393295 MPO393293:MPO393295 MZK393293:MZK393295 NJG393293:NJG393295 NTC393293:NTC393295 OCY393293:OCY393295 OMU393293:OMU393295 OWQ393293:OWQ393295 PGM393293:PGM393295 PQI393293:PQI393295 QAE393293:QAE393295 QKA393293:QKA393295 QTW393293:QTW393295 RDS393293:RDS393295 RNO393293:RNO393295 RXK393293:RXK393295 SHG393293:SHG393295 SRC393293:SRC393295 TAY393293:TAY393295 TKU393293:TKU393295 TUQ393293:TUQ393295 UEM393293:UEM393295 UOI393293:UOI393295 UYE393293:UYE393295 VIA393293:VIA393295 VRW393293:VRW393295 WBS393293:WBS393295 WLO393293:WLO393295 WVK393293:WVK393295 C458829:C458831 IY458829:IY458831 SU458829:SU458831 ACQ458829:ACQ458831 AMM458829:AMM458831 AWI458829:AWI458831 BGE458829:BGE458831 BQA458829:BQA458831 BZW458829:BZW458831 CJS458829:CJS458831 CTO458829:CTO458831 DDK458829:DDK458831 DNG458829:DNG458831 DXC458829:DXC458831 EGY458829:EGY458831 EQU458829:EQU458831 FAQ458829:FAQ458831 FKM458829:FKM458831 FUI458829:FUI458831 GEE458829:GEE458831 GOA458829:GOA458831 GXW458829:GXW458831 HHS458829:HHS458831 HRO458829:HRO458831 IBK458829:IBK458831 ILG458829:ILG458831 IVC458829:IVC458831 JEY458829:JEY458831 JOU458829:JOU458831 JYQ458829:JYQ458831 KIM458829:KIM458831 KSI458829:KSI458831 LCE458829:LCE458831 LMA458829:LMA458831 LVW458829:LVW458831 MFS458829:MFS458831 MPO458829:MPO458831 MZK458829:MZK458831 NJG458829:NJG458831 NTC458829:NTC458831 OCY458829:OCY458831 OMU458829:OMU458831 OWQ458829:OWQ458831 PGM458829:PGM458831 PQI458829:PQI458831 QAE458829:QAE458831 QKA458829:QKA458831 QTW458829:QTW458831 RDS458829:RDS458831 RNO458829:RNO458831 RXK458829:RXK458831 SHG458829:SHG458831 SRC458829:SRC458831 TAY458829:TAY458831 TKU458829:TKU458831 TUQ458829:TUQ458831 UEM458829:UEM458831 UOI458829:UOI458831 UYE458829:UYE458831 VIA458829:VIA458831 VRW458829:VRW458831 WBS458829:WBS458831 WLO458829:WLO458831 WVK458829:WVK458831 C524365:C524367 IY524365:IY524367 SU524365:SU524367 ACQ524365:ACQ524367 AMM524365:AMM524367 AWI524365:AWI524367 BGE524365:BGE524367 BQA524365:BQA524367 BZW524365:BZW524367 CJS524365:CJS524367 CTO524365:CTO524367 DDK524365:DDK524367 DNG524365:DNG524367 DXC524365:DXC524367 EGY524365:EGY524367 EQU524365:EQU524367 FAQ524365:FAQ524367 FKM524365:FKM524367 FUI524365:FUI524367 GEE524365:GEE524367 GOA524365:GOA524367 GXW524365:GXW524367 HHS524365:HHS524367 HRO524365:HRO524367 IBK524365:IBK524367 ILG524365:ILG524367 IVC524365:IVC524367 JEY524365:JEY524367 JOU524365:JOU524367 JYQ524365:JYQ524367 KIM524365:KIM524367 KSI524365:KSI524367 LCE524365:LCE524367 LMA524365:LMA524367 LVW524365:LVW524367 MFS524365:MFS524367 MPO524365:MPO524367 MZK524365:MZK524367 NJG524365:NJG524367 NTC524365:NTC524367 OCY524365:OCY524367 OMU524365:OMU524367 OWQ524365:OWQ524367 PGM524365:PGM524367 PQI524365:PQI524367 QAE524365:QAE524367 QKA524365:QKA524367 QTW524365:QTW524367 RDS524365:RDS524367 RNO524365:RNO524367 RXK524365:RXK524367 SHG524365:SHG524367 SRC524365:SRC524367 TAY524365:TAY524367 TKU524365:TKU524367 TUQ524365:TUQ524367 UEM524365:UEM524367 UOI524365:UOI524367 UYE524365:UYE524367 VIA524365:VIA524367 VRW524365:VRW524367 WBS524365:WBS524367 WLO524365:WLO524367 WVK524365:WVK524367 C589901:C589903 IY589901:IY589903 SU589901:SU589903 ACQ589901:ACQ589903 AMM589901:AMM589903 AWI589901:AWI589903 BGE589901:BGE589903 BQA589901:BQA589903 BZW589901:BZW589903 CJS589901:CJS589903 CTO589901:CTO589903 DDK589901:DDK589903 DNG589901:DNG589903 DXC589901:DXC589903 EGY589901:EGY589903 EQU589901:EQU589903 FAQ589901:FAQ589903 FKM589901:FKM589903 FUI589901:FUI589903 GEE589901:GEE589903 GOA589901:GOA589903 GXW589901:GXW589903 HHS589901:HHS589903 HRO589901:HRO589903 IBK589901:IBK589903 ILG589901:ILG589903 IVC589901:IVC589903 JEY589901:JEY589903 JOU589901:JOU589903 JYQ589901:JYQ589903 KIM589901:KIM589903 KSI589901:KSI589903 LCE589901:LCE589903 LMA589901:LMA589903 LVW589901:LVW589903 MFS589901:MFS589903 MPO589901:MPO589903 MZK589901:MZK589903 NJG589901:NJG589903 NTC589901:NTC589903 OCY589901:OCY589903 OMU589901:OMU589903 OWQ589901:OWQ589903 PGM589901:PGM589903 PQI589901:PQI589903 QAE589901:QAE589903 QKA589901:QKA589903 QTW589901:QTW589903 RDS589901:RDS589903 RNO589901:RNO589903 RXK589901:RXK589903 SHG589901:SHG589903 SRC589901:SRC589903 TAY589901:TAY589903 TKU589901:TKU589903 TUQ589901:TUQ589903 UEM589901:UEM589903 UOI589901:UOI589903 UYE589901:UYE589903 VIA589901:VIA589903 VRW589901:VRW589903 WBS589901:WBS589903 WLO589901:WLO589903 WVK589901:WVK589903 C655437:C655439 IY655437:IY655439 SU655437:SU655439 ACQ655437:ACQ655439 AMM655437:AMM655439 AWI655437:AWI655439 BGE655437:BGE655439 BQA655437:BQA655439 BZW655437:BZW655439 CJS655437:CJS655439 CTO655437:CTO655439 DDK655437:DDK655439 DNG655437:DNG655439 DXC655437:DXC655439 EGY655437:EGY655439 EQU655437:EQU655439 FAQ655437:FAQ655439 FKM655437:FKM655439 FUI655437:FUI655439 GEE655437:GEE655439 GOA655437:GOA655439 GXW655437:GXW655439 HHS655437:HHS655439 HRO655437:HRO655439 IBK655437:IBK655439 ILG655437:ILG655439 IVC655437:IVC655439 JEY655437:JEY655439 JOU655437:JOU655439 JYQ655437:JYQ655439 KIM655437:KIM655439 KSI655437:KSI655439 LCE655437:LCE655439 LMA655437:LMA655439 LVW655437:LVW655439 MFS655437:MFS655439 MPO655437:MPO655439 MZK655437:MZK655439 NJG655437:NJG655439 NTC655437:NTC655439 OCY655437:OCY655439 OMU655437:OMU655439 OWQ655437:OWQ655439 PGM655437:PGM655439 PQI655437:PQI655439 QAE655437:QAE655439 QKA655437:QKA655439 QTW655437:QTW655439 RDS655437:RDS655439 RNO655437:RNO655439 RXK655437:RXK655439 SHG655437:SHG655439 SRC655437:SRC655439 TAY655437:TAY655439 TKU655437:TKU655439 TUQ655437:TUQ655439 UEM655437:UEM655439 UOI655437:UOI655439 UYE655437:UYE655439 VIA655437:VIA655439 VRW655437:VRW655439 WBS655437:WBS655439 WLO655437:WLO655439 WVK655437:WVK655439 C720973:C720975 IY720973:IY720975 SU720973:SU720975 ACQ720973:ACQ720975 AMM720973:AMM720975 AWI720973:AWI720975 BGE720973:BGE720975 BQA720973:BQA720975 BZW720973:BZW720975 CJS720973:CJS720975 CTO720973:CTO720975 DDK720973:DDK720975 DNG720973:DNG720975 DXC720973:DXC720975 EGY720973:EGY720975 EQU720973:EQU720975 FAQ720973:FAQ720975 FKM720973:FKM720975 FUI720973:FUI720975 GEE720973:GEE720975 GOA720973:GOA720975 GXW720973:GXW720975 HHS720973:HHS720975 HRO720973:HRO720975 IBK720973:IBK720975 ILG720973:ILG720975 IVC720973:IVC720975 JEY720973:JEY720975 JOU720973:JOU720975 JYQ720973:JYQ720975 KIM720973:KIM720975 KSI720973:KSI720975 LCE720973:LCE720975 LMA720973:LMA720975 LVW720973:LVW720975 MFS720973:MFS720975 MPO720973:MPO720975 MZK720973:MZK720975 NJG720973:NJG720975 NTC720973:NTC720975 OCY720973:OCY720975 OMU720973:OMU720975 OWQ720973:OWQ720975 PGM720973:PGM720975 PQI720973:PQI720975 QAE720973:QAE720975 QKA720973:QKA720975 QTW720973:QTW720975 RDS720973:RDS720975 RNO720973:RNO720975 RXK720973:RXK720975 SHG720973:SHG720975 SRC720973:SRC720975 TAY720973:TAY720975 TKU720973:TKU720975 TUQ720973:TUQ720975 UEM720973:UEM720975 UOI720973:UOI720975 UYE720973:UYE720975 VIA720973:VIA720975 VRW720973:VRW720975 WBS720973:WBS720975 WLO720973:WLO720975 WVK720973:WVK720975 C786509:C786511 IY786509:IY786511 SU786509:SU786511 ACQ786509:ACQ786511 AMM786509:AMM786511 AWI786509:AWI786511 BGE786509:BGE786511 BQA786509:BQA786511 BZW786509:BZW786511 CJS786509:CJS786511 CTO786509:CTO786511 DDK786509:DDK786511 DNG786509:DNG786511 DXC786509:DXC786511 EGY786509:EGY786511 EQU786509:EQU786511 FAQ786509:FAQ786511 FKM786509:FKM786511 FUI786509:FUI786511 GEE786509:GEE786511 GOA786509:GOA786511 GXW786509:GXW786511 HHS786509:HHS786511 HRO786509:HRO786511 IBK786509:IBK786511 ILG786509:ILG786511 IVC786509:IVC786511 JEY786509:JEY786511 JOU786509:JOU786511 JYQ786509:JYQ786511 KIM786509:KIM786511 KSI786509:KSI786511 LCE786509:LCE786511 LMA786509:LMA786511 LVW786509:LVW786511 MFS786509:MFS786511 MPO786509:MPO786511 MZK786509:MZK786511 NJG786509:NJG786511 NTC786509:NTC786511 OCY786509:OCY786511 OMU786509:OMU786511 OWQ786509:OWQ786511 PGM786509:PGM786511 PQI786509:PQI786511 QAE786509:QAE786511 QKA786509:QKA786511 QTW786509:QTW786511 RDS786509:RDS786511 RNO786509:RNO786511 RXK786509:RXK786511 SHG786509:SHG786511 SRC786509:SRC786511 TAY786509:TAY786511 TKU786509:TKU786511 TUQ786509:TUQ786511 UEM786509:UEM786511 UOI786509:UOI786511 UYE786509:UYE786511 VIA786509:VIA786511 VRW786509:VRW786511 WBS786509:WBS786511 WLO786509:WLO786511 WVK786509:WVK786511 C852045:C852047 IY852045:IY852047 SU852045:SU852047 ACQ852045:ACQ852047 AMM852045:AMM852047 AWI852045:AWI852047 BGE852045:BGE852047 BQA852045:BQA852047 BZW852045:BZW852047 CJS852045:CJS852047 CTO852045:CTO852047 DDK852045:DDK852047 DNG852045:DNG852047 DXC852045:DXC852047 EGY852045:EGY852047 EQU852045:EQU852047 FAQ852045:FAQ852047 FKM852045:FKM852047 FUI852045:FUI852047 GEE852045:GEE852047 GOA852045:GOA852047 GXW852045:GXW852047 HHS852045:HHS852047 HRO852045:HRO852047 IBK852045:IBK852047 ILG852045:ILG852047 IVC852045:IVC852047 JEY852045:JEY852047 JOU852045:JOU852047 JYQ852045:JYQ852047 KIM852045:KIM852047 KSI852045:KSI852047 LCE852045:LCE852047 LMA852045:LMA852047 LVW852045:LVW852047 MFS852045:MFS852047 MPO852045:MPO852047 MZK852045:MZK852047 NJG852045:NJG852047 NTC852045:NTC852047 OCY852045:OCY852047 OMU852045:OMU852047 OWQ852045:OWQ852047 PGM852045:PGM852047 PQI852045:PQI852047 QAE852045:QAE852047 QKA852045:QKA852047 QTW852045:QTW852047 RDS852045:RDS852047 RNO852045:RNO852047 RXK852045:RXK852047 SHG852045:SHG852047 SRC852045:SRC852047 TAY852045:TAY852047 TKU852045:TKU852047 TUQ852045:TUQ852047 UEM852045:UEM852047 UOI852045:UOI852047 UYE852045:UYE852047 VIA852045:VIA852047 VRW852045:VRW852047 WBS852045:WBS852047 WLO852045:WLO852047 WVK852045:WVK852047 C917581:C917583 IY917581:IY917583 SU917581:SU917583 ACQ917581:ACQ917583 AMM917581:AMM917583 AWI917581:AWI917583 BGE917581:BGE917583 BQA917581:BQA917583 BZW917581:BZW917583 CJS917581:CJS917583 CTO917581:CTO917583 DDK917581:DDK917583 DNG917581:DNG917583 DXC917581:DXC917583 EGY917581:EGY917583 EQU917581:EQU917583 FAQ917581:FAQ917583 FKM917581:FKM917583 FUI917581:FUI917583 GEE917581:GEE917583 GOA917581:GOA917583 GXW917581:GXW917583 HHS917581:HHS917583 HRO917581:HRO917583 IBK917581:IBK917583 ILG917581:ILG917583 IVC917581:IVC917583 JEY917581:JEY917583 JOU917581:JOU917583 JYQ917581:JYQ917583 KIM917581:KIM917583 KSI917581:KSI917583 LCE917581:LCE917583 LMA917581:LMA917583 LVW917581:LVW917583 MFS917581:MFS917583 MPO917581:MPO917583 MZK917581:MZK917583 NJG917581:NJG917583 NTC917581:NTC917583 OCY917581:OCY917583 OMU917581:OMU917583 OWQ917581:OWQ917583 PGM917581:PGM917583 PQI917581:PQI917583 QAE917581:QAE917583 QKA917581:QKA917583 QTW917581:QTW917583 RDS917581:RDS917583 RNO917581:RNO917583 RXK917581:RXK917583 SHG917581:SHG917583 SRC917581:SRC917583 TAY917581:TAY917583 TKU917581:TKU917583 TUQ917581:TUQ917583 UEM917581:UEM917583 UOI917581:UOI917583 UYE917581:UYE917583 VIA917581:VIA917583 VRW917581:VRW917583 WBS917581:WBS917583 WLO917581:WLO917583 WVK917581:WVK917583 C983117:C983119 IY983117:IY983119 SU983117:SU983119 ACQ983117:ACQ983119 AMM983117:AMM983119 AWI983117:AWI983119 BGE983117:BGE983119 BQA983117:BQA983119 BZW983117:BZW983119 CJS983117:CJS983119 CTO983117:CTO983119 DDK983117:DDK983119 DNG983117:DNG983119 DXC983117:DXC983119 EGY983117:EGY983119 EQU983117:EQU983119 FAQ983117:FAQ983119 FKM983117:FKM983119 FUI983117:FUI983119 GEE983117:GEE983119 GOA983117:GOA983119 GXW983117:GXW983119 HHS983117:HHS983119 HRO983117:HRO983119 IBK983117:IBK983119 ILG983117:ILG983119 IVC983117:IVC983119 JEY983117:JEY983119 JOU983117:JOU983119 JYQ983117:JYQ983119 KIM983117:KIM983119 KSI983117:KSI983119 LCE983117:LCE983119 LMA983117:LMA983119 LVW983117:LVW983119 MFS983117:MFS983119 MPO983117:MPO983119 MZK983117:MZK983119 NJG983117:NJG983119 NTC983117:NTC983119 OCY983117:OCY983119 OMU983117:OMU983119 OWQ983117:OWQ983119 PGM983117:PGM983119 PQI983117:PQI983119 QAE983117:QAE983119 QKA983117:QKA983119 QTW983117:QTW983119 RDS983117:RDS983119 RNO983117:RNO983119 RXK983117:RXK983119 SHG983117:SHG983119 SRC983117:SRC983119 TAY983117:TAY983119 TKU983117:TKU983119 TUQ983117:TUQ983119 UEM983117:UEM983119 UOI983117:UOI983119 UYE983117:UYE983119 VIA983117:VIA983119 VRW983117:VRW983119 WBS983117:WBS983119 WLO983117:WLO983119 WVK983117:WVK983119">
      <formula1>"Académique, Professionnel, Associatif, Autre"</formula1>
    </dataValidation>
    <dataValidation type="list" allowBlank="1" showInputMessage="1" showErrorMessage="1" sqref="C4 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C65540 IY65540 SU65540 ACQ65540 AMM65540 AWI65540 BGE65540 BQA65540 BZW65540 CJS65540 CTO65540 DDK65540 DNG65540 DXC65540 EGY65540 EQU65540 FAQ65540 FKM65540 FUI65540 GEE65540 GOA65540 GXW65540 HHS65540 HRO65540 IBK65540 ILG65540 IVC65540 JEY65540 JOU65540 JYQ65540 KIM65540 KSI65540 LCE65540 LMA65540 LVW65540 MFS65540 MPO65540 MZK65540 NJG65540 NTC65540 OCY65540 OMU65540 OWQ65540 PGM65540 PQI65540 QAE65540 QKA65540 QTW65540 RDS65540 RNO65540 RXK65540 SHG65540 SRC65540 TAY65540 TKU65540 TUQ65540 UEM65540 UOI65540 UYE65540 VIA65540 VRW65540 WBS65540 WLO65540 WVK65540 C131076 IY131076 SU131076 ACQ131076 AMM131076 AWI131076 BGE131076 BQA131076 BZW131076 CJS131076 CTO131076 DDK131076 DNG131076 DXC131076 EGY131076 EQU131076 FAQ131076 FKM131076 FUI131076 GEE131076 GOA131076 GXW131076 HHS131076 HRO131076 IBK131076 ILG131076 IVC131076 JEY131076 JOU131076 JYQ131076 KIM131076 KSI131076 LCE131076 LMA131076 LVW131076 MFS131076 MPO131076 MZK131076 NJG131076 NTC131076 OCY131076 OMU131076 OWQ131076 PGM131076 PQI131076 QAE131076 QKA131076 QTW131076 RDS131076 RNO131076 RXK131076 SHG131076 SRC131076 TAY131076 TKU131076 TUQ131076 UEM131076 UOI131076 UYE131076 VIA131076 VRW131076 WBS131076 WLO131076 WVK131076 C196612 IY196612 SU196612 ACQ196612 AMM196612 AWI196612 BGE196612 BQA196612 BZW196612 CJS196612 CTO196612 DDK196612 DNG196612 DXC196612 EGY196612 EQU196612 FAQ196612 FKM196612 FUI196612 GEE196612 GOA196612 GXW196612 HHS196612 HRO196612 IBK196612 ILG196612 IVC196612 JEY196612 JOU196612 JYQ196612 KIM196612 KSI196612 LCE196612 LMA196612 LVW196612 MFS196612 MPO196612 MZK196612 NJG196612 NTC196612 OCY196612 OMU196612 OWQ196612 PGM196612 PQI196612 QAE196612 QKA196612 QTW196612 RDS196612 RNO196612 RXK196612 SHG196612 SRC196612 TAY196612 TKU196612 TUQ196612 UEM196612 UOI196612 UYE196612 VIA196612 VRW196612 WBS196612 WLO196612 WVK196612 C262148 IY262148 SU262148 ACQ262148 AMM262148 AWI262148 BGE262148 BQA262148 BZW262148 CJS262148 CTO262148 DDK262148 DNG262148 DXC262148 EGY262148 EQU262148 FAQ262148 FKM262148 FUI262148 GEE262148 GOA262148 GXW262148 HHS262148 HRO262148 IBK262148 ILG262148 IVC262148 JEY262148 JOU262148 JYQ262148 KIM262148 KSI262148 LCE262148 LMA262148 LVW262148 MFS262148 MPO262148 MZK262148 NJG262148 NTC262148 OCY262148 OMU262148 OWQ262148 PGM262148 PQI262148 QAE262148 QKA262148 QTW262148 RDS262148 RNO262148 RXK262148 SHG262148 SRC262148 TAY262148 TKU262148 TUQ262148 UEM262148 UOI262148 UYE262148 VIA262148 VRW262148 WBS262148 WLO262148 WVK262148 C327684 IY327684 SU327684 ACQ327684 AMM327684 AWI327684 BGE327684 BQA327684 BZW327684 CJS327684 CTO327684 DDK327684 DNG327684 DXC327684 EGY327684 EQU327684 FAQ327684 FKM327684 FUI327684 GEE327684 GOA327684 GXW327684 HHS327684 HRO327684 IBK327684 ILG327684 IVC327684 JEY327684 JOU327684 JYQ327684 KIM327684 KSI327684 LCE327684 LMA327684 LVW327684 MFS327684 MPO327684 MZK327684 NJG327684 NTC327684 OCY327684 OMU327684 OWQ327684 PGM327684 PQI327684 QAE327684 QKA327684 QTW327684 RDS327684 RNO327684 RXK327684 SHG327684 SRC327684 TAY327684 TKU327684 TUQ327684 UEM327684 UOI327684 UYE327684 VIA327684 VRW327684 WBS327684 WLO327684 WVK327684 C393220 IY393220 SU393220 ACQ393220 AMM393220 AWI393220 BGE393220 BQA393220 BZW393220 CJS393220 CTO393220 DDK393220 DNG393220 DXC393220 EGY393220 EQU393220 FAQ393220 FKM393220 FUI393220 GEE393220 GOA393220 GXW393220 HHS393220 HRO393220 IBK393220 ILG393220 IVC393220 JEY393220 JOU393220 JYQ393220 KIM393220 KSI393220 LCE393220 LMA393220 LVW393220 MFS393220 MPO393220 MZK393220 NJG393220 NTC393220 OCY393220 OMU393220 OWQ393220 PGM393220 PQI393220 QAE393220 QKA393220 QTW393220 RDS393220 RNO393220 RXK393220 SHG393220 SRC393220 TAY393220 TKU393220 TUQ393220 UEM393220 UOI393220 UYE393220 VIA393220 VRW393220 WBS393220 WLO393220 WVK393220 C458756 IY458756 SU458756 ACQ458756 AMM458756 AWI458756 BGE458756 BQA458756 BZW458756 CJS458756 CTO458756 DDK458756 DNG458756 DXC458756 EGY458756 EQU458756 FAQ458756 FKM458756 FUI458756 GEE458756 GOA458756 GXW458756 HHS458756 HRO458756 IBK458756 ILG458756 IVC458756 JEY458756 JOU458756 JYQ458756 KIM458756 KSI458756 LCE458756 LMA458756 LVW458756 MFS458756 MPO458756 MZK458756 NJG458756 NTC458756 OCY458756 OMU458756 OWQ458756 PGM458756 PQI458756 QAE458756 QKA458756 QTW458756 RDS458756 RNO458756 RXK458756 SHG458756 SRC458756 TAY458756 TKU458756 TUQ458756 UEM458756 UOI458756 UYE458756 VIA458756 VRW458756 WBS458756 WLO458756 WVK458756 C524292 IY524292 SU524292 ACQ524292 AMM524292 AWI524292 BGE524292 BQA524292 BZW524292 CJS524292 CTO524292 DDK524292 DNG524292 DXC524292 EGY524292 EQU524292 FAQ524292 FKM524292 FUI524292 GEE524292 GOA524292 GXW524292 HHS524292 HRO524292 IBK524292 ILG524292 IVC524292 JEY524292 JOU524292 JYQ524292 KIM524292 KSI524292 LCE524292 LMA524292 LVW524292 MFS524292 MPO524292 MZK524292 NJG524292 NTC524292 OCY524292 OMU524292 OWQ524292 PGM524292 PQI524292 QAE524292 QKA524292 QTW524292 RDS524292 RNO524292 RXK524292 SHG524292 SRC524292 TAY524292 TKU524292 TUQ524292 UEM524292 UOI524292 UYE524292 VIA524292 VRW524292 WBS524292 WLO524292 WVK524292 C589828 IY589828 SU589828 ACQ589828 AMM589828 AWI589828 BGE589828 BQA589828 BZW589828 CJS589828 CTO589828 DDK589828 DNG589828 DXC589828 EGY589828 EQU589828 FAQ589828 FKM589828 FUI589828 GEE589828 GOA589828 GXW589828 HHS589828 HRO589828 IBK589828 ILG589828 IVC589828 JEY589828 JOU589828 JYQ589828 KIM589828 KSI589828 LCE589828 LMA589828 LVW589828 MFS589828 MPO589828 MZK589828 NJG589828 NTC589828 OCY589828 OMU589828 OWQ589828 PGM589828 PQI589828 QAE589828 QKA589828 QTW589828 RDS589828 RNO589828 RXK589828 SHG589828 SRC589828 TAY589828 TKU589828 TUQ589828 UEM589828 UOI589828 UYE589828 VIA589828 VRW589828 WBS589828 WLO589828 WVK589828 C655364 IY655364 SU655364 ACQ655364 AMM655364 AWI655364 BGE655364 BQA655364 BZW655364 CJS655364 CTO655364 DDK655364 DNG655364 DXC655364 EGY655364 EQU655364 FAQ655364 FKM655364 FUI655364 GEE655364 GOA655364 GXW655364 HHS655364 HRO655364 IBK655364 ILG655364 IVC655364 JEY655364 JOU655364 JYQ655364 KIM655364 KSI655364 LCE655364 LMA655364 LVW655364 MFS655364 MPO655364 MZK655364 NJG655364 NTC655364 OCY655364 OMU655364 OWQ655364 PGM655364 PQI655364 QAE655364 QKA655364 QTW655364 RDS655364 RNO655364 RXK655364 SHG655364 SRC655364 TAY655364 TKU655364 TUQ655364 UEM655364 UOI655364 UYE655364 VIA655364 VRW655364 WBS655364 WLO655364 WVK655364 C720900 IY720900 SU720900 ACQ720900 AMM720900 AWI720900 BGE720900 BQA720900 BZW720900 CJS720900 CTO720900 DDK720900 DNG720900 DXC720900 EGY720900 EQU720900 FAQ720900 FKM720900 FUI720900 GEE720900 GOA720900 GXW720900 HHS720900 HRO720900 IBK720900 ILG720900 IVC720900 JEY720900 JOU720900 JYQ720900 KIM720900 KSI720900 LCE720900 LMA720900 LVW720900 MFS720900 MPO720900 MZK720900 NJG720900 NTC720900 OCY720900 OMU720900 OWQ720900 PGM720900 PQI720900 QAE720900 QKA720900 QTW720900 RDS720900 RNO720900 RXK720900 SHG720900 SRC720900 TAY720900 TKU720900 TUQ720900 UEM720900 UOI720900 UYE720900 VIA720900 VRW720900 WBS720900 WLO720900 WVK720900 C786436 IY786436 SU786436 ACQ786436 AMM786436 AWI786436 BGE786436 BQA786436 BZW786436 CJS786436 CTO786436 DDK786436 DNG786436 DXC786436 EGY786436 EQU786436 FAQ786436 FKM786436 FUI786436 GEE786436 GOA786436 GXW786436 HHS786436 HRO786436 IBK786436 ILG786436 IVC786436 JEY786436 JOU786436 JYQ786436 KIM786436 KSI786436 LCE786436 LMA786436 LVW786436 MFS786436 MPO786436 MZK786436 NJG786436 NTC786436 OCY786436 OMU786436 OWQ786436 PGM786436 PQI786436 QAE786436 QKA786436 QTW786436 RDS786436 RNO786436 RXK786436 SHG786436 SRC786436 TAY786436 TKU786436 TUQ786436 UEM786436 UOI786436 UYE786436 VIA786436 VRW786436 WBS786436 WLO786436 WVK786436 C851972 IY851972 SU851972 ACQ851972 AMM851972 AWI851972 BGE851972 BQA851972 BZW851972 CJS851972 CTO851972 DDK851972 DNG851972 DXC851972 EGY851972 EQU851972 FAQ851972 FKM851972 FUI851972 GEE851972 GOA851972 GXW851972 HHS851972 HRO851972 IBK851972 ILG851972 IVC851972 JEY851972 JOU851972 JYQ851972 KIM851972 KSI851972 LCE851972 LMA851972 LVW851972 MFS851972 MPO851972 MZK851972 NJG851972 NTC851972 OCY851972 OMU851972 OWQ851972 PGM851972 PQI851972 QAE851972 QKA851972 QTW851972 RDS851972 RNO851972 RXK851972 SHG851972 SRC851972 TAY851972 TKU851972 TUQ851972 UEM851972 UOI851972 UYE851972 VIA851972 VRW851972 WBS851972 WLO851972 WVK851972 C917508 IY917508 SU917508 ACQ917508 AMM917508 AWI917508 BGE917508 BQA917508 BZW917508 CJS917508 CTO917508 DDK917508 DNG917508 DXC917508 EGY917508 EQU917508 FAQ917508 FKM917508 FUI917508 GEE917508 GOA917508 GXW917508 HHS917508 HRO917508 IBK917508 ILG917508 IVC917508 JEY917508 JOU917508 JYQ917508 KIM917508 KSI917508 LCE917508 LMA917508 LVW917508 MFS917508 MPO917508 MZK917508 NJG917508 NTC917508 OCY917508 OMU917508 OWQ917508 PGM917508 PQI917508 QAE917508 QKA917508 QTW917508 RDS917508 RNO917508 RXK917508 SHG917508 SRC917508 TAY917508 TKU917508 TUQ917508 UEM917508 UOI917508 UYE917508 VIA917508 VRW917508 WBS917508 WLO917508 WVK917508 C983044 IY983044 SU983044 ACQ983044 AMM983044 AWI983044 BGE983044 BQA983044 BZW983044 CJS983044 CTO983044 DDK983044 DNG983044 DXC983044 EGY983044 EQU983044 FAQ983044 FKM983044 FUI983044 GEE983044 GOA983044 GXW983044 HHS983044 HRO983044 IBK983044 ILG983044 IVC983044 JEY983044 JOU983044 JYQ983044 KIM983044 KSI983044 LCE983044 LMA983044 LVW983044 MFS983044 MPO983044 MZK983044 NJG983044 NTC983044 OCY983044 OMU983044 OWQ983044 PGM983044 PQI983044 QAE983044 QKA983044 QTW983044 RDS983044 RNO983044 RXK983044 SHG983044 SRC983044 TAY983044 TKU983044 TUQ983044 UEM983044 UOI983044 UYE983044 VIA983044 VRW983044 WBS983044 WLO983044 WVK983044">
      <formula1>"Mise à jour à partir du plan d'études, Nouvelle création"</formula1>
    </dataValidation>
  </dataValidations>
  <hyperlinks>
    <hyperlink ref="B1" r:id="rId1" location="'Schéma d''enseignement'!A1"/>
  </hyperlinks>
  <pageMargins left="0.7" right="0.7" top="0.75" bottom="0.75" header="0.3" footer="0.3"/>
  <pageSetup paperSize="9" scale="96" fitToHeight="0" orientation="portrait" horizontalDpi="300" verticalDpi="300" r:id="rId2"/>
  <rowBreaks count="3" manualBreakCount="3">
    <brk id="34" max="6" man="1"/>
    <brk id="59" max="6" man="1"/>
    <brk id="62" max="6"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00B050"/>
  </sheetPr>
  <dimension ref="B1:G92"/>
  <sheetViews>
    <sheetView view="pageBreakPreview" zoomScale="90" zoomScaleNormal="100" zoomScaleSheetLayoutView="90" workbookViewId="0">
      <selection activeCell="B1" sqref="B1"/>
    </sheetView>
  </sheetViews>
  <sheetFormatPr baseColWidth="10" defaultColWidth="9.140625" defaultRowHeight="15" x14ac:dyDescent="0.25"/>
  <cols>
    <col min="1" max="1" width="2.5703125" style="1" customWidth="1"/>
    <col min="2" max="2" width="25.140625" style="1" customWidth="1"/>
    <col min="3" max="3" width="16" style="1" customWidth="1"/>
    <col min="4" max="4" width="11.42578125" style="1" bestFit="1" customWidth="1"/>
    <col min="5" max="5" width="6.85546875" style="1" bestFit="1" customWidth="1"/>
    <col min="6" max="6" width="24.140625" style="1" customWidth="1"/>
    <col min="7" max="16384" width="9.140625" style="1"/>
  </cols>
  <sheetData>
    <row r="1" spans="2:7" ht="15.75" x14ac:dyDescent="0.25">
      <c r="B1" s="309" t="s">
        <v>857</v>
      </c>
      <c r="C1" s="108"/>
      <c r="D1" s="108"/>
      <c r="E1" s="108"/>
      <c r="F1" s="108"/>
      <c r="G1" s="108"/>
    </row>
    <row r="2" spans="2:7" s="268" customFormat="1" ht="15.75" x14ac:dyDescent="0.25">
      <c r="B2" s="623" t="s">
        <v>759</v>
      </c>
      <c r="C2" s="623"/>
      <c r="D2" s="623"/>
      <c r="E2" s="623"/>
      <c r="F2" s="623"/>
      <c r="G2" s="267"/>
    </row>
    <row r="3" spans="2:7" ht="15.75" x14ac:dyDescent="0.25">
      <c r="B3" s="112"/>
      <c r="C3" s="112"/>
      <c r="D3" s="112"/>
      <c r="E3" s="112"/>
      <c r="F3" s="112"/>
      <c r="G3" s="112"/>
    </row>
    <row r="4" spans="2:7" ht="15.75" x14ac:dyDescent="0.25">
      <c r="B4" s="128" t="s">
        <v>87</v>
      </c>
      <c r="C4" s="555" t="s">
        <v>465</v>
      </c>
      <c r="D4" s="555"/>
      <c r="E4" s="555"/>
      <c r="F4" s="555"/>
      <c r="G4" s="112"/>
    </row>
    <row r="5" spans="2:7" ht="15.75" x14ac:dyDescent="0.25">
      <c r="B5" s="128" t="s">
        <v>88</v>
      </c>
      <c r="C5" s="555" t="s">
        <v>483</v>
      </c>
      <c r="D5" s="555"/>
      <c r="E5" s="555"/>
      <c r="F5" s="555"/>
      <c r="G5" s="112"/>
    </row>
    <row r="6" spans="2:7" ht="15.75" x14ac:dyDescent="0.25">
      <c r="B6" s="128" t="s">
        <v>89</v>
      </c>
      <c r="C6" s="555" t="s">
        <v>737</v>
      </c>
      <c r="D6" s="555"/>
      <c r="E6" s="555"/>
      <c r="F6" s="555"/>
      <c r="G6" s="112"/>
    </row>
    <row r="7" spans="2:7" ht="15.75" x14ac:dyDescent="0.25">
      <c r="B7" s="128" t="s">
        <v>90</v>
      </c>
      <c r="C7" s="555" t="s">
        <v>738</v>
      </c>
      <c r="D7" s="555"/>
      <c r="E7" s="555"/>
      <c r="F7" s="555"/>
      <c r="G7" s="112"/>
    </row>
    <row r="8" spans="2:7" ht="15.75" x14ac:dyDescent="0.25">
      <c r="B8" s="128" t="s">
        <v>225</v>
      </c>
      <c r="C8" s="555" t="s">
        <v>588</v>
      </c>
      <c r="D8" s="555"/>
      <c r="E8" s="555"/>
      <c r="F8" s="555"/>
      <c r="G8" s="112"/>
    </row>
    <row r="9" spans="2:7" ht="15.75" x14ac:dyDescent="0.25">
      <c r="B9" s="128" t="s">
        <v>91</v>
      </c>
      <c r="C9" s="555">
        <v>5</v>
      </c>
      <c r="D9" s="555"/>
      <c r="E9" s="555"/>
      <c r="F9" s="555"/>
      <c r="G9" s="112"/>
    </row>
    <row r="10" spans="2:7" ht="15.75" x14ac:dyDescent="0.25">
      <c r="B10" s="112"/>
      <c r="C10" s="112"/>
      <c r="D10" s="112"/>
      <c r="E10" s="112"/>
      <c r="F10" s="112"/>
      <c r="G10" s="112"/>
    </row>
    <row r="11" spans="2:7" ht="15.75" x14ac:dyDescent="0.25">
      <c r="B11" s="519" t="s">
        <v>587</v>
      </c>
      <c r="C11" s="519"/>
      <c r="D11" s="519"/>
      <c r="E11" s="519"/>
      <c r="F11" s="519"/>
      <c r="G11" s="112"/>
    </row>
    <row r="12" spans="2:7" ht="15.75" x14ac:dyDescent="0.25">
      <c r="B12" s="209" t="s">
        <v>93</v>
      </c>
      <c r="C12" s="519" t="s">
        <v>94</v>
      </c>
      <c r="D12" s="519"/>
      <c r="E12" s="519" t="s">
        <v>760</v>
      </c>
      <c r="F12" s="519"/>
      <c r="G12" s="112"/>
    </row>
    <row r="13" spans="2:7" ht="15.75" x14ac:dyDescent="0.25">
      <c r="B13" s="269">
        <v>42778</v>
      </c>
      <c r="C13" s="624" t="s">
        <v>761</v>
      </c>
      <c r="D13" s="624"/>
      <c r="E13" s="624" t="s">
        <v>742</v>
      </c>
      <c r="F13" s="624"/>
      <c r="G13" s="112"/>
    </row>
    <row r="14" spans="2:7" ht="15.75" x14ac:dyDescent="0.25">
      <c r="B14" s="127" t="s">
        <v>762</v>
      </c>
      <c r="C14" s="624" t="s">
        <v>763</v>
      </c>
      <c r="D14" s="624"/>
      <c r="E14" s="624" t="s">
        <v>764</v>
      </c>
      <c r="F14" s="624"/>
      <c r="G14" s="112"/>
    </row>
    <row r="15" spans="2:7" ht="15.75" x14ac:dyDescent="0.25">
      <c r="B15" s="127"/>
      <c r="C15" s="624"/>
      <c r="D15" s="624"/>
      <c r="E15" s="624"/>
      <c r="F15" s="624"/>
      <c r="G15" s="112"/>
    </row>
    <row r="16" spans="2:7" ht="15.75" x14ac:dyDescent="0.25">
      <c r="B16" s="170"/>
      <c r="C16" s="170"/>
      <c r="D16" s="170"/>
      <c r="E16" s="170"/>
      <c r="F16" s="170"/>
      <c r="G16" s="112"/>
    </row>
    <row r="17" spans="2:7" ht="15.75" x14ac:dyDescent="0.25">
      <c r="B17" s="516" t="s">
        <v>583</v>
      </c>
      <c r="C17" s="518"/>
      <c r="D17" s="170"/>
      <c r="E17" s="170"/>
      <c r="F17" s="170"/>
      <c r="G17" s="112"/>
    </row>
    <row r="18" spans="2:7" ht="15.75" x14ac:dyDescent="0.25">
      <c r="B18" s="209" t="s">
        <v>582</v>
      </c>
      <c r="C18" s="209" t="s">
        <v>93</v>
      </c>
      <c r="D18" s="170"/>
      <c r="E18" s="170"/>
      <c r="F18" s="170"/>
      <c r="G18" s="112"/>
    </row>
    <row r="19" spans="2:7" ht="15.75" x14ac:dyDescent="0.25">
      <c r="B19" s="127" t="s">
        <v>742</v>
      </c>
      <c r="C19" s="270">
        <v>42778</v>
      </c>
      <c r="D19" s="170"/>
      <c r="E19" s="170"/>
      <c r="F19" s="170"/>
      <c r="G19" s="112"/>
    </row>
    <row r="20" spans="2:7" ht="15.75" x14ac:dyDescent="0.25">
      <c r="B20" s="127" t="s">
        <v>764</v>
      </c>
      <c r="C20" s="270">
        <v>42783</v>
      </c>
      <c r="D20" s="170"/>
      <c r="E20" s="170"/>
      <c r="F20" s="170"/>
      <c r="G20" s="112"/>
    </row>
    <row r="21" spans="2:7" ht="15.75" x14ac:dyDescent="0.25">
      <c r="B21" s="127"/>
      <c r="C21" s="127"/>
      <c r="D21" s="170"/>
      <c r="E21" s="170"/>
      <c r="F21" s="170"/>
      <c r="G21" s="112"/>
    </row>
    <row r="22" spans="2:7" ht="15.75" x14ac:dyDescent="0.25">
      <c r="B22" s="170"/>
      <c r="C22" s="170"/>
      <c r="D22" s="170"/>
      <c r="E22" s="170"/>
      <c r="F22" s="170"/>
      <c r="G22" s="112"/>
    </row>
    <row r="23" spans="2:7" ht="15.75" x14ac:dyDescent="0.25">
      <c r="B23" s="208" t="s">
        <v>95</v>
      </c>
      <c r="C23" s="208" t="s">
        <v>96</v>
      </c>
      <c r="D23" s="208" t="s">
        <v>97</v>
      </c>
      <c r="E23" s="208" t="s">
        <v>98</v>
      </c>
      <c r="F23" s="208" t="s">
        <v>99</v>
      </c>
      <c r="G23" s="112"/>
    </row>
    <row r="24" spans="2:7" ht="19.5" customHeight="1" x14ac:dyDescent="0.25">
      <c r="B24" s="171" t="s">
        <v>775</v>
      </c>
      <c r="C24" s="147" t="s">
        <v>765</v>
      </c>
      <c r="D24" s="147">
        <v>2</v>
      </c>
      <c r="E24" s="147">
        <v>2</v>
      </c>
      <c r="F24" s="147" t="s">
        <v>228</v>
      </c>
      <c r="G24" s="112"/>
    </row>
    <row r="25" spans="2:7" ht="15.75" x14ac:dyDescent="0.25">
      <c r="B25" s="170"/>
      <c r="C25" s="170"/>
      <c r="D25" s="170"/>
      <c r="E25" s="170"/>
      <c r="F25" s="170"/>
      <c r="G25" s="112"/>
    </row>
    <row r="26" spans="2:7" ht="15.75" x14ac:dyDescent="0.25">
      <c r="B26" s="470" t="s">
        <v>100</v>
      </c>
      <c r="C26" s="471"/>
      <c r="D26" s="471"/>
      <c r="E26" s="471"/>
      <c r="F26" s="472"/>
      <c r="G26" s="112"/>
    </row>
    <row r="27" spans="2:7" ht="55.5" customHeight="1" x14ac:dyDescent="0.25">
      <c r="B27" s="382" t="s">
        <v>766</v>
      </c>
      <c r="C27" s="383"/>
      <c r="D27" s="383"/>
      <c r="E27" s="383"/>
      <c r="F27" s="384"/>
      <c r="G27" s="112"/>
    </row>
    <row r="28" spans="2:7" ht="15.75" x14ac:dyDescent="0.25">
      <c r="B28" s="170"/>
      <c r="C28" s="170"/>
      <c r="D28" s="170"/>
      <c r="E28" s="170"/>
      <c r="F28" s="170"/>
      <c r="G28" s="112"/>
    </row>
    <row r="29" spans="2:7" ht="15.75" x14ac:dyDescent="0.25">
      <c r="B29" s="470" t="s">
        <v>101</v>
      </c>
      <c r="C29" s="471"/>
      <c r="D29" s="471"/>
      <c r="E29" s="471"/>
      <c r="F29" s="472"/>
      <c r="G29" s="112"/>
    </row>
    <row r="30" spans="2:7" ht="120" customHeight="1" x14ac:dyDescent="0.25">
      <c r="B30" s="382" t="s">
        <v>767</v>
      </c>
      <c r="C30" s="383"/>
      <c r="D30" s="383"/>
      <c r="E30" s="383"/>
      <c r="F30" s="384"/>
      <c r="G30" s="112"/>
    </row>
    <row r="31" spans="2:7" ht="15.75" x14ac:dyDescent="0.25">
      <c r="B31" s="170"/>
      <c r="C31" s="170"/>
      <c r="D31" s="170"/>
      <c r="E31" s="170"/>
      <c r="F31" s="170"/>
      <c r="G31" s="112"/>
    </row>
    <row r="32" spans="2:7" ht="15.75" x14ac:dyDescent="0.25">
      <c r="B32" s="470" t="s">
        <v>573</v>
      </c>
      <c r="C32" s="471"/>
      <c r="D32" s="471"/>
      <c r="E32" s="471"/>
      <c r="F32" s="472"/>
      <c r="G32" s="112"/>
    </row>
    <row r="33" spans="2:7" ht="34.5" customHeight="1" x14ac:dyDescent="0.25">
      <c r="B33" s="382" t="s">
        <v>768</v>
      </c>
      <c r="C33" s="383"/>
      <c r="D33" s="383"/>
      <c r="E33" s="383"/>
      <c r="F33" s="384"/>
      <c r="G33" s="112"/>
    </row>
    <row r="34" spans="2:7" ht="15.75" x14ac:dyDescent="0.25">
      <c r="B34" s="170"/>
      <c r="C34" s="170"/>
      <c r="D34" s="170"/>
      <c r="E34" s="170"/>
      <c r="F34" s="170"/>
      <c r="G34" s="112"/>
    </row>
    <row r="35" spans="2:7" ht="15.75" x14ac:dyDescent="0.25">
      <c r="B35" s="470" t="s">
        <v>571</v>
      </c>
      <c r="C35" s="471"/>
      <c r="D35" s="471"/>
      <c r="E35" s="471"/>
      <c r="F35" s="472"/>
      <c r="G35" s="112"/>
    </row>
    <row r="36" spans="2:7" ht="15.75" x14ac:dyDescent="0.25">
      <c r="B36" s="392" t="s">
        <v>769</v>
      </c>
      <c r="C36" s="383"/>
      <c r="D36" s="383"/>
      <c r="E36" s="383"/>
      <c r="F36" s="384"/>
      <c r="G36" s="112"/>
    </row>
    <row r="37" spans="2:7" ht="15.75" x14ac:dyDescent="0.25">
      <c r="B37" s="170"/>
      <c r="C37" s="170"/>
      <c r="D37" s="170"/>
      <c r="E37" s="170"/>
      <c r="F37" s="170"/>
      <c r="G37" s="112"/>
    </row>
    <row r="38" spans="2:7" ht="32.25" customHeight="1" x14ac:dyDescent="0.25">
      <c r="B38" s="526" t="s">
        <v>569</v>
      </c>
      <c r="C38" s="527"/>
      <c r="D38" s="527"/>
      <c r="E38" s="527"/>
      <c r="F38" s="528"/>
      <c r="G38" s="112"/>
    </row>
    <row r="39" spans="2:7" ht="15.75" x14ac:dyDescent="0.25">
      <c r="B39" s="209" t="s">
        <v>568</v>
      </c>
      <c r="C39" s="484" t="s">
        <v>567</v>
      </c>
      <c r="D39" s="484"/>
      <c r="E39" s="484"/>
      <c r="F39" s="484"/>
      <c r="G39" s="112"/>
    </row>
    <row r="40" spans="2:7" ht="15.75" x14ac:dyDescent="0.25">
      <c r="B40" s="127" t="s">
        <v>681</v>
      </c>
      <c r="C40" s="388"/>
      <c r="D40" s="388"/>
      <c r="E40" s="388"/>
      <c r="F40" s="388"/>
      <c r="G40" s="112"/>
    </row>
    <row r="41" spans="2:7" ht="15.75" x14ac:dyDescent="0.25">
      <c r="B41" s="127" t="s">
        <v>557</v>
      </c>
      <c r="C41" s="388"/>
      <c r="D41" s="388"/>
      <c r="E41" s="388"/>
      <c r="F41" s="388"/>
      <c r="G41" s="112"/>
    </row>
    <row r="42" spans="2:7" ht="15.75" x14ac:dyDescent="0.25">
      <c r="B42" s="127"/>
      <c r="C42" s="388"/>
      <c r="D42" s="388"/>
      <c r="E42" s="388"/>
      <c r="F42" s="388"/>
      <c r="G42" s="112"/>
    </row>
    <row r="43" spans="2:7" ht="15.75" x14ac:dyDescent="0.25">
      <c r="B43" s="170"/>
      <c r="C43" s="170"/>
      <c r="D43" s="170"/>
      <c r="E43" s="170"/>
      <c r="F43" s="170"/>
      <c r="G43" s="112"/>
    </row>
    <row r="44" spans="2:7" ht="15.75" x14ac:dyDescent="0.25">
      <c r="B44" s="470" t="s">
        <v>561</v>
      </c>
      <c r="C44" s="471"/>
      <c r="D44" s="471"/>
      <c r="E44" s="471"/>
      <c r="F44" s="472"/>
      <c r="G44" s="112"/>
    </row>
    <row r="45" spans="2:7" ht="15.75" x14ac:dyDescent="0.25">
      <c r="B45" s="209" t="s">
        <v>560</v>
      </c>
      <c r="C45" s="484" t="s">
        <v>748</v>
      </c>
      <c r="D45" s="484"/>
      <c r="E45" s="484"/>
      <c r="F45" s="484"/>
      <c r="G45" s="112"/>
    </row>
    <row r="46" spans="2:7" ht="15.75" x14ac:dyDescent="0.25">
      <c r="B46" s="536" t="s">
        <v>681</v>
      </c>
      <c r="C46" s="388" t="s">
        <v>749</v>
      </c>
      <c r="D46" s="388"/>
      <c r="E46" s="388"/>
      <c r="F46" s="388"/>
      <c r="G46" s="112"/>
    </row>
    <row r="47" spans="2:7" ht="15.75" x14ac:dyDescent="0.25">
      <c r="B47" s="537"/>
      <c r="C47" s="388" t="s">
        <v>20</v>
      </c>
      <c r="D47" s="388"/>
      <c r="E47" s="388"/>
      <c r="F47" s="388"/>
      <c r="G47" s="112"/>
    </row>
    <row r="48" spans="2:7" ht="15.75" x14ac:dyDescent="0.25">
      <c r="B48" s="538"/>
      <c r="C48" s="388"/>
      <c r="D48" s="388"/>
      <c r="E48" s="388"/>
      <c r="F48" s="388"/>
      <c r="G48" s="112"/>
    </row>
    <row r="49" spans="2:7" ht="15.75" x14ac:dyDescent="0.25">
      <c r="B49" s="536" t="s">
        <v>557</v>
      </c>
      <c r="C49" s="388" t="s">
        <v>608</v>
      </c>
      <c r="D49" s="388"/>
      <c r="E49" s="388"/>
      <c r="F49" s="388"/>
      <c r="G49" s="112"/>
    </row>
    <row r="50" spans="2:7" ht="15.75" x14ac:dyDescent="0.25">
      <c r="B50" s="537"/>
      <c r="C50" s="388"/>
      <c r="D50" s="388"/>
      <c r="E50" s="388"/>
      <c r="F50" s="388"/>
      <c r="G50" s="112"/>
    </row>
    <row r="51" spans="2:7" ht="15.75" x14ac:dyDescent="0.25">
      <c r="B51" s="538"/>
      <c r="C51" s="388"/>
      <c r="D51" s="388"/>
      <c r="E51" s="388"/>
      <c r="F51" s="388"/>
      <c r="G51" s="112"/>
    </row>
    <row r="52" spans="2:7" ht="15.75" x14ac:dyDescent="0.25">
      <c r="B52" s="170"/>
      <c r="C52" s="170"/>
      <c r="D52" s="170"/>
      <c r="E52" s="170"/>
      <c r="F52" s="170"/>
      <c r="G52" s="112"/>
    </row>
    <row r="53" spans="2:7" ht="15.75" x14ac:dyDescent="0.25">
      <c r="B53" s="470" t="s">
        <v>667</v>
      </c>
      <c r="C53" s="471"/>
      <c r="D53" s="471"/>
      <c r="E53" s="471"/>
      <c r="F53" s="472"/>
      <c r="G53" s="112"/>
    </row>
    <row r="54" spans="2:7" ht="15.75" x14ac:dyDescent="0.25">
      <c r="B54" s="209" t="s">
        <v>560</v>
      </c>
      <c r="C54" s="484" t="s">
        <v>666</v>
      </c>
      <c r="D54" s="484"/>
      <c r="E54" s="484"/>
      <c r="F54" s="484"/>
      <c r="G54" s="112"/>
    </row>
    <row r="55" spans="2:7" ht="15.75" x14ac:dyDescent="0.25">
      <c r="B55" s="536" t="s">
        <v>681</v>
      </c>
      <c r="C55" s="388" t="s">
        <v>749</v>
      </c>
      <c r="D55" s="388"/>
      <c r="E55" s="388"/>
      <c r="F55" s="388"/>
      <c r="G55" s="112"/>
    </row>
    <row r="56" spans="2:7" ht="15.75" x14ac:dyDescent="0.25">
      <c r="B56" s="537"/>
      <c r="C56" s="388" t="s">
        <v>472</v>
      </c>
      <c r="D56" s="388"/>
      <c r="E56" s="388"/>
      <c r="F56" s="388"/>
      <c r="G56" s="112"/>
    </row>
    <row r="57" spans="2:7" ht="15.75" x14ac:dyDescent="0.25">
      <c r="B57" s="538"/>
      <c r="C57" s="388"/>
      <c r="D57" s="388"/>
      <c r="E57" s="388"/>
      <c r="F57" s="388"/>
      <c r="G57" s="112"/>
    </row>
    <row r="58" spans="2:7" ht="15.75" x14ac:dyDescent="0.25">
      <c r="B58" s="536" t="s">
        <v>557</v>
      </c>
      <c r="C58" s="388" t="s">
        <v>770</v>
      </c>
      <c r="D58" s="388"/>
      <c r="E58" s="388"/>
      <c r="F58" s="388"/>
      <c r="G58" s="112"/>
    </row>
    <row r="59" spans="2:7" ht="15.75" x14ac:dyDescent="0.25">
      <c r="B59" s="537"/>
      <c r="C59" s="388" t="s">
        <v>771</v>
      </c>
      <c r="D59" s="388"/>
      <c r="E59" s="388"/>
      <c r="F59" s="388"/>
      <c r="G59" s="112"/>
    </row>
    <row r="60" spans="2:7" ht="15.75" x14ac:dyDescent="0.25">
      <c r="B60" s="538"/>
      <c r="C60" s="388"/>
      <c r="D60" s="388"/>
      <c r="E60" s="388"/>
      <c r="F60" s="388"/>
      <c r="G60" s="112"/>
    </row>
    <row r="61" spans="2:7" ht="15.75" x14ac:dyDescent="0.25">
      <c r="B61" s="170"/>
      <c r="C61" s="170"/>
      <c r="D61" s="170"/>
      <c r="E61" s="170"/>
      <c r="F61" s="170"/>
      <c r="G61" s="112"/>
    </row>
    <row r="62" spans="2:7" ht="15.75" x14ac:dyDescent="0.25">
      <c r="B62" s="470" t="s">
        <v>105</v>
      </c>
      <c r="C62" s="471"/>
      <c r="D62" s="471"/>
      <c r="E62" s="471"/>
      <c r="F62" s="472"/>
      <c r="G62" s="112"/>
    </row>
    <row r="63" spans="2:7" ht="180.75" customHeight="1" x14ac:dyDescent="0.25">
      <c r="B63" s="382" t="s">
        <v>772</v>
      </c>
      <c r="C63" s="383"/>
      <c r="D63" s="383"/>
      <c r="E63" s="383"/>
      <c r="F63" s="384"/>
      <c r="G63" s="112"/>
    </row>
    <row r="64" spans="2:7" ht="15.75" x14ac:dyDescent="0.25">
      <c r="B64" s="170"/>
      <c r="C64" s="170"/>
      <c r="D64" s="170"/>
      <c r="E64" s="170"/>
      <c r="F64" s="170"/>
      <c r="G64" s="112"/>
    </row>
    <row r="65" spans="2:7" ht="15.75" x14ac:dyDescent="0.25">
      <c r="B65" s="470" t="s">
        <v>473</v>
      </c>
      <c r="C65" s="471"/>
      <c r="D65" s="471"/>
      <c r="E65" s="471"/>
      <c r="F65" s="472"/>
      <c r="G65" s="112"/>
    </row>
    <row r="66" spans="2:7" ht="15.75" x14ac:dyDescent="0.25">
      <c r="B66" s="127" t="s">
        <v>548</v>
      </c>
      <c r="C66" s="388" t="s">
        <v>72</v>
      </c>
      <c r="D66" s="388"/>
      <c r="E66" s="388"/>
      <c r="F66" s="388"/>
      <c r="G66" s="112"/>
    </row>
    <row r="67" spans="2:7" ht="15.75" x14ac:dyDescent="0.25">
      <c r="B67" s="127" t="s">
        <v>547</v>
      </c>
      <c r="C67" s="388" t="s">
        <v>72</v>
      </c>
      <c r="D67" s="388"/>
      <c r="E67" s="388"/>
      <c r="F67" s="388"/>
      <c r="G67" s="112"/>
    </row>
    <row r="68" spans="2:7" ht="15.75" x14ac:dyDescent="0.25">
      <c r="B68" s="127" t="s">
        <v>546</v>
      </c>
      <c r="C68" s="388" t="s">
        <v>72</v>
      </c>
      <c r="D68" s="388"/>
      <c r="E68" s="388"/>
      <c r="F68" s="388"/>
      <c r="G68" s="112"/>
    </row>
    <row r="69" spans="2:7" ht="15.75" x14ac:dyDescent="0.25">
      <c r="B69" s="127" t="s">
        <v>660</v>
      </c>
      <c r="C69" s="388"/>
      <c r="D69" s="388"/>
      <c r="E69" s="388"/>
      <c r="F69" s="388"/>
      <c r="G69" s="112"/>
    </row>
    <row r="70" spans="2:7" ht="15.75" x14ac:dyDescent="0.25">
      <c r="B70" s="127" t="s">
        <v>756</v>
      </c>
      <c r="C70" s="388"/>
      <c r="D70" s="388"/>
      <c r="E70" s="388"/>
      <c r="F70" s="388"/>
      <c r="G70" s="112"/>
    </row>
    <row r="71" spans="2:7" ht="15.75" x14ac:dyDescent="0.25">
      <c r="B71" s="127" t="s">
        <v>108</v>
      </c>
      <c r="C71" s="388"/>
      <c r="D71" s="388"/>
      <c r="E71" s="388"/>
      <c r="F71" s="388"/>
      <c r="G71" s="112"/>
    </row>
    <row r="72" spans="2:7" ht="15.75" x14ac:dyDescent="0.25">
      <c r="B72" s="170"/>
      <c r="C72" s="170"/>
      <c r="D72" s="170"/>
      <c r="E72" s="170"/>
      <c r="F72" s="170"/>
      <c r="G72" s="112"/>
    </row>
    <row r="73" spans="2:7" ht="15.75" x14ac:dyDescent="0.25">
      <c r="B73" s="470" t="s">
        <v>757</v>
      </c>
      <c r="C73" s="471"/>
      <c r="D73" s="471"/>
      <c r="E73" s="471"/>
      <c r="F73" s="472"/>
      <c r="G73" s="112"/>
    </row>
    <row r="74" spans="2:7" ht="35.25" customHeight="1" x14ac:dyDescent="0.25">
      <c r="B74" s="382" t="s">
        <v>773</v>
      </c>
      <c r="C74" s="393"/>
      <c r="D74" s="393"/>
      <c r="E74" s="393"/>
      <c r="F74" s="394"/>
      <c r="G74" s="112"/>
    </row>
    <row r="75" spans="2:7" ht="15.75" x14ac:dyDescent="0.25">
      <c r="B75" s="170"/>
      <c r="C75" s="170"/>
      <c r="D75" s="170"/>
      <c r="E75" s="170"/>
      <c r="F75" s="170"/>
      <c r="G75" s="112"/>
    </row>
    <row r="76" spans="2:7" ht="32.25" customHeight="1" x14ac:dyDescent="0.25">
      <c r="B76" s="526" t="s">
        <v>240</v>
      </c>
      <c r="C76" s="527"/>
      <c r="D76" s="527"/>
      <c r="E76" s="527"/>
      <c r="F76" s="528"/>
      <c r="G76" s="112"/>
    </row>
    <row r="77" spans="2:7" ht="15.75" x14ac:dyDescent="0.25">
      <c r="B77" s="209" t="s">
        <v>241</v>
      </c>
      <c r="C77" s="209" t="s">
        <v>242</v>
      </c>
      <c r="D77" s="470" t="s">
        <v>243</v>
      </c>
      <c r="E77" s="471"/>
      <c r="F77" s="472"/>
      <c r="G77" s="112"/>
    </row>
    <row r="78" spans="2:7" ht="15.75" x14ac:dyDescent="0.25">
      <c r="B78" s="127"/>
      <c r="C78" s="127"/>
      <c r="D78" s="443"/>
      <c r="E78" s="465"/>
      <c r="F78" s="466"/>
      <c r="G78" s="112"/>
    </row>
    <row r="79" spans="2:7" ht="15.75" x14ac:dyDescent="0.25">
      <c r="B79" s="127"/>
      <c r="C79" s="127"/>
      <c r="D79" s="443"/>
      <c r="E79" s="465"/>
      <c r="F79" s="466"/>
      <c r="G79" s="112"/>
    </row>
    <row r="80" spans="2:7" ht="15.75" x14ac:dyDescent="0.25">
      <c r="B80" s="127"/>
      <c r="C80" s="127"/>
      <c r="D80" s="443"/>
      <c r="E80" s="465"/>
      <c r="F80" s="466"/>
      <c r="G80" s="112"/>
    </row>
    <row r="81" spans="2:7" ht="15.75" x14ac:dyDescent="0.25">
      <c r="B81" s="170"/>
      <c r="C81" s="170"/>
      <c r="D81" s="170"/>
      <c r="E81" s="170"/>
      <c r="F81" s="170"/>
      <c r="G81" s="112"/>
    </row>
    <row r="82" spans="2:7" ht="31.5" customHeight="1" x14ac:dyDescent="0.25">
      <c r="B82" s="526" t="s">
        <v>543</v>
      </c>
      <c r="C82" s="527"/>
      <c r="D82" s="527"/>
      <c r="E82" s="527"/>
      <c r="F82" s="528"/>
      <c r="G82" s="112"/>
    </row>
    <row r="83" spans="2:7" ht="15.75" x14ac:dyDescent="0.25">
      <c r="B83" s="209" t="s">
        <v>542</v>
      </c>
      <c r="C83" s="209" t="s">
        <v>541</v>
      </c>
      <c r="D83" s="470" t="s">
        <v>540</v>
      </c>
      <c r="E83" s="471"/>
      <c r="F83" s="472"/>
      <c r="G83" s="112"/>
    </row>
    <row r="84" spans="2:7" ht="15.75" x14ac:dyDescent="0.25">
      <c r="B84" s="127"/>
      <c r="C84" s="127"/>
      <c r="D84" s="443"/>
      <c r="E84" s="465"/>
      <c r="F84" s="466"/>
      <c r="G84" s="112"/>
    </row>
    <row r="85" spans="2:7" ht="15.75" x14ac:dyDescent="0.25">
      <c r="B85" s="127"/>
      <c r="C85" s="127"/>
      <c r="D85" s="443"/>
      <c r="E85" s="465"/>
      <c r="F85" s="466"/>
      <c r="G85" s="112"/>
    </row>
    <row r="86" spans="2:7" ht="15.75" x14ac:dyDescent="0.25">
      <c r="B86" s="127"/>
      <c r="C86" s="127"/>
      <c r="D86" s="443"/>
      <c r="E86" s="465"/>
      <c r="F86" s="466"/>
      <c r="G86" s="112"/>
    </row>
    <row r="87" spans="2:7" ht="15.75" x14ac:dyDescent="0.25">
      <c r="B87" s="170"/>
      <c r="C87" s="170"/>
      <c r="D87" s="170"/>
      <c r="E87" s="170"/>
      <c r="F87" s="170"/>
      <c r="G87" s="112"/>
    </row>
    <row r="88" spans="2:7" ht="15.75" x14ac:dyDescent="0.25">
      <c r="B88" s="470" t="s">
        <v>107</v>
      </c>
      <c r="C88" s="471"/>
      <c r="D88" s="471"/>
      <c r="E88" s="471"/>
      <c r="F88" s="472"/>
      <c r="G88" s="112"/>
    </row>
    <row r="89" spans="2:7" ht="205.5" customHeight="1" x14ac:dyDescent="0.25">
      <c r="B89" s="382" t="s">
        <v>774</v>
      </c>
      <c r="C89" s="383"/>
      <c r="D89" s="383"/>
      <c r="E89" s="383"/>
      <c r="F89" s="384"/>
      <c r="G89" s="112"/>
    </row>
    <row r="90" spans="2:7" ht="15.75" x14ac:dyDescent="0.25">
      <c r="B90" s="170"/>
      <c r="C90" s="170"/>
      <c r="D90" s="170"/>
      <c r="E90" s="170"/>
      <c r="F90" s="170"/>
      <c r="G90" s="112"/>
    </row>
    <row r="91" spans="2:7" ht="15.75" x14ac:dyDescent="0.25">
      <c r="B91" s="170"/>
      <c r="C91" s="170"/>
      <c r="D91" s="170"/>
      <c r="E91" s="170"/>
      <c r="F91" s="170"/>
      <c r="G91" s="112"/>
    </row>
    <row r="92" spans="2:7" ht="15.75" x14ac:dyDescent="0.25">
      <c r="B92" s="203"/>
      <c r="C92" s="203"/>
      <c r="D92" s="203"/>
      <c r="E92" s="203"/>
      <c r="F92" s="203"/>
      <c r="G92" s="108"/>
    </row>
  </sheetData>
  <mergeCells count="73">
    <mergeCell ref="D84:F84"/>
    <mergeCell ref="D85:F85"/>
    <mergeCell ref="D86:F86"/>
    <mergeCell ref="B88:F88"/>
    <mergeCell ref="B89:F89"/>
    <mergeCell ref="D83:F83"/>
    <mergeCell ref="C69:F69"/>
    <mergeCell ref="C70:F70"/>
    <mergeCell ref="C71:F71"/>
    <mergeCell ref="B73:F73"/>
    <mergeCell ref="B74:F74"/>
    <mergeCell ref="B76:F76"/>
    <mergeCell ref="D77:F77"/>
    <mergeCell ref="D78:F78"/>
    <mergeCell ref="D79:F79"/>
    <mergeCell ref="D80:F80"/>
    <mergeCell ref="B82:F82"/>
    <mergeCell ref="C68:F68"/>
    <mergeCell ref="B55:B57"/>
    <mergeCell ref="C55:F55"/>
    <mergeCell ref="C56:F56"/>
    <mergeCell ref="C57:F57"/>
    <mergeCell ref="B58:B60"/>
    <mergeCell ref="C58:F58"/>
    <mergeCell ref="C59:F59"/>
    <mergeCell ref="C60:F60"/>
    <mergeCell ref="B62:F62"/>
    <mergeCell ref="B63:F63"/>
    <mergeCell ref="B65:F65"/>
    <mergeCell ref="C66:F66"/>
    <mergeCell ref="C67:F67"/>
    <mergeCell ref="C54:F54"/>
    <mergeCell ref="B44:F44"/>
    <mergeCell ref="C45:F45"/>
    <mergeCell ref="B46:B48"/>
    <mergeCell ref="C46:F46"/>
    <mergeCell ref="C47:F47"/>
    <mergeCell ref="C48:F48"/>
    <mergeCell ref="B49:B51"/>
    <mergeCell ref="C49:F49"/>
    <mergeCell ref="C50:F50"/>
    <mergeCell ref="C51:F51"/>
    <mergeCell ref="B53:F53"/>
    <mergeCell ref="C42:F42"/>
    <mergeCell ref="B27:F27"/>
    <mergeCell ref="B29:F29"/>
    <mergeCell ref="B30:F30"/>
    <mergeCell ref="B32:F32"/>
    <mergeCell ref="B33:F33"/>
    <mergeCell ref="B35:F35"/>
    <mergeCell ref="B36:F36"/>
    <mergeCell ref="B38:F38"/>
    <mergeCell ref="C39:F39"/>
    <mergeCell ref="C40:F40"/>
    <mergeCell ref="C41:F41"/>
    <mergeCell ref="B26:F26"/>
    <mergeCell ref="C9:F9"/>
    <mergeCell ref="B11:F11"/>
    <mergeCell ref="C12:D12"/>
    <mergeCell ref="E12:F12"/>
    <mergeCell ref="C13:D13"/>
    <mergeCell ref="E13:F13"/>
    <mergeCell ref="C14:D14"/>
    <mergeCell ref="E14:F14"/>
    <mergeCell ref="C15:D15"/>
    <mergeCell ref="E15:F15"/>
    <mergeCell ref="B17:C17"/>
    <mergeCell ref="C8:F8"/>
    <mergeCell ref="B2:F2"/>
    <mergeCell ref="C4:F4"/>
    <mergeCell ref="C5:F5"/>
    <mergeCell ref="C6:F6"/>
    <mergeCell ref="C7:F7"/>
  </mergeCells>
  <dataValidations count="3">
    <dataValidation type="list" allowBlank="1" showInputMessage="1" showErrorMessage="1" sqref="C4">
      <formula1>"Mise à jour à partir du plan d'études, Nouvelle création"</formula1>
    </dataValidation>
    <dataValidation type="list" allowBlank="1" showInputMessage="1" showErrorMessage="1" sqref="C78:C80">
      <formula1>"Académique, Professionnel, Associatif, Autre"</formula1>
    </dataValidation>
    <dataValidation type="list" allowBlank="1" showInputMessage="1" showErrorMessage="1" sqref="C84:C86">
      <formula1>"Formation, Certification, Stage / projet, Autre"</formula1>
    </dataValidation>
  </dataValidations>
  <hyperlinks>
    <hyperlink ref="B1" r:id="rId1" location="'Schéma d''enseignement'!A1"/>
  </hyperlinks>
  <pageMargins left="0.7" right="0.7" top="0.75" bottom="0.75" header="0.3" footer="0.3"/>
  <pageSetup paperSize="9" orientation="portrait" horizontalDpi="300" verticalDpi="300" r:id="rId2"/>
  <rowBreaks count="1" manualBreakCount="1">
    <brk id="34"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50</vt:i4>
      </vt:variant>
      <vt:variant>
        <vt:lpstr>Plages nommées</vt:lpstr>
      </vt:variant>
      <vt:variant>
        <vt:i4>77</vt:i4>
      </vt:variant>
    </vt:vector>
  </HeadingPairs>
  <TitlesOfParts>
    <vt:vector size="127" baseType="lpstr">
      <vt:lpstr>Page de garde</vt:lpstr>
      <vt:lpstr>Contributeurs</vt:lpstr>
      <vt:lpstr>Métiers visés </vt:lpstr>
      <vt:lpstr>Comptétences adressées</vt:lpstr>
      <vt:lpstr>Schéma d'enseignement</vt:lpstr>
      <vt:lpstr>Cohérence</vt:lpstr>
      <vt:lpstr>Matières optionnelles</vt:lpstr>
      <vt:lpstr>Semestre 3</vt:lpstr>
      <vt:lpstr>Base de données</vt:lpstr>
      <vt:lpstr>Atelier Base de données</vt:lpstr>
      <vt:lpstr>Modélisation Objet (UML2)</vt:lpstr>
      <vt:lpstr>Programmation Objet</vt:lpstr>
      <vt:lpstr>Atelier Programmation Objet</vt:lpstr>
      <vt:lpstr>Atelier Framework Côté Client</vt:lpstr>
      <vt:lpstr>Développement Côté Serveur</vt:lpstr>
      <vt:lpstr>At Développement Côté Serveur</vt:lpstr>
      <vt:lpstr>Communication en entreprise</vt:lpstr>
      <vt:lpstr>high tech english</vt:lpstr>
      <vt:lpstr>Semestre 4</vt:lpstr>
      <vt:lpstr>Projet d’Intégration s4</vt:lpstr>
      <vt:lpstr>Atelier framework coté serveur</vt:lpstr>
      <vt:lpstr>Architecture logicielle</vt:lpstr>
      <vt:lpstr>At Environnement de Dev</vt:lpstr>
      <vt:lpstr>Programmation Objet Avancée</vt:lpstr>
      <vt:lpstr>AT Programmation Objet Avancée</vt:lpstr>
      <vt:lpstr>SGBD</vt:lpstr>
      <vt:lpstr>Atelier SGBD</vt:lpstr>
      <vt:lpstr>Etude et management des proj</vt:lpstr>
      <vt:lpstr>busniess English</vt:lpstr>
      <vt:lpstr>Art du codage</vt:lpstr>
      <vt:lpstr>Sécurité applicative  </vt:lpstr>
      <vt:lpstr>Marketing Digital </vt:lpstr>
      <vt:lpstr>Sécurité des systèmes d'informa</vt:lpstr>
      <vt:lpstr>Tests et validation logiciels </vt:lpstr>
      <vt:lpstr>Semestre 5</vt:lpstr>
      <vt:lpstr>SOA </vt:lpstr>
      <vt:lpstr>Atelier SOA et techniques Integ</vt:lpstr>
      <vt:lpstr>Gestion des données Massives</vt:lpstr>
      <vt:lpstr>Atelier Base de Données Avancée</vt:lpstr>
      <vt:lpstr>Méthodologie de Conception Obj</vt:lpstr>
      <vt:lpstr>Projet d’Intégration s5</vt:lpstr>
      <vt:lpstr>Développement Mobile</vt:lpstr>
      <vt:lpstr>AT Développement Mobile natif</vt:lpstr>
      <vt:lpstr>AT Framework cross-platform</vt:lpstr>
      <vt:lpstr>TRE</vt:lpstr>
      <vt:lpstr>toeic</vt:lpstr>
      <vt:lpstr>Etude de synthèse info. Si</vt:lpstr>
      <vt:lpstr>Test et Validation du Logiciel</vt:lpstr>
      <vt:lpstr>Intérgation et qualité du code</vt:lpstr>
      <vt:lpstr>Informatique décisionnelle </vt:lpstr>
      <vt:lpstr>ArchitectureLogicielle</vt:lpstr>
      <vt:lpstr>ArtCodage</vt:lpstr>
      <vt:lpstr>ATBaseDonnées</vt:lpstr>
      <vt:lpstr>AtCorssPlforme</vt:lpstr>
      <vt:lpstr>AtDevCoteServeur</vt:lpstr>
      <vt:lpstr>AtDevMobile</vt:lpstr>
      <vt:lpstr>AtDMassive</vt:lpstr>
      <vt:lpstr>AtEnvDeveloppement</vt:lpstr>
      <vt:lpstr>AtFrameWorkCLient</vt:lpstr>
      <vt:lpstr>AtFrameworkCoteServeur</vt:lpstr>
      <vt:lpstr>ATProgObj</vt:lpstr>
      <vt:lpstr>AtProgOOAvancée</vt:lpstr>
      <vt:lpstr>AtSGBD</vt:lpstr>
      <vt:lpstr>AtSOA</vt:lpstr>
      <vt:lpstr>BaseDonnées</vt:lpstr>
      <vt:lpstr>BusinessEnglish</vt:lpstr>
      <vt:lpstr>CommEntreprise</vt:lpstr>
      <vt:lpstr>DevCoteServeur</vt:lpstr>
      <vt:lpstr>DevelopMobile</vt:lpstr>
      <vt:lpstr>EtSyntinfoSI</vt:lpstr>
      <vt:lpstr>EtudMgProjet</vt:lpstr>
      <vt:lpstr>GestDMassive</vt:lpstr>
      <vt:lpstr>HighTechEnglish</vt:lpstr>
      <vt:lpstr>InfoDecisionnel</vt:lpstr>
      <vt:lpstr>IntegrationQualiteCode</vt:lpstr>
      <vt:lpstr>MarkDigital</vt:lpstr>
      <vt:lpstr>MethConceptionObjet</vt:lpstr>
      <vt:lpstr>ModelisationObjet</vt:lpstr>
      <vt:lpstr>'Test et Validation du Logiciel'!Print_Area_0</vt:lpstr>
      <vt:lpstr>'Test et Validation du Logiciel'!Print_Area_0_0</vt:lpstr>
      <vt:lpstr>'Test et Validation du Logiciel'!Print_Area_0_0_0</vt:lpstr>
      <vt:lpstr>'Test et Validation du Logiciel'!Print_Area_0_0_0_0</vt:lpstr>
      <vt:lpstr>ProgObjet</vt:lpstr>
      <vt:lpstr>ProgOO</vt:lpstr>
      <vt:lpstr>ProgOOAvancée</vt:lpstr>
      <vt:lpstr>ProjetIntegration</vt:lpstr>
      <vt:lpstr>ProjetIntS5</vt:lpstr>
      <vt:lpstr>SchemaEnseignement</vt:lpstr>
      <vt:lpstr>SecuriteApp</vt:lpstr>
      <vt:lpstr>SecuriteSysInfo</vt:lpstr>
      <vt:lpstr>SGBD</vt:lpstr>
      <vt:lpstr>SOA</vt:lpstr>
      <vt:lpstr>TestValidationLog</vt:lpstr>
      <vt:lpstr>TestValidationLogiciel</vt:lpstr>
      <vt:lpstr>TOIEC</vt:lpstr>
      <vt:lpstr>TRechEmploi</vt:lpstr>
      <vt:lpstr>'Architecture logicielle'!Zone_d_impression</vt:lpstr>
      <vt:lpstr>'Art du codage'!Zone_d_impression</vt:lpstr>
      <vt:lpstr>'At Développement Côté Serveur'!Zone_d_impression</vt:lpstr>
      <vt:lpstr>'AT Développement Mobile natif'!Zone_d_impression</vt:lpstr>
      <vt:lpstr>'At Environnement de Dev'!Zone_d_impression</vt:lpstr>
      <vt:lpstr>'AT Framework cross-platform'!Zone_d_impression</vt:lpstr>
      <vt:lpstr>'AT Programmation Objet Avancée'!Zone_d_impression</vt:lpstr>
      <vt:lpstr>'Atelier Base de données'!Zone_d_impression</vt:lpstr>
      <vt:lpstr>'Atelier Base de Données Avancée'!Zone_d_impression</vt:lpstr>
      <vt:lpstr>'Atelier Framework Côté Client'!Zone_d_impression</vt:lpstr>
      <vt:lpstr>'Atelier framework coté serveur'!Zone_d_impression</vt:lpstr>
      <vt:lpstr>'Atelier Programmation Objet'!Zone_d_impression</vt:lpstr>
      <vt:lpstr>'Atelier SGBD'!Zone_d_impression</vt:lpstr>
      <vt:lpstr>'Atelier SOA et techniques Integ'!Zone_d_impression</vt:lpstr>
      <vt:lpstr>'Base de données'!Zone_d_impression</vt:lpstr>
      <vt:lpstr>'Développement Côté Serveur'!Zone_d_impression</vt:lpstr>
      <vt:lpstr>'Développement Mobile'!Zone_d_impression</vt:lpstr>
      <vt:lpstr>'Etude de synthèse info. Si'!Zone_d_impression</vt:lpstr>
      <vt:lpstr>'Gestion des données Massives'!Zone_d_impression</vt:lpstr>
      <vt:lpstr>'Informatique décisionnelle '!Zone_d_impression</vt:lpstr>
      <vt:lpstr>'Intérgation et qualité du code'!Zone_d_impression</vt:lpstr>
      <vt:lpstr>'Marketing Digital '!Zone_d_impression</vt:lpstr>
      <vt:lpstr>'Méthodologie de Conception Obj'!Zone_d_impression</vt:lpstr>
      <vt:lpstr>'Modélisation Objet (UML2)'!Zone_d_impression</vt:lpstr>
      <vt:lpstr>'Programmation Objet'!Zone_d_impression</vt:lpstr>
      <vt:lpstr>'Programmation Objet Avancée'!Zone_d_impression</vt:lpstr>
      <vt:lpstr>'Sécurité applicative  '!Zone_d_impression</vt:lpstr>
      <vt:lpstr>SGBD!Zone_d_impression</vt:lpstr>
      <vt:lpstr>'SOA '!Zone_d_impression</vt:lpstr>
      <vt:lpstr>'Test et Validation du Logiciel'!Zone_d_impression</vt:lpstr>
      <vt:lpstr>TRE!Zone_d_impression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Khelil Belkhodja</dc:creator>
  <cp:lastModifiedBy>Utilisateur Windows</cp:lastModifiedBy>
  <dcterms:created xsi:type="dcterms:W3CDTF">2018-04-24T09:44:12Z</dcterms:created>
  <dcterms:modified xsi:type="dcterms:W3CDTF">2018-08-13T19:23:15Z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
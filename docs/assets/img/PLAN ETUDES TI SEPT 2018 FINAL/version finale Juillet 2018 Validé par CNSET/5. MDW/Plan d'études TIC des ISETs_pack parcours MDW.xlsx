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travaux\ISET\Reforme\2018\documents\version finale Juillet 2018 Validé par CNSET\5. MDW\"/>
    </mc:Choice>
  </mc:AlternateContent>
  <bookViews>
    <workbookView xWindow="0" yWindow="0" windowWidth="19200" windowHeight="6945" tabRatio="789"/>
  </bookViews>
  <sheets>
    <sheet name="Page de garde" sheetId="51" r:id="rId1"/>
    <sheet name="Contributeurs" sheetId="1" r:id="rId2"/>
    <sheet name="Métiers visés " sheetId="2" r:id="rId3"/>
    <sheet name="Comptétences adressées" sheetId="3" r:id="rId4"/>
    <sheet name="Schéma d'enseignement" sheetId="4" r:id="rId5"/>
    <sheet name="Cohérene" sheetId="9" r:id="rId6"/>
    <sheet name="Matières optionnelles" sheetId="48" r:id="rId7"/>
    <sheet name="Semestre 3 " sheetId="7" r:id="rId8"/>
    <sheet name="Admin. systèmes &amp; services" sheetId="10" r:id="rId9"/>
    <sheet name="Atelier Admin. syst. &amp; services" sheetId="11" r:id="rId10"/>
    <sheet name="Base de données" sheetId="12" r:id="rId11"/>
    <sheet name="Atelier base de données" sheetId="13" r:id="rId12"/>
    <sheet name="Programmation objet" sheetId="14" r:id="rId13"/>
    <sheet name="Atelier programmation objet" sheetId="15" r:id="rId14"/>
    <sheet name="Développement FR coté client" sheetId="16" r:id="rId15"/>
    <sheet name="Atelier dév FR coté client" sheetId="17" r:id="rId16"/>
    <sheet name="AT traitement données multiméd." sheetId="18" r:id="rId17"/>
    <sheet name="High Tech english" sheetId="53" r:id="rId18"/>
    <sheet name="Communication en entreprise" sheetId="46" r:id="rId19"/>
    <sheet name="Semestre 4" sheetId="19" r:id="rId20"/>
    <sheet name="AT design &amp; inté pour le web" sheetId="20" r:id="rId21"/>
    <sheet name="Sécurité des applications web" sheetId="21" r:id="rId22"/>
    <sheet name="Développement coté serveur" sheetId="23" r:id="rId23"/>
    <sheet name="Atelier dév coté serveur" sheetId="24" r:id="rId24"/>
    <sheet name="Atelier SGBD" sheetId="25" r:id="rId25"/>
    <sheet name="Programmation objet avancée" sheetId="26" r:id="rId26"/>
    <sheet name="Atelier prog objet avancée" sheetId="27" r:id="rId27"/>
    <sheet name="Atelier outil d'animation 3D" sheetId="30" r:id="rId28"/>
    <sheet name="Programmation graphique 2D-3D" sheetId="28" r:id="rId29"/>
    <sheet name="Atelier prog graphique 2D" sheetId="29" r:id="rId30"/>
    <sheet name="Busniess English" sheetId="54" r:id="rId31"/>
    <sheet name="Etude &amp; mgmt de prjts innovants" sheetId="45" r:id="rId32"/>
    <sheet name="Semestre 5" sheetId="31" r:id="rId33"/>
    <sheet name="Développement Mobile" sheetId="33" r:id="rId34"/>
    <sheet name="Atelier dév mobile" sheetId="34" r:id="rId35"/>
    <sheet name="Atelier SOA" sheetId="35" r:id="rId36"/>
    <sheet name="Atelier framework coté serveur" sheetId="36" r:id="rId37"/>
    <sheet name="Conception OO &amp; méthodes agiles" sheetId="37" r:id="rId38"/>
    <sheet name="Atelier projet d'intégration" sheetId="38" r:id="rId39"/>
    <sheet name="Atelier Réalite VIR et AUG" sheetId="40" r:id="rId40"/>
    <sheet name="Réalite AUG et VIR" sheetId="39" r:id="rId41"/>
    <sheet name="Atelier prog multimédia 3D" sheetId="41" r:id="rId42"/>
    <sheet name="TOEIC" sheetId="55" r:id="rId43"/>
    <sheet name="TRE" sheetId="47" r:id="rId44"/>
    <sheet name="EC Optionnelles" sheetId="52" r:id="rId45"/>
    <sheet name="Sécurité informatique" sheetId="49" r:id="rId46"/>
    <sheet name="Mise en fct. d'un projet web" sheetId="50" r:id="rId47"/>
  </sheets>
  <definedNames>
    <definedName name="_xlnm._FilterDatabase" localSheetId="2" hidden="1">'Métiers visés '!$B$4:$E$10</definedName>
    <definedName name="_xlnm.Print_Area" localSheetId="33">'Développement Mobile'!$A$3:$I$54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8" i="4" l="1"/>
  <c r="F36" i="4"/>
  <c r="I49" i="4" l="1"/>
  <c r="I35" i="4"/>
  <c r="I20" i="4"/>
  <c r="K49" i="4"/>
  <c r="J49" i="4"/>
  <c r="K35" i="4"/>
  <c r="J35" i="4"/>
  <c r="K20" i="4"/>
  <c r="J20" i="4"/>
  <c r="I53" i="4" l="1"/>
  <c r="I54" i="4"/>
  <c r="I55" i="4"/>
  <c r="H49" i="4"/>
  <c r="H55" i="4" s="1"/>
  <c r="M49" i="4"/>
  <c r="N49" i="4"/>
  <c r="O49" i="4"/>
  <c r="L49" i="4"/>
  <c r="M35" i="4"/>
  <c r="N35" i="4"/>
  <c r="O35" i="4"/>
  <c r="L35" i="4"/>
  <c r="M20" i="4"/>
  <c r="N20" i="4"/>
  <c r="O20" i="4"/>
  <c r="L20" i="4"/>
  <c r="F33" i="4" l="1"/>
  <c r="F47" i="4" l="1"/>
  <c r="F45" i="4"/>
  <c r="F42" i="4"/>
  <c r="F40" i="4"/>
  <c r="F31" i="4"/>
  <c r="F28" i="4"/>
  <c r="F25" i="4"/>
  <c r="F23" i="4"/>
  <c r="F21" i="4"/>
  <c r="F18" i="4"/>
  <c r="F16" i="4"/>
  <c r="F13" i="4"/>
  <c r="F9" i="4"/>
  <c r="F11" i="4"/>
  <c r="F7" i="4"/>
  <c r="H20" i="4" l="1"/>
  <c r="H53" i="4" s="1"/>
  <c r="H35" i="4" l="1"/>
  <c r="H54" i="4" s="1"/>
  <c r="F49" i="4"/>
  <c r="F35" i="4"/>
  <c r="F20" i="4" l="1"/>
  <c r="F50" i="4" s="1"/>
  <c r="H50" i="4"/>
</calcChain>
</file>

<file path=xl/sharedStrings.xml><?xml version="1.0" encoding="utf-8"?>
<sst xmlns="http://schemas.openxmlformats.org/spreadsheetml/2006/main" count="2549" uniqueCount="793">
  <si>
    <t xml:space="preserve">Partcipation </t>
  </si>
  <si>
    <t xml:space="preserve">Parcours </t>
  </si>
  <si>
    <t>#</t>
  </si>
  <si>
    <t>Nom</t>
  </si>
  <si>
    <t xml:space="preserve">Organisme </t>
  </si>
  <si>
    <t xml:space="preserve">Poste </t>
  </si>
  <si>
    <t xml:space="preserve">Description </t>
  </si>
  <si>
    <t>Amélioration des processus</t>
  </si>
  <si>
    <t>Assurance qualité informatique</t>
  </si>
  <si>
    <t>Conception des applications</t>
  </si>
  <si>
    <t>Gestion des problèmes</t>
  </si>
  <si>
    <t>Ingénierie système</t>
  </si>
  <si>
    <t>Intégration des systèmes</t>
  </si>
  <si>
    <t>Prise de décision</t>
  </si>
  <si>
    <t>Orientation résultats</t>
  </si>
  <si>
    <t>Networking</t>
  </si>
  <si>
    <t>Versatilité</t>
  </si>
  <si>
    <t xml:space="preserve">Compétences techniques </t>
  </si>
  <si>
    <t xml:space="preserve">Compétences non techniques / soft skills </t>
  </si>
  <si>
    <t xml:space="preserve">Éléments constitutifs </t>
  </si>
  <si>
    <t>Unités d'enseignement</t>
  </si>
  <si>
    <t xml:space="preserve">Appelation </t>
  </si>
  <si>
    <t xml:space="preserve">Volume horaire </t>
  </si>
  <si>
    <t>Bases de Données</t>
  </si>
  <si>
    <t>Programmation Objet</t>
  </si>
  <si>
    <t>total</t>
  </si>
  <si>
    <t xml:space="preserve">total </t>
  </si>
  <si>
    <t xml:space="preserve">Type </t>
  </si>
  <si>
    <t>Fondamentale</t>
  </si>
  <si>
    <t xml:space="preserve">Transversale </t>
  </si>
  <si>
    <t>Optionnelle</t>
  </si>
  <si>
    <t>Est ce que le pré-requis est couvert dans le parcours lui même ?</t>
  </si>
  <si>
    <t>Matières du tronc commun : quelles matières permettent de répondre au pré-requis</t>
  </si>
  <si>
    <t>Semestre 3</t>
  </si>
  <si>
    <t>Semestre 4</t>
  </si>
  <si>
    <t>Semestre 5</t>
  </si>
  <si>
    <t>Semestre 1</t>
  </si>
  <si>
    <t>Semestre 2</t>
  </si>
  <si>
    <t>mathématique appliquée 1</t>
  </si>
  <si>
    <t>Algorithmique et  Programmation I</t>
  </si>
  <si>
    <t xml:space="preserve">Architecture et système </t>
  </si>
  <si>
    <t>Développement web et multimédia I</t>
  </si>
  <si>
    <t>mathématique appliquée II</t>
  </si>
  <si>
    <t xml:space="preserve">Système I </t>
  </si>
  <si>
    <t>Algorithmique et  Programmation II</t>
  </si>
  <si>
    <t>Développement web et multimédia II</t>
  </si>
  <si>
    <t>Mathématique Appliquée (42)</t>
  </si>
  <si>
    <t>Atelier Mathématiques Appliquées (21)</t>
  </si>
  <si>
    <t>Algorithmique et programmation (63)</t>
  </si>
  <si>
    <t>Atelier Programmation  (42)</t>
  </si>
  <si>
    <t>Architecture des Ordinateurs (21)</t>
  </si>
  <si>
    <t>Systèmes Logiques (21)</t>
  </si>
  <si>
    <t>Atelier Systèmes Logiques (21)</t>
  </si>
  <si>
    <t>Développement web et multimédia I (21)</t>
  </si>
  <si>
    <t>Atelier Développement Web et Multimédia I (42)</t>
  </si>
  <si>
    <t>Recherche Opérationnelle (21)</t>
  </si>
  <si>
    <t>Statistiques &amp; Probabilités (21)</t>
  </si>
  <si>
    <t>Systèmes d'Exploitation (42)</t>
  </si>
  <si>
    <t>Atelier Systèmes I (21)</t>
  </si>
  <si>
    <t>Algorithmique &amp; Programmation II (42)</t>
  </si>
  <si>
    <t>Atelier programmation II (42)</t>
  </si>
  <si>
    <t>Développement web et multimédia II (21)</t>
  </si>
  <si>
    <t>Atelier Développement Web et Multimédia II (42)</t>
  </si>
  <si>
    <t>Fondement des Réseaux (42)</t>
  </si>
  <si>
    <t>Etude et management de projets innovants</t>
  </si>
  <si>
    <t>Communication en entreprise</t>
  </si>
  <si>
    <t>X</t>
  </si>
  <si>
    <t>Non</t>
  </si>
  <si>
    <t>Réforme 2018</t>
  </si>
  <si>
    <t xml:space="preserve">Expérience minimum </t>
  </si>
  <si>
    <t>0 à 2 ans</t>
  </si>
  <si>
    <t>-</t>
  </si>
  <si>
    <t xml:space="preserve">Spécificité </t>
  </si>
  <si>
    <t>*nouveau métier non défini par le REM.REC</t>
  </si>
  <si>
    <t xml:space="preserve">Semestre </t>
  </si>
  <si>
    <t xml:space="preserve">Semestre 3 </t>
  </si>
  <si>
    <t xml:space="preserve">Semestre 4 </t>
  </si>
  <si>
    <t xml:space="preserve">Semestre 5 </t>
  </si>
  <si>
    <t xml:space="preserve">Unité d'enseignement </t>
  </si>
  <si>
    <t>Multimédia et Développement Web</t>
  </si>
  <si>
    <t xml:space="preserve">Contributeurs académiques et professionnels </t>
  </si>
  <si>
    <t>Asma Grine</t>
  </si>
  <si>
    <t>Safa Mahouachi</t>
  </si>
  <si>
    <t>Imen Bouallegui</t>
  </si>
  <si>
    <t>Hazar Chtioui</t>
  </si>
  <si>
    <t>Samar Abdelhak</t>
  </si>
  <si>
    <t>Ines Mezghani</t>
  </si>
  <si>
    <t>Saloua Bani</t>
  </si>
  <si>
    <t>Directeur de département</t>
  </si>
  <si>
    <t>ISET Mahdia</t>
  </si>
  <si>
    <t>Directrice 4C</t>
  </si>
  <si>
    <t>ISET Kelibia</t>
  </si>
  <si>
    <t>ISET Kairouan</t>
  </si>
  <si>
    <t>ISET Djerba</t>
  </si>
  <si>
    <t>ISET'Com</t>
  </si>
  <si>
    <t>Maitre assistante</t>
  </si>
  <si>
    <t>Chef de département</t>
  </si>
  <si>
    <t>ISET Ksar Hellal</t>
  </si>
  <si>
    <t>Nesrine Boussada Taieb</t>
  </si>
  <si>
    <t>ISET Nabeul</t>
  </si>
  <si>
    <t>Testeur</t>
  </si>
  <si>
    <t>Il exécute les plans de tests afin de garantir la qualité d’un programme informatique et de ses fonctionnalités.</t>
  </si>
  <si>
    <t>Développeur</t>
  </si>
  <si>
    <t>Il assure le développement, l’amélioration et la mise en œuvre des applications informatiques. Il analyse les besoins des utilisateurs afin de construire des programmes sur mesure en fonction des supports et des outils de développement utilisés.</t>
  </si>
  <si>
    <t>Test</t>
  </si>
  <si>
    <t>Production de la documentation</t>
  </si>
  <si>
    <t>Identification des besoins</t>
  </si>
  <si>
    <t>Travail en équipe</t>
  </si>
  <si>
    <t>Présentation et communication</t>
  </si>
  <si>
    <t>Atelier Bases de Données</t>
  </si>
  <si>
    <t>Atelier de Programmation Objet</t>
  </si>
  <si>
    <t>Culture et Langues III</t>
  </si>
  <si>
    <t>Matières optionnelles</t>
  </si>
  <si>
    <t>Développement Coté Serveur</t>
  </si>
  <si>
    <t>Culture et Langues IV</t>
  </si>
  <si>
    <t xml:space="preserve">Technologie réseaux </t>
  </si>
  <si>
    <t>Atelier Bases de Données (21)</t>
  </si>
  <si>
    <t>Atelier de Programmation Objet (42)</t>
  </si>
  <si>
    <t>Réseaux</t>
  </si>
  <si>
    <t>Programmation structurée</t>
  </si>
  <si>
    <t xml:space="preserve">Développement web </t>
  </si>
  <si>
    <r>
      <rPr>
        <b/>
        <sz val="11"/>
        <rFont val="Calibri"/>
        <family val="2"/>
        <scheme val="minor"/>
      </rPr>
      <t>NB</t>
    </r>
    <r>
      <rPr>
        <sz val="11"/>
        <rFont val="Calibri"/>
        <family val="2"/>
        <scheme val="minor"/>
      </rPr>
      <t xml:space="preserve"> : la première référence pour la définition des métiers du parcours est le référentiel tunisien REM.REC, disponible sur le lien (digitaltalent.tn)</t>
    </r>
  </si>
  <si>
    <t>Issa Malloug</t>
  </si>
  <si>
    <t>Mohamed Mhamdi</t>
  </si>
  <si>
    <t>Mounira Jemni</t>
  </si>
  <si>
    <t>ISET Sousse</t>
  </si>
  <si>
    <t>Coordinateur Master</t>
  </si>
  <si>
    <t>Enseignante</t>
  </si>
  <si>
    <t>Mabrouk Haoues</t>
  </si>
  <si>
    <t xml:space="preserve">Display Solution Manager </t>
  </si>
  <si>
    <t>Medianet</t>
  </si>
  <si>
    <t>Métiers visés par le parcours MDW</t>
  </si>
  <si>
    <t>Matières du parcours MDW : dans quelles matières le pré-requis est demandé ?</t>
  </si>
  <si>
    <t>Prérequis pour le parcours MDW</t>
  </si>
  <si>
    <t>Expert médias numériques</t>
  </si>
  <si>
    <t>Concepteur</t>
  </si>
  <si>
    <t>Formateur TIC</t>
  </si>
  <si>
    <t xml:space="preserve">Développeur 
(web, Digital Media...) </t>
  </si>
  <si>
    <t>Il crée le contenu des sites web et des applications multimédia à partir des possibilités des technologies numériques afin d’orienter l’organisation dans sa stratégie de communication sur les supports web et mobile et en particulier sur les plateformes des réseaux sociaux.</t>
  </si>
  <si>
    <t>Il est chargé de monter les pages d'un site en réunissant l'ensemble des éléments décidés par le chef de projet ou le webmaster : textes, images, liens hypertextes, tableaux, etc. </t>
  </si>
  <si>
    <t>Intégrateur web*</t>
  </si>
  <si>
    <t>2 à 3 ans (Tunisie)
0 à 2 ans (International)</t>
  </si>
  <si>
    <t>Il effectue les analyses nécessaires en vue de créer un programme, une application, une page web ou une base de données correspondant au cahier de charges élaboré par l’utilisateur.</t>
  </si>
  <si>
    <t>2 à 5 ans</t>
  </si>
  <si>
    <t>Il aide les professionnels à mettre à jour ou à acquérir de nouvelles compétences ou des certifications informatiques répondant à leurs besoins métiers.</t>
  </si>
  <si>
    <t>2 à 4 ans</t>
  </si>
  <si>
    <t>Analyse statistique des données</t>
  </si>
  <si>
    <t>Conception de l’architecture</t>
  </si>
  <si>
    <t>Conception et développement</t>
  </si>
  <si>
    <t>Déploiement de la solution</t>
  </si>
  <si>
    <t xml:space="preserve">développement des compétences </t>
  </si>
  <si>
    <t>Développement durable</t>
  </si>
  <si>
    <t>Gestion de l’information</t>
  </si>
  <si>
    <t>Gestion de la propriété intellectuelle</t>
  </si>
  <si>
    <t>Gestion de la relation client</t>
  </si>
  <si>
    <t>Gestion de la sécurité de l'information</t>
  </si>
  <si>
    <t>Gestion des changements métier</t>
  </si>
  <si>
    <t>Gestion des données</t>
  </si>
  <si>
    <t>Gestion des risques</t>
  </si>
  <si>
    <t>Gouvernance informatique</t>
  </si>
  <si>
    <t>Innovation</t>
  </si>
  <si>
    <t>Livraison de services</t>
  </si>
  <si>
    <t>Marketing numérique</t>
  </si>
  <si>
    <t>Tests</t>
  </si>
  <si>
    <t>Tests de pénétration</t>
  </si>
  <si>
    <t>Veille technologique</t>
  </si>
  <si>
    <t>Gestion de l'information</t>
  </si>
  <si>
    <t>Prestaion de services de formation</t>
  </si>
  <si>
    <t>Support des changements</t>
  </si>
  <si>
    <t>Support utilisateur</t>
  </si>
  <si>
    <t>Leadership</t>
  </si>
  <si>
    <t>Vision stratégique</t>
  </si>
  <si>
    <t xml:space="preserve">Gestion du changement </t>
  </si>
  <si>
    <t xml:space="preserve">Intiative et proactivité </t>
  </si>
  <si>
    <t xml:space="preserve">Négociation </t>
  </si>
  <si>
    <t xml:space="preserve">Orientation client </t>
  </si>
  <si>
    <t>Administration Systèmes et Services</t>
  </si>
  <si>
    <t>Atelier Administration Systèmes et Services</t>
  </si>
  <si>
    <t>Développement Framework Coté Client</t>
  </si>
  <si>
    <t>Atelier Développement Framework Coté Client</t>
  </si>
  <si>
    <t>Atelier Trait. de Données Multimédias</t>
  </si>
  <si>
    <t>Business english</t>
  </si>
  <si>
    <t>Systèmes et réseaux</t>
  </si>
  <si>
    <t>Développement Web  et édition multimédia</t>
  </si>
  <si>
    <t>Atelier Design et Integration pour le Web</t>
  </si>
  <si>
    <t>Sécurité des applications web</t>
  </si>
  <si>
    <t>Atelier Développement Coté Serveur</t>
  </si>
  <si>
    <t>Atelier SGBD</t>
  </si>
  <si>
    <t>Programmation Objet pour le Web</t>
  </si>
  <si>
    <t>Atelier Programmation Objet pour le Web</t>
  </si>
  <si>
    <t>Atelier outil d'animation 3d</t>
  </si>
  <si>
    <t>Programmation Graphique 2D</t>
  </si>
  <si>
    <t>Atelier Programmation Graphique 2D</t>
  </si>
  <si>
    <t>Intégration et sécurité des applications web</t>
  </si>
  <si>
    <t>Développement web coté serveur</t>
  </si>
  <si>
    <t>Programmation Objet Avancée</t>
  </si>
  <si>
    <t>Développement graphique 2D et 3D</t>
  </si>
  <si>
    <t>Transversale</t>
  </si>
  <si>
    <t xml:space="preserve">Fondamentale </t>
  </si>
  <si>
    <t>Développement Mobile</t>
  </si>
  <si>
    <t>Atelier Développement Mobile</t>
  </si>
  <si>
    <t>Atelier SOA</t>
  </si>
  <si>
    <t>Atelier Framework Côté Serveur</t>
  </si>
  <si>
    <t>Conception Orientée Objet Et méthodes agiles</t>
  </si>
  <si>
    <t>Atelier Projet d'intégration</t>
  </si>
  <si>
    <t>Atelier Réalité virtuelle et augmentée</t>
  </si>
  <si>
    <t>Réalité augmentée et programmation 3D</t>
  </si>
  <si>
    <t>Atelier Multimédia 3D</t>
  </si>
  <si>
    <t>Technique de Recherche d’emploi et Marketing de soi</t>
  </si>
  <si>
    <t>Culture et Langues V</t>
  </si>
  <si>
    <t>Développement Web et Mobile</t>
  </si>
  <si>
    <t>Projet web et multimédia</t>
  </si>
  <si>
    <t>Développement 3D avancé</t>
  </si>
  <si>
    <t>Administration Systèmes et Services (21)</t>
  </si>
  <si>
    <t>Atelier Administration Systèmes et Services (42)</t>
  </si>
  <si>
    <t>Bases de Données (42)</t>
  </si>
  <si>
    <t>Programmation Objet (42)</t>
  </si>
  <si>
    <t>Développement Framework Coté Client (42)</t>
  </si>
  <si>
    <t>Atelier Développement Framework Coté Client (21)</t>
  </si>
  <si>
    <t>Atelier Trait. de Données Multimédias (42)</t>
  </si>
  <si>
    <t>Atelier Design et Integration pour le Web (21)</t>
  </si>
  <si>
    <t>Sécurité des applications web (21)</t>
  </si>
  <si>
    <t>Développement Coté Serveur (21)</t>
  </si>
  <si>
    <t>Atelier Développement Coté Serveur (42)</t>
  </si>
  <si>
    <t>Atelier SGBD (21)</t>
  </si>
  <si>
    <t>Atelier outil d'animation 3d (21)</t>
  </si>
  <si>
    <t>Atelier Programmation Graphique 2D (21)</t>
  </si>
  <si>
    <t>Développement Mobile (21)</t>
  </si>
  <si>
    <t>Atelier Développement Mobile (21)</t>
  </si>
  <si>
    <t>Atelier SOA (21)</t>
  </si>
  <si>
    <t>Atelier Framework Côté Serveur (42)</t>
  </si>
  <si>
    <t>Conception Orientée Objet Et méthodes agiles (42)</t>
  </si>
  <si>
    <t>Atelier Projet d'intégration (21)</t>
  </si>
  <si>
    <t>Atelier Réalité virtuelle et augmentée (21)</t>
  </si>
  <si>
    <t>Réalité augmentée et programmation 3D (21)</t>
  </si>
  <si>
    <t>Atelier Multimédia 3D (42)</t>
  </si>
  <si>
    <t xml:space="preserve">Systèmes </t>
  </si>
  <si>
    <t>Algorithmique</t>
  </si>
  <si>
    <t xml:space="preserve">Développement multimédia </t>
  </si>
  <si>
    <t>Javascript</t>
  </si>
  <si>
    <t>HTML 5</t>
  </si>
  <si>
    <t>CSS 3</t>
  </si>
  <si>
    <t>Photoshop</t>
  </si>
  <si>
    <t>Base des données</t>
  </si>
  <si>
    <t>Programmation objet</t>
  </si>
  <si>
    <t xml:space="preserve">Programmation orientée web (Rmq : Développement côté serveur) </t>
  </si>
  <si>
    <t>Multimédia de base</t>
  </si>
  <si>
    <t>Programmation graphique 2D/3D</t>
  </si>
  <si>
    <t>Atelier de traitement multimédia</t>
  </si>
  <si>
    <t>XML</t>
  </si>
  <si>
    <t>Développement coté serveur</t>
  </si>
  <si>
    <t xml:space="preserve">Semeste 3 </t>
  </si>
  <si>
    <t xml:space="preserve">Fiche élément constitutif </t>
  </si>
  <si>
    <t>Statut</t>
  </si>
  <si>
    <t>Nouvelle création</t>
  </si>
  <si>
    <t>Domaine de formation</t>
  </si>
  <si>
    <t>Sciences et Technologies</t>
  </si>
  <si>
    <t>Mention</t>
  </si>
  <si>
    <t>Technologie de l'Informatique</t>
  </si>
  <si>
    <t>Parcours</t>
  </si>
  <si>
    <t>Multimédia et Développement Web (MDW)</t>
  </si>
  <si>
    <t>Unité d'enseignenement</t>
  </si>
  <si>
    <t>Systèmes et Réseaux</t>
  </si>
  <si>
    <t>Semestre</t>
  </si>
  <si>
    <t>Historique des mises à jour</t>
  </si>
  <si>
    <t>Date</t>
  </si>
  <si>
    <t>Nature du changement</t>
  </si>
  <si>
    <t>Elément constitutif</t>
  </si>
  <si>
    <t>Volume horaire</t>
  </si>
  <si>
    <t>Coefficient</t>
  </si>
  <si>
    <t>Crédit</t>
  </si>
  <si>
    <t>Système d'évaluation</t>
  </si>
  <si>
    <t>Contrôle continu</t>
  </si>
  <si>
    <t>Objectifs généraux</t>
  </si>
  <si>
    <t>A l’issue de ce cours, l’étudiant doit acquérir les compétences nécessaires dans le domaine
d’administration systèmes et des services réseaux d’infrastructure : DHCP, DNS, LDAP ainsi que les services internet : Courrier Électronique, Serveur Web, Ftp, NFS, Samba</t>
  </si>
  <si>
    <t>Objectifs spécifiques</t>
  </si>
  <si>
    <t>Savoir déployer les principaux services d’infrastructure réseau : DNS et DHCP.
Mettre en place des serveurs de fichiers : NFS, FTP et Samba.
Administrer les services réseaux Web et Mail.
Comprendre le principe de fonctionnement des annuaires avec le protocole LDAP.</t>
  </si>
  <si>
    <t>Mots clés</t>
  </si>
  <si>
    <t>DHCP, DNS, FTP, NFS, SMB/CIFS, SMTP, POP/IMAP</t>
  </si>
  <si>
    <t>Compétences cibles</t>
  </si>
  <si>
    <t>Administation des sytèmes d'exploitation linux et windows</t>
  </si>
  <si>
    <t>Administation des services réseaux</t>
  </si>
  <si>
    <t>Conception de l'infrastructure réseau</t>
  </si>
  <si>
    <t xml:space="preserve">Intégration des systèmes                                                                                 </t>
  </si>
  <si>
    <t>Contenu de la formation</t>
  </si>
  <si>
    <t>Supports : Résumé du cours</t>
  </si>
  <si>
    <t>TD</t>
  </si>
  <si>
    <t>Pré-requis</t>
  </si>
  <si>
    <t>UE : Systèmes I, UE : Technologies des Réseaux, UE : Réseaux d’Entreprise et Internet</t>
  </si>
  <si>
    <t>Participants / contributeurs à la formation en dehors de l'établissement (spécifier l'intervention et le cadre)</t>
  </si>
  <si>
    <t>Contributeur</t>
  </si>
  <si>
    <t>Catégorie</t>
  </si>
  <si>
    <t>Contribution</t>
  </si>
  <si>
    <t>Benchmark et références similaires</t>
  </si>
  <si>
    <t>« Windows server 2012 R2  Configuration des services avancés»,Armelin Asimane, 2012 Eni editions                                                                                                                                  « Linux Administration Tome 4 », Jean-François Bouchaudy, 2013 Eyrolles
« Le cahier de l'administrateur Debian » Raphaël Hertzog et Roland Mas, 2012 Freexian
« CentOS 6 Linux Server Cookbook » Jonathan Hobson, 2013 PACKT Publishing
« LINUX Préparation à la certification LPIC-2 (examens LPI 201 et LPI 202) - 3ième édition » Sébastien BOBILLIER - Philippe BANQUET, 2014 Editions ENI
« LINUX Préparation à la certification LPIC-3 (examen LPI 300) - 2ième édition » Issam MEJRI, 2015 Editions ENI</t>
  </si>
  <si>
    <t xml:space="preserve">- Le service DHCP : Présentation et fonctionnement du protocole DHCP, attribution des adresses IP.                                                                                                                                      - Mise en oeuvre de DHCP (Installation et configuration du serveur, Configuration du client).
Agent relai DHCP.
- Le système DNS : Présentation, principe de résolution des noms, notion de zone, les types d’enregistrements (RR), configuration des serveurs DNS primaire et secondaire,…
- Le service NFS : exporter/monter des systèmes de fichiers.                                                     
- Le service Samba : Présentation et fonctionnement, configuration de l’authentification, du partage et des autorisations d’accès. Accès à un partage depuis les clients.
- Service Web (protocole http, mise en place d’un serveur Web, contrôle de la charge du serveur, mise en place d’un système d’authentification, options d’un serveur Web, serveurs virtuels, serveurs intermédiaires, Apache, integration de PHP, Mysql)
-Le protocole LDAP : présentation et fonctionnement du protocole LDAP (historique, les modèles, APIs, LDIF,…). Mise en oeuvre d’un serveur LDAP (les fichiers de configuration, outils et utilitaires).
</t>
  </si>
  <si>
    <t>Mini-projet</t>
  </si>
  <si>
    <t>Orientations et moyens pédagogiques</t>
  </si>
  <si>
    <t>SYSTEMES ET RESEAUX</t>
  </si>
  <si>
    <t>S3</t>
  </si>
  <si>
    <t>10/04/218</t>
  </si>
  <si>
    <t xml:space="preserve">Ajustement </t>
  </si>
  <si>
    <t>ATELIER ADMINISTRATION SYSTEMES ET SERVICES</t>
  </si>
  <si>
    <t>Acquérir les compétences pratiques nécessaires dans le domaine d’administration des services réseaux : DHCP, DNS, et WEB et l'administration de système d'eploitation server: Active directory(Contrôleur de domaine) .</t>
  </si>
  <si>
    <t>DHCP,DNS,WEB,Active Directory</t>
  </si>
  <si>
    <t>Administation des sytèmes d'exploitation linux et window</t>
  </si>
  <si>
    <t>Fascicule de travaux pratiques</t>
  </si>
  <si>
    <t>Laboratoire d’informatique.</t>
  </si>
  <si>
    <t>Un système d'exploitation serveur.</t>
  </si>
  <si>
    <t>UE : Systèmes et réseaux, UE : Systèmes, UE : Réseaux I</t>
  </si>
  <si>
    <t>Ajustement</t>
  </si>
  <si>
    <t>Mise à jour à partir du plan d'études</t>
  </si>
  <si>
    <t xml:space="preserve">-Installation et configuration de windows server 2012 R2                                                                   
-Installation de l'annuaire Active Directory                                                                                             
-Mise en oeuvre d’un serveur DHCP.
-Mise en oeuvre d’un serveur DNS.
- Mise en oeuvre d’un serveur Web
- Mise en oeuvre de serveur de Messagerie
</t>
  </si>
  <si>
    <r>
      <rPr>
        <b/>
        <u/>
        <sz val="12"/>
        <rFont val="Calibri"/>
        <family val="2"/>
        <scheme val="minor"/>
      </rPr>
      <t>TP1 :</t>
    </r>
    <r>
      <rPr>
        <sz val="12"/>
        <rFont val="Calibri"/>
        <family val="2"/>
        <scheme val="minor"/>
      </rPr>
      <t xml:space="preserve">
Installation et configuration de windows server 2012 R2                                              
Configuration de Contrôleur de domaine et Active directory                                            
Installation et configuration d’un serveur DHCP (allocation dynamique des adresses, réservation d’adresse, agent de relais DHCP,…)
</t>
    </r>
    <r>
      <rPr>
        <b/>
        <u/>
        <sz val="12"/>
        <rFont val="Calibri"/>
        <family val="2"/>
        <scheme val="minor"/>
      </rPr>
      <t>TP2 :</t>
    </r>
    <r>
      <rPr>
        <sz val="12"/>
        <rFont val="Calibri"/>
        <family val="2"/>
        <scheme val="minor"/>
      </rPr>
      <t xml:space="preserve">
Résolution statique des noms d’hôtes et des noms Net Bios (hosts, Lmhosts)
Installation et configuration d’un serveur DNS primaire : Bind,… (déclaration des zones, les fichiers de base de données de zone, les fichiers maitres…).
Installation et configuration d’un serveur DNS secondaire/cache,
Installation et configuration d’un serveur DNS/DHCP léger dnsmasq
DynDNS avec DNS et DHCP
</t>
    </r>
    <r>
      <rPr>
        <b/>
        <u/>
        <sz val="12"/>
        <rFont val="Calibri"/>
        <family val="2"/>
        <scheme val="minor"/>
      </rPr>
      <t>TP3 :</t>
    </r>
    <r>
      <rPr>
        <sz val="12"/>
        <rFont val="Calibri"/>
        <family val="2"/>
        <scheme val="minor"/>
      </rPr>
      <t xml:space="preserve">
Installation et configuration d’un serveur FTP (vsFTPd, Pure-FTPd, wu-FTPd et ProFTPd…), pratique des commandes côté client en mode CLI (ftp :get, put, …), Filezilla                           
-</t>
    </r>
    <r>
      <rPr>
        <b/>
        <u/>
        <sz val="12"/>
        <rFont val="Calibri"/>
        <family val="2"/>
        <scheme val="minor"/>
      </rPr>
      <t>TP4 , TP5 et TP6:</t>
    </r>
    <r>
      <rPr>
        <sz val="12"/>
        <rFont val="Calibri"/>
        <family val="2"/>
        <scheme val="minor"/>
      </rPr>
      <t xml:space="preserve">
Installation et configuration d’un serveur Web (apache, IIS, Nginx, authentification, virtual hosting, …)
Installation d’un reverse proxy avec Nginx.
</t>
    </r>
    <r>
      <rPr>
        <b/>
        <u/>
        <sz val="12"/>
        <rFont val="Calibri"/>
        <family val="2"/>
        <scheme val="minor"/>
      </rPr>
      <t xml:space="preserve"> TP 7 : </t>
    </r>
    <r>
      <rPr>
        <sz val="12"/>
        <rFont val="Calibri"/>
        <family val="2"/>
        <scheme val="minor"/>
      </rPr>
      <t xml:space="preserve"> 
Installation et configuration d’un serveur de messagerie (zarafa, zimbra, postfix, dovecot, squirrelmail/roundcube)
</t>
    </r>
    <r>
      <rPr>
        <b/>
        <u/>
        <sz val="12"/>
        <color theme="1"/>
        <rFont val="Calibri"/>
        <family val="2"/>
        <scheme val="minor"/>
      </rPr>
      <t/>
    </r>
  </si>
  <si>
    <t>« Windows server 2012 R2  Configuration des services avancés»,Armelin Asimane, 2012 Eni editions                                                                                                                                  
« Linux Administration Tome 4 », Jean-François Bouchaudy, 2013 Eyrolles
« Le cahier de l'administrateur Debian » Raphaël Hertzog et Roland Mas, 2012 Freexian
« CentOS 6 Linux Server Cookbook » Jonathan Hobson, 2013 PACKT Publishing
« LINUX Préparation à la certification LPIC-2 (examens LPI 201 et LPI 202) - 3ième édition » Sébastien BOBILLIER - Philippe BANQUET, 2014 Editions ENI
« LINUX Préparation à la certification LPIC-3 (examen LPI 300) - 2ième édition » Issam MEJRI, 2015 Editions ENI</t>
  </si>
  <si>
    <t>Bases de données</t>
  </si>
  <si>
    <t>Maîtriser les concepts relatifs aux BD relationnelles permettant leur création et leur manipulation.</t>
  </si>
  <si>
    <t xml:space="preserve">Comprendre les concepts sous-jacents aux bases de données
Approfondir les concepts de modélisation, de conception et d’implémentation de BD 
Concevoir une BD en respectant les règles et les normes des modèles de données
Convertir un schéma conceptuel en un schéma logique (relationnel) cohérent 
Appliquer les opérations de l’algèbre relationnelle pour interroger une BD
Appliquer la modélisation du schéma relationnel par décomposition 
</t>
  </si>
  <si>
    <t>Base de données, modèle E/A, conception,  schéma relationnel, algèbre relationnelle, normalisation</t>
  </si>
  <si>
    <r>
      <rPr>
        <b/>
        <sz val="12"/>
        <rFont val="Calibri"/>
        <family val="2"/>
        <scheme val="minor"/>
      </rPr>
      <t xml:space="preserve">Chapitre 1 : Introduction à l’environnement BD 
- </t>
    </r>
    <r>
      <rPr>
        <sz val="12"/>
        <rFont val="Calibri"/>
        <family val="2"/>
        <scheme val="minor"/>
      </rPr>
      <t>Limites de l’utilisation des fichiers  
- Composantes de l’environnement BD. 
- Cycle de vie d’une BD. 
- Architecture standard ANSI/SPARC  
- Notions de modèle et schéma. 
- Historique des modèles.</t>
    </r>
    <r>
      <rPr>
        <b/>
        <sz val="12"/>
        <rFont val="Calibri"/>
        <family val="2"/>
        <scheme val="minor"/>
      </rPr>
      <t xml:space="preserve"> </t>
    </r>
    <r>
      <rPr>
        <sz val="12"/>
        <rFont val="Calibri"/>
        <family val="2"/>
        <scheme val="minor"/>
      </rPr>
      <t xml:space="preserve">
</t>
    </r>
    <r>
      <rPr>
        <b/>
        <sz val="12"/>
        <rFont val="Calibri"/>
        <family val="2"/>
        <scheme val="minor"/>
      </rPr>
      <t xml:space="preserve">Chapitre 2 : Modèle Entités/Relations ou Associations (E/R ou E/A) </t>
    </r>
    <r>
      <rPr>
        <sz val="12"/>
        <rFont val="Calibri"/>
        <family val="2"/>
        <scheme val="minor"/>
      </rPr>
      <t xml:space="preserve">
- Définition 
- Origine du modèle  
- Concepts et formalisme 
- Règles de construction d’un modèle E/R 
</t>
    </r>
    <r>
      <rPr>
        <b/>
        <sz val="12"/>
        <rFont val="Calibri"/>
        <family val="2"/>
        <scheme val="minor"/>
      </rPr>
      <t xml:space="preserve">Chapitre 3 : Modèle relationnel </t>
    </r>
    <r>
      <rPr>
        <sz val="12"/>
        <rFont val="Calibri"/>
        <family val="2"/>
        <scheme val="minor"/>
      </rPr>
      <t xml:space="preserve">
- Concepts de base. 
- Règles d’intégrité structurelle. 
- Règles de traduction ou passage du diagramme E/R au schéma relationnel 
</t>
    </r>
    <r>
      <rPr>
        <b/>
        <sz val="12"/>
        <rFont val="Calibri"/>
        <family val="2"/>
        <scheme val="minor"/>
      </rPr>
      <t xml:space="preserve">Chapitre 4 : Algèbre relationnelle </t>
    </r>
    <r>
      <rPr>
        <sz val="12"/>
        <rFont val="Calibri"/>
        <family val="2"/>
        <scheme val="minor"/>
      </rPr>
      <t xml:space="preserve">
- Algèbre relationnelle  
- Opérations ensemblistes 
- Opérations spécifiques.
 </t>
    </r>
    <r>
      <rPr>
        <b/>
        <sz val="12"/>
        <rFont val="Calibri"/>
        <family val="2"/>
        <scheme val="minor"/>
      </rPr>
      <t xml:space="preserve">Chapitre 5 : Dépendances fonctionnelles / Normalisation 
</t>
    </r>
    <r>
      <rPr>
        <sz val="12"/>
        <rFont val="Calibri"/>
        <family val="2"/>
        <scheme val="minor"/>
      </rPr>
      <t xml:space="preserve">- Dépendances fonctionnelles  
- Normalisation                                                           
 </t>
    </r>
    <r>
      <rPr>
        <b/>
        <sz val="12"/>
        <rFont val="Calibri"/>
        <family val="2"/>
        <scheme val="minor"/>
      </rPr>
      <t>Chapitre 6: Introduction aux SGBD objets: SQL 3</t>
    </r>
  </si>
  <si>
    <t>Condensé du cours.</t>
  </si>
  <si>
    <t xml:space="preserve"> Travaux dirigés.</t>
  </si>
  <si>
    <t>Cette matière requiert que l'étudiant ait une connaissance sur l'Algorithmique, les structures de données et la Programmation structurée</t>
  </si>
  <si>
    <t xml:space="preserve">Gardarin G., Bases de Données - objet/relationnel, Eyrolles, 1999, ISBN: 2-212-09060-9
Gardarin G., Maîtriser les Bases de Données: modèles et langages, Eyrolles
Carrez C., Des Structures aux Bases de Données, Masson
Marcenac, P., SGBD relationnels, Optimisation des performances, Eyrolles
Date C.J., An Introduction to Database Systems, Addison Wesley
</t>
  </si>
  <si>
    <t xml:space="preserve">Orientations et moyens pédagogiques </t>
  </si>
  <si>
    <t>Atelier de base de données</t>
  </si>
  <si>
    <t>Maîtriser les concepts relatifs aux BD relationnelles permettant leur création et leur manipulation</t>
  </si>
  <si>
    <t>Identifier les composants structurels 
- Extraire des données de lignes et de colonnes à SELECT du langage SQL
- Créer des états de données triées et restreintes
- Utiliser des fonctions SQL pour générer et Extraire des données personnalisées
- Exécuter des instructions LMD du langage SQL afin de mettre à jour des données I54 base
- Obtenir des métadonnées en interrogeant les vues du dictionnaire de données</t>
  </si>
  <si>
    <t xml:space="preserve">Introduction à l’environnement Oracle Database 11g  
Introduction à l’utilisation de l'environnement SQL*Plus 
Extraire des données à l'aide de l'instruction SQL SELECT  
Restreindre et trier les données 
Utiliser des fonctions monoligne afin de personnaliser la sortie  
Afficher des données agrégées à l'aide des fonctions de groupe 
Afficher des données de plusieurs tables 
Utiliser des sous-interrogations pour résoudre des interrogations  
Utiliser les opérateurs ensemblistes 
Manipuler les données 
Utiliser des instructions LDD pour créer et gérer des tables  
Créer d'autres objets de schéma 
Gérer les objets du schéma 
Gérer les objets à l'aide de vues du dictionnaire de données
</t>
  </si>
  <si>
    <t xml:space="preserve">Fascicule de travaux pratiques. 
</t>
  </si>
  <si>
    <t xml:space="preserve">SGBD : Oracle ou équivalent
</t>
  </si>
  <si>
    <t>Documents techniques et manuels d’utilisation</t>
  </si>
  <si>
    <t xml:space="preserve">Programmation Objet </t>
  </si>
  <si>
    <t xml:space="preserve">A l’issue de ce cours, l’étudiant sera capable de maîtriser les concepts objets et leur mise en exergue. Il sera ainsi capable de concevoir et écrire des programmes orientés objets.
</t>
  </si>
  <si>
    <t xml:space="preserve">Comprendre les concepts de programmation orientée objet
Maîtriser l’implémentation des classes d’objets (attributs, méthodes, visibilité, constructeurs, destructeur)  
Pouvoir implémenter des classes avec le principe d’héritage
Ecrire des programmes avec des objets de différentes classes  
Comprendre le principe des execptions.
</t>
  </si>
  <si>
    <t>POO, objet, classe, attribut, méthode, encapsulation, héritage, polymorphisme, abstraction</t>
  </si>
  <si>
    <t>1. Introduction à la POO
2. Les concepts de base de la POO: classe, objet, encapsulation, modes de visibilité, package
3. La syntaxe et les éléments de bases de Java
4. Les tableaux et les chaînes de caractères
5. L’héritage et le polymorphisme
6. La gestion des exceptions
7. Les annotations
8. Les expressions lamda</t>
  </si>
  <si>
    <t>Condensé du cours</t>
  </si>
  <si>
    <t>Travaux dirigés</t>
  </si>
  <si>
    <t>Cette matière requiert que l'étudiant ait une connaissance sur l'agorithmique 
et Structure de données, la Programmation structurée et Programmation 
structurée dynamique.</t>
  </si>
  <si>
    <t>Atelier Programmation Objet</t>
  </si>
  <si>
    <t>A travers cet atelier, l'étudiant sera capable de développer des classes et créer des objets en respectant les principes de base de la POO</t>
  </si>
  <si>
    <t xml:space="preserve">Fascicule de travaux pratiques. </t>
  </si>
  <si>
    <t>EDI : Eclipse ou Netbeans</t>
  </si>
  <si>
    <t>Kit de développement java (JDK8 ou version plus avancée)</t>
  </si>
  <si>
    <t>Cet atelier requiert que l'étudiant ait une connaissance sur l'agorithmique et Structure de 
données, la Programmation structurée et Programmation structurée dynamique.</t>
  </si>
  <si>
    <r>
      <rPr>
        <b/>
        <sz val="12"/>
        <rFont val="Calibri"/>
        <family val="2"/>
        <scheme val="minor"/>
      </rPr>
      <t>Atelier 1.</t>
    </r>
    <r>
      <rPr>
        <sz val="12"/>
        <rFont val="Calibri"/>
        <family val="2"/>
        <scheme val="minor"/>
      </rPr>
      <t xml:space="preserve"> Introduction à la programmation orientée objetLe langage java 
- Installation de JDK 8 
- Introduction à l’utilisation d’Eclipse/ Netbeans 
</t>
    </r>
    <r>
      <rPr>
        <b/>
        <sz val="12"/>
        <rFont val="Calibri"/>
        <family val="2"/>
        <scheme val="minor"/>
      </rPr>
      <t>Atelier 2.</t>
    </r>
    <r>
      <rPr>
        <sz val="12"/>
        <rFont val="Calibri"/>
        <family val="2"/>
        <scheme val="minor"/>
      </rPr>
      <t xml:space="preserve"> Syntaxe java 
</t>
    </r>
    <r>
      <rPr>
        <b/>
        <sz val="12"/>
        <rFont val="Calibri"/>
        <family val="2"/>
        <scheme val="minor"/>
      </rPr>
      <t xml:space="preserve">Atelier 3. </t>
    </r>
    <r>
      <rPr>
        <sz val="12"/>
        <rFont val="Calibri"/>
        <family val="2"/>
        <scheme val="minor"/>
      </rPr>
      <t xml:space="preserve">Les notions de base de la programmation orientée objetLes classes et les objets
</t>
    </r>
    <r>
      <rPr>
        <b/>
        <sz val="12"/>
        <rFont val="Calibri"/>
        <family val="2"/>
        <scheme val="minor"/>
      </rPr>
      <t>Atelier 4.</t>
    </r>
    <r>
      <rPr>
        <sz val="12"/>
        <rFont val="Calibri"/>
        <family val="2"/>
        <scheme val="minor"/>
      </rPr>
      <t xml:space="preserve"> L’Héritage dans java 
- Implémentation de la relation d’héritage entre des classes java 
- Les tableaux d’objets 
</t>
    </r>
    <r>
      <rPr>
        <b/>
        <sz val="12"/>
        <rFont val="Calibri"/>
        <family val="2"/>
        <scheme val="minor"/>
      </rPr>
      <t>Atelier 5.</t>
    </r>
    <r>
      <rPr>
        <sz val="12"/>
        <rFont val="Calibri"/>
        <family val="2"/>
        <scheme val="minor"/>
      </rPr>
      <t xml:space="preserve"> Conception de classes avancées (interfaces et classes abstraites) 
</t>
    </r>
    <r>
      <rPr>
        <b/>
        <sz val="12"/>
        <rFont val="Calibri"/>
        <family val="2"/>
        <scheme val="minor"/>
      </rPr>
      <t>Atelier 6.</t>
    </r>
    <r>
      <rPr>
        <sz val="12"/>
        <rFont val="Calibri"/>
        <family val="2"/>
        <scheme val="minor"/>
      </rPr>
      <t xml:space="preserve"> Gestion des Exceptions 
</t>
    </r>
  </si>
  <si>
    <t>Claude Delannoy : programmer en java, Eyrolles 2012 ISBN10 : 2212135661 
E.Puybaret, Java - 1 Premières applications professionnelles en Java, Les Cahiers du Programmeur 2003. 
G.Clavel, et al., Java, La synthèse, Dunod 2003.
H. Bersini, La programmation orientée objet, Cours et exercices en UML 2, avec Java, C# 2, C++, Python</t>
  </si>
  <si>
    <t>Mounir Abida</t>
  </si>
  <si>
    <t>Sameh Turki</t>
  </si>
  <si>
    <t>Moufida Jguirim</t>
  </si>
  <si>
    <t>Lobna ben Rhouma</t>
  </si>
  <si>
    <t>Amel Tilouche</t>
  </si>
  <si>
    <t>Mohamed ben Jazia</t>
  </si>
  <si>
    <t>Nehla Sassi</t>
  </si>
  <si>
    <t>Fiche Développement Framework Coté Client</t>
  </si>
  <si>
    <t>A l’issue de ce cours, l’étudiant sera capable de maîtriser les concepts de base des sites Web riches qui utilise un Framework de développement coté client. Face à une panoplie de solutions, nous avons opté pour AngulairJS 2 pour un développement des applications web complexes et modulaires.</t>
  </si>
  <si>
    <t>Connaître les Site web riches
Maitriser un Framework coté client (AngularJS)</t>
  </si>
  <si>
    <t>AngularJS
MVC/MVVM
JQUERY</t>
  </si>
  <si>
    <t xml:space="preserve">Identification des besoins </t>
  </si>
  <si>
    <t>- Les Directives 
- Les Controllers et le Scope 
- Les Modules 
- Les Routes 
- Les Services 
- Les Promesses 
- Les Filtres</t>
  </si>
  <si>
    <t>Travaux personnalisés</t>
  </si>
  <si>
    <t>Cours interactif</t>
  </si>
  <si>
    <t>Mini projet</t>
  </si>
  <si>
    <t>Cette matière requiert que l'étudiant ait suivi : 
UE Algorithmique et Structure de données, 
UE Programmation structurée, 
UE Programmation et Structures dynamiques, 
UE  Dévelopement Web et multimédia II</t>
  </si>
  <si>
    <t>- AngularJS Développez aujourd'hui les applications web de demain, Sébastien OLLIVIER - Pierre-Alexandre GURY, Edition ENI, février 2015
- Angular Développez vos applications web avec le framework JavaScript de Google, Sébastien OLLIVIER - Daniel DJORDJEVIC - William KLEIN, Edition ENI, juillet 2017 
- JavaScript et AngularJS - Coffret de 2 livres : Développez vos pages Web, Sébastien OLLIVIER, Pierre-Alexandre GURY Alexandre BRILLANT, Edition ENI, décembre 2015</t>
  </si>
  <si>
    <t>Fiche Atelier Développement Framework Coté Client</t>
  </si>
  <si>
    <t>Cet atelier vise à développer chez l’apprenant la capacité de créer des sites Web riches à travers un Framework de développement coté client. Face à une panoplie de solutions, nous avons opté pour AngulairJS 2 pour un développement des applications web complexes et modulaires.</t>
  </si>
  <si>
    <t>- Organiser et modulariser ses développements JavaScript grâce à un Framework
- Découvrir les fonctionnalités du Framework Angular2
- Savoir développer une nouvelle application Web
- Savoir concevoir une application Angular2 avec JavaScript et Type Script
- Connaître les mécanismes avancés du Framework</t>
  </si>
  <si>
    <t>Data binding, MVC/MVVM, lasy loading, Modules ES6, ngModule</t>
  </si>
  <si>
    <t>- Atelier 1 : Créer Une application avec le Framework MVC AngularJS de conversion d'unité 
Création du template
Réalisation de l'application
Écrire un test automatique
- Atelier 2 : Créer  Un Forum en ligne
L'application de Forum en fil rouge
Affichage des sujets et des commentaires
Ajax et asynchrone
Principes Rest
Le service $http
Connexion aux web services
- Atelier 3 : Création et validation des données (les formulaires avec AngularJS)
Ajouter un commentaire
Valider le commentaire
- Atelier 4 : Interaction avec les données (La gestion des évènements)
Affichage des Utilisateurs et Administrateurs
Transformer un Utilisateur en Administrateur
Supprimer un Utilisateur
Modification dynamique des collections
- Atelier 5 : Organiser son application (Création d'une Directive)
Définir ses règles métiers dans un Service
Créer une directive pour classer les utilisateurs
Utiliser l'injection de dépendance
- Ateleir 6 : TP : Tester l'application
Ecrire des tests
Tester la gestion des erreurs</t>
  </si>
  <si>
    <t>Laboratoire d’informatique bien équipé</t>
  </si>
  <si>
    <t>Cette matière requiert que l'étudiant ait suivi : Algorithmique et Structure de données, JavaScript, HTML5</t>
  </si>
  <si>
    <t>Technologies de l'Informatique</t>
  </si>
  <si>
    <t>Atelier traitement des données multimédia</t>
  </si>
  <si>
    <t>Cet atelier permettra à l’apprenant de maitriser les logiciels  Adobe Photoshop, Audacity et Adobe Première.</t>
  </si>
  <si>
    <t>Multiméda, image, son, vidéo, Photoshop, Adobe première, Audacity, Gimp, Amélioration
codage, restauration, filtrage, segmentation, compression</t>
  </si>
  <si>
    <t>Analyse</t>
  </si>
  <si>
    <t>Conception</t>
  </si>
  <si>
    <t>Support de TP</t>
  </si>
  <si>
    <t>Mise en situation</t>
  </si>
  <si>
    <t>Manuels d'utilisation des logiciels</t>
  </si>
  <si>
    <t xml:space="preserve">Maîtriser Adobe Photoshop CS6/Scott Onstott Laurence Chabard / First,2012                    Maîtriser  Adobe Première CS6 / Julien DULOUTRE/ Elephorm 2012                                           Audacity 2/ Christian Brochec / PEARSON 2013                                                                                                                                                                                                                                           </t>
  </si>
  <si>
    <t>Développement Web et édition multimédia</t>
  </si>
  <si>
    <t>Maitriser trois outils de traitement des données multimédia à savoir :                                                  
-  Audacity pour le son;                                                                                                                                    
-  Adobe Photoshop pour l’image;                                                                                                               
-  Adobe Première pour la vidéo.</t>
  </si>
  <si>
    <r>
      <rPr>
        <b/>
        <sz val="12"/>
        <rFont val="Calibri"/>
        <family val="2"/>
        <scheme val="minor"/>
      </rPr>
      <t xml:space="preserve">Partie I:  </t>
    </r>
    <r>
      <rPr>
        <sz val="12"/>
        <rFont val="Calibri"/>
        <family val="2"/>
        <scheme val="minor"/>
      </rPr>
      <t xml:space="preserve">                                                                                                                                                  
Ateliers traitement d’image matricielle avec Adobe Photoshop ou autres (the gimp…)  
Ateliers traitement d’image vectorielle avec Adobe illustrator ou autres                                          </t>
    </r>
    <r>
      <rPr>
        <b/>
        <sz val="12"/>
        <rFont val="Calibri"/>
        <family val="2"/>
        <scheme val="minor"/>
      </rPr>
      <t>Partie II:</t>
    </r>
    <r>
      <rPr>
        <sz val="12"/>
        <rFont val="Calibri"/>
        <family val="2"/>
        <scheme val="minor"/>
      </rPr>
      <t xml:space="preserve">                                                                                                                                                      
Ateliers traitement de son avec Audacity ou autres (soundforge, wave lab…)                               </t>
    </r>
    <r>
      <rPr>
        <b/>
        <sz val="12"/>
        <rFont val="Calibri"/>
        <family val="2"/>
        <scheme val="minor"/>
      </rPr>
      <t>Partie III:</t>
    </r>
    <r>
      <rPr>
        <sz val="12"/>
        <rFont val="Calibri"/>
        <family val="2"/>
        <scheme val="minor"/>
      </rPr>
      <t xml:space="preserve">                                                                                                                                                    
Ateliers traitement de vidéo avec Adobe Première ou autres (Ulead video studio, ...) </t>
    </r>
  </si>
  <si>
    <t>n.a.</t>
  </si>
  <si>
    <t>Développemet graphique 2D/3D</t>
  </si>
  <si>
    <t>S4</t>
  </si>
  <si>
    <t>Création</t>
  </si>
  <si>
    <t>21h</t>
  </si>
  <si>
    <t>contrôle continu</t>
  </si>
  <si>
    <t>modélisation 3D, édition polygonale, modificateurs, lumière, caméra, animation, rendu</t>
  </si>
  <si>
    <t>Modélisation 2D et 3D</t>
  </si>
  <si>
    <t>Animation 2D et 3D</t>
  </si>
  <si>
    <t>Créativité</t>
  </si>
  <si>
    <t>Production de rendu</t>
  </si>
  <si>
    <t>Logiciels 3D</t>
  </si>
  <si>
    <t>3DsMax [Bib1, Net1], Blender [Bib2, Net2], Maya [Bib3, Net3], etc.</t>
  </si>
  <si>
    <t>Documentation du logiciel 3D</t>
  </si>
  <si>
    <t>Fascicule de TP</t>
  </si>
  <si>
    <t>Séquences vidéo</t>
  </si>
  <si>
    <t>Multimédia de base, Atelier de traitement multimédia</t>
  </si>
  <si>
    <t>Contrôle Continu</t>
  </si>
  <si>
    <t>Utiliser les framework de test et d’integration pour les application web</t>
  </si>
  <si>
    <t>Développer avec les méthodes BDD et TDD
Utiliser les framework de test et d’integration comme Jasmine
Définir des specifications, suites, résultats attendus, etc.
Écrire des tests unitairespour maintenir le code
Implémenter les tests unitaires
Tester du code requérant un système externe
Intégrer le mécanisme d'écriture de test dans le cycle de vie d'un projet
Mettre en place et utiliser un outil d'intégration continue</t>
  </si>
  <si>
    <t>Design, integration, test</t>
  </si>
  <si>
    <t>Cette matière requiert que l'étudiant ait suivi : 
UE  Dévelopement Web et multimédia II, 
UE Développement Web  et édition multimédia
HTML5, CSS3, JavaScript, Photoshop</t>
  </si>
  <si>
    <t xml:space="preserve">[1]  https://openclassrooms.com/courses/tester-l-interface-de-son-site
[2] https://openclassrooms.com/courses/testez-et-suivez-l-etat-de-votre-application-php
</t>
  </si>
  <si>
    <t xml:space="preserve">Ajsutement </t>
  </si>
  <si>
    <t>Atelier Design et integration pour le Web</t>
  </si>
  <si>
    <t>Tester l'interface de son site</t>
  </si>
  <si>
    <t>Tester et suivre l'état de son application web</t>
  </si>
  <si>
    <t xml:space="preserve">Partie #1 - Comprenez les tests [1]
1. Pourquoi écrire des tests ?
2. Apprenez le behavior driven development (BDD)
3. Apprenez le test driven development (TDD)
Partie #2 - Tests unitaires[2]
1. Mise en place d'un outil pour implémenter ses tests unitaires
2. Premiers pas avec PHPUnit et les tests unitaires
3. Les doublures (mocks)
4. Tester une classe contenant de nombreuses dépendances
Partie #3 - Intégration continue[2]
1. Que tester et quand le tester ?
2. En quoi consiste l'intégration continue ?
3. Mettre en place un outil d'intégration continue, Travis
4.Testez avec le framework Jasmine[1]
• Définissez des suites et des spécifications
• Gérez des résultats attendus
• Préparez et lancez des tests
</t>
  </si>
  <si>
    <t>V1.0</t>
  </si>
  <si>
    <t>Sécurité des applications Web</t>
  </si>
  <si>
    <t>L'objectif pédagogique de cette Unité d'Enseignement est de fournir aux étudiants les connaissances et la méthode afin de déployer un dispositif de sécurité pour protéger le système d'information d'une entreprise d'une manière générale et les applications web en particulier.</t>
  </si>
  <si>
    <t>Identifier les risques potentiels d'une application web
Connaître les techniques à mettre en œuvre et les moyens nécessaires pour sécuriser les applications web                                                                     
Être capable de tester la sécurité des applications web</t>
  </si>
  <si>
    <t>confidentialité, integrité, disponibilité, analyse des risques, cryptographie, 
signature numérique, certification numérique, audit, injection SQL</t>
  </si>
  <si>
    <t xml:space="preserve">Tests de pénétration   </t>
  </si>
  <si>
    <t xml:space="preserve">Gestion des risques    </t>
  </si>
  <si>
    <t xml:space="preserve">Gouvernance informatique   </t>
  </si>
  <si>
    <t xml:space="preserve">Gestion de l'information   </t>
  </si>
  <si>
    <t xml:space="preserve">Gestion de la propriété intellectuelle   </t>
  </si>
  <si>
    <t xml:space="preserve">Gestion de la sécurité de l'information  </t>
  </si>
  <si>
    <t xml:space="preserve">Gestion des risques </t>
  </si>
  <si>
    <r>
      <rPr>
        <b/>
        <sz val="12"/>
        <rFont val="Calibri"/>
        <family val="2"/>
        <scheme val="minor"/>
      </rPr>
      <t xml:space="preserve">Chapitre 1 - Gestion des Risques et Sécurité du Système d'Information </t>
    </r>
    <r>
      <rPr>
        <sz val="12"/>
        <rFont val="Calibri"/>
        <family val="2"/>
        <scheme val="minor"/>
      </rPr>
      <t xml:space="preserve">
1. Concept de Sécurité du Système d'Information 
2. Gestion de la Sécurité du Système d'Information 
3. Gouvernance de la Sécurité du Système d'Information 
4. Classification de l'Information 
5. Gestion des Risques 
6. Gestion des Ressources Humaines 
7. Éducation à la Sécurité, Formation et Sensibilisation 
8. Organisation de la Sécurité
</t>
    </r>
    <r>
      <rPr>
        <b/>
        <sz val="12"/>
        <rFont val="Calibri"/>
        <family val="2"/>
        <scheme val="minor"/>
      </rPr>
      <t>Chapitre 2 - Contrôle d'Accès</t>
    </r>
    <r>
      <rPr>
        <sz val="12"/>
        <rFont val="Calibri"/>
        <family val="2"/>
        <scheme val="minor"/>
      </rPr>
      <t xml:space="preserve"> 
1. Principes et Définitions
2. Menaces
3. Types de Contrôle d 'Accès
4. Modèles de Contrôle d'Accès
5. Surveillance et Administration
</t>
    </r>
    <r>
      <rPr>
        <b/>
        <sz val="12"/>
        <rFont val="Calibri"/>
        <family val="2"/>
        <scheme val="minor"/>
      </rPr>
      <t>Chapitre 3 - Cryptographie</t>
    </r>
    <r>
      <rPr>
        <sz val="12"/>
        <rFont val="Calibri"/>
        <family val="2"/>
        <scheme val="minor"/>
      </rPr>
      <t xml:space="preserve">
1. Termes, Définitions, Concepts et Historique
2. Types de Chiffrement
3. Algorithmes Cryptographiques
4. Mise en Œuvre de la Cryptographie
5. Types d'Attaques sur la Cryptographie
6. Utilisation de la Cryptographie à l'International
</t>
    </r>
    <r>
      <rPr>
        <b/>
        <sz val="12"/>
        <rFont val="Calibri"/>
        <family val="2"/>
        <scheme val="minor"/>
      </rPr>
      <t>Chapitre 4 : Failles et vulnérabilités des applications Web</t>
    </r>
    <r>
      <rPr>
        <sz val="12"/>
        <rFont val="Calibri"/>
        <family val="2"/>
        <scheme val="minor"/>
      </rPr>
      <t xml:space="preserve">
1. Anatomie d’une attaque (5P)
2. Etude des  vulnérabilités des applications web
3. Test d’intrusion (PEN Test)
4. Moyens de protection</t>
    </r>
  </si>
  <si>
    <t>• https://www.owasp.org
• https://www.bsimm.com/download/
• https://developer.mozilla.org/en-US/docs/Web/Security
• https://sourceforge.net/projects/websecuritydojo/files/</t>
  </si>
  <si>
    <t>Autres</t>
  </si>
  <si>
    <t>Un atelier de sécurité web peut etre proposé comme module optionnel.</t>
  </si>
  <si>
    <t>Control Continu</t>
  </si>
  <si>
    <t>Cette matière requiert que l'étudiant ait suivi base des données, système d'exploitation, développement web</t>
  </si>
  <si>
    <t xml:space="preserve">- PHP 7 Cours et exercices , Jean Engels, Edition Eyrolles, février 2017
- PHP 7 avancé, Pascal MARTIN, Julien PAULI, Cyril PIERRE de GEYER and Éric DASPET, Éditions Eyrolles, Octobre 2016 
- PHP 7 Développez un site web dynamique et interactif, Olivier HEURTEL, Editions ENI, janvier 2016 </t>
  </si>
  <si>
    <t>Cette matière requiert que l'étudiant ait suivi : 
UE Développement Web  et édition multimédia,
UE Programmation et Structures dynamiques,
UE Programmation Objet,
UE Bases de Données.</t>
  </si>
  <si>
    <t>- Les Bases du langage PHP 
• Présentation langage Serveur PHP, et son utilisation dans les pages Web, Définition des types de données en PHP (variables, constantes ), Les opérateurs &amp; Les tableaux, Les Chaînes de caractères, Les date-time en PHP, Les structures de contrôle, Les fonctions et les procédures
- L’orienté objet avec PHP 
• Notion d’objet et de classe, Accès aux variables de la classe, Parcours d'objets, Les Méthodes magiques, L’héritage) 
- Formulaires et accès aux bases de données 
• Traitement du formulaire, Manipulation des Fichiers texte avec PHP, Modes Ouverture de fichiers, Lecture et Ecriture de données dans un fichier (upload , création des fichiers..), Accès aux SGBD à travers PDO, Etude de cas
- Cookies, sessions et E-mails 
• Les cookies, Les sessions, Les e-mails
- La Sécurité avec PHP7 
• Configuration et sécurité, Sécurité de l’application</t>
  </si>
  <si>
    <t>Programmation web dynamique, PHP7, MySQL, Serveur Apache.</t>
  </si>
  <si>
    <t>Ce cours vise à faire acquérir à l’apprenant les connaissances de base relatives à la programmation du web dynamique. A la fin de ce cours, l’étudiant serait capable de comprendre et maîtriser le processus de mise en oeuvre et de développement d'une application Web dynamique.</t>
  </si>
  <si>
    <t xml:space="preserve"> Développement coté serveur</t>
  </si>
  <si>
    <t>- Atelier 1 : Installation de la plateforme de développement PHP : les composants d’une plateforme de développement PHP : serveur web, SGBD, script PHP, PhpMyAdmin.
- Atelier 2 : manipuler les structures de contrôle conditionnelles et itératives : appliquées sur les tableaux et les chaines de caractères.
- Atelier 3 : Gestion des formulaires en PHP : validation et récupération
- Atelier 4 : Accès aux bases de données (MySQL ou autres).
- Atelier 5 : Manipulation des cookies et des sessions.
- Atelier 6 : La programmation orientée objet.</t>
  </si>
  <si>
    <t>Programmation web dynamique, PHP7, MySQL, cookies, session, PDO, PhpMyAmin, Serveur Apache, Wamp Server, Xampp, ...</t>
  </si>
  <si>
    <t>- Comprendre les étapes de mise en place de plateforme de développement PHP.
- Maitriser les notions de base du script PHP.
- Maitriser l’envoie, récupération et validation des formulaires avec GET, POST.
- Maitriser l’utilisation des cookies et des sessions en PHP.
- Être capable de développer un script PHP en utilisant la POO
- Maitriser les opérations CRUD sur le sgbd MySQL avec extension PDO et Mysqli</t>
  </si>
  <si>
    <t>Cet atelier vise à donner à l’apprenant les compétences pratiques pour pouvoir développer des pages web dynamiques en PHP.</t>
  </si>
  <si>
    <t>Atelier Développement coté serveur</t>
  </si>
  <si>
    <t xml:space="preserve">Encadrement personnalisé </t>
  </si>
  <si>
    <t xml:space="preserve">Documents techniques et manuels d’utilisation </t>
  </si>
  <si>
    <t xml:space="preserve">SGBD : SQL Server, Oracle ou équivalent </t>
  </si>
  <si>
    <t xml:space="preserve">SGBD, SQL Procédural, Procédure et Fonction stockées, Package, Déclencheur. </t>
  </si>
  <si>
    <t xml:space="preserve">  -   Créer,  et développer dans un environnement de bases de données,
  -   Optimiser l'utilisation de la mémoire et les performances d'un SGBD.
</t>
  </si>
  <si>
    <t>A l'issue de cet atelier, l'étudiant doit maîtriser un SGBD relationnel dans les aspects liés au développement coté serveur pour l'intégrité et l'optimisation d'une base de données.</t>
  </si>
  <si>
    <t xml:space="preserve">Contrôle continu </t>
  </si>
  <si>
    <t xml:space="preserve">ATELIER SGBD </t>
  </si>
  <si>
    <t xml:space="preserve">Cette matière requiert que l'étudiant ait suivi une formation sur la programmation Orientée Objet et la Programmation Web
</t>
  </si>
  <si>
    <t>Conception de l'architecture</t>
  </si>
  <si>
    <t xml:space="preserve">java pour le web, Traitement des formulaires, JSP, Servlet, JSTL.
</t>
  </si>
  <si>
    <t xml:space="preserve">Connaître les fondements des architectures n-tiers et l'architecture J2EE,
Savoir utiliser les technologies Servlet/JSP,
Connaître les bonnes pratiques pour développer des accès aux bases de données avec JDBC et les pools de connexions,
Connaître les bases de la bibliothèque JSTL.
</t>
  </si>
  <si>
    <t xml:space="preserve">A l’issue de ce cours, l’étudiant sera capable de développer une application web pouvant s'exécuter dans l'un des nombreux conteneurs du marché : IBM WebSphere, BEA WebLogic, JBoss server, Apache Tomcat, Sun appServe.
</t>
  </si>
  <si>
    <t>Programmation Objet avancée</t>
  </si>
  <si>
    <t>ETIENNE LANGLET, Apache Tomcat 8 Guide d'administration du serveur Java EE 7 sous Windows et Linux, 2014
FRANCOIS-XAVIER SENNESAL, JSF 2 avec Eclipse Développement d'applications web avec Java Server Faces, 2014</t>
  </si>
  <si>
    <t>Cette matière requiert que l'étudiant ait suivi une formation sur la programmation Orientée
 Objet et la Programmation Web</t>
  </si>
  <si>
    <t>Serveur d’application: Apache Tomcat 8.0 (ou version plus récente)</t>
  </si>
  <si>
    <t>EDI: Eclipse J2EE/Netbeans</t>
  </si>
  <si>
    <t>JDK 8.0 ou version plus récente</t>
  </si>
  <si>
    <t>Java pour le web, Traitement des formulaires, JSP, Servlet, JSTL.</t>
  </si>
  <si>
    <t xml:space="preserve">Implémenter une application Web conformément au modèle MVC,
Maîtriser la programmation des contrôleurs en JAVA (Servlet),
Maîtriser la programmation des pages web dynamiques (JSP),
Maîtriser la programmation des bases de la bibliothèque JSTL.
</t>
  </si>
  <si>
    <t xml:space="preserve"> A l’issue de cet atelier, l’étudiant doit maîtriser le développement  des applications web (JSP/Servlet/JSTL) conformément au modèle MVC, pouvant s'exécuter dans l'un des nombreux conteneurs du marché : IBM WebSphere, BEA WebLogic, JBoss server, Apache Tomcat, Sun appServe.</t>
  </si>
  <si>
    <t>Atelier Programmation Objet avancée</t>
  </si>
  <si>
    <t>Cours interactifs</t>
  </si>
  <si>
    <t>modèle d'objet 2D/3D, transformations, modificateurs, animations, éclairage, caméra, rendu</t>
  </si>
  <si>
    <t>Apprendre les caractéristiques de modélisation de géométrie 2D, Apprendre les méthodes de modélisation des objets 3D, Apprendre les concepts de transformations et d'animations 2D et 3D, Apprendre les techniques de rendu 3D.</t>
  </si>
  <si>
    <t>Ce cours vise à donner les notions et les concepts de base de la programmation graphique 2D et 3D. Le cours vise également l'apprentissage de techniques de modélisation 3D et d'animation 2D et 3D. Il vise ainsi la maîtrise des techniques d'éclairage et de visualisation 3D.</t>
  </si>
  <si>
    <t>Programmation graphique 2D-3D</t>
  </si>
  <si>
    <t>Manuels d'utilisation de l'API</t>
  </si>
  <si>
    <t>Modélisation</t>
  </si>
  <si>
    <t xml:space="preserve">Graphique pour le web, Jeu 2D, WebGL, BabylonJS, Unity-2D </t>
  </si>
  <si>
    <t>Cet atelier permettra à l'apprenant de maitriser la programmation graphique en utilisant une API de production graphique 2D.</t>
  </si>
  <si>
    <t>Développement graphique 2D/3D</t>
  </si>
  <si>
    <t>- Comprendre le principe de la programmation web dynamique. 
- Maîtriser la programmation orientée objet avec PHP 
- Connaître la panoplie des solutions web dynamiques. 
- Maîtriser le processus de mise en oeuvre d'une application Web dynamique avec PHP
- Comprendre l’intérêt de la sécurité des pages web à travers le langage PHP</t>
  </si>
  <si>
    <t>-   TP1 : Eléments du langage (Blocs, variables, affectation, structure de contrôle, …),
-   TP2 : Curseurs (implicite et explicite) et exceptions,
-   TP3 : Procédures stockées et fonctions,
-   TP4 : Package prédéfinis et utilisateurs ,
-    TP5 :Déclencheurs (Trigger),
-    TP6 : Types composés(Collection,Record,XML,Objet,BOLB),
-    Mini-projet : Développement des sous programmes en s'appuyant sur une base de données Oracle ou équivalent, en respectant les buts et les principes vus.</t>
  </si>
  <si>
    <t xml:space="preserve">- UE :Bases de données                                       
- UE: Programmation structurée </t>
  </si>
  <si>
    <r>
      <t xml:space="preserve">- PL/SQL sous Oracle 12c, Guide du développeur. Mohamed Saad, Eni, 12/10/2016                                                            
-  </t>
    </r>
    <r>
      <rPr>
        <sz val="12"/>
        <rFont val="Calibri"/>
        <family val="2"/>
      </rPr>
      <t xml:space="preserve"> </t>
    </r>
    <r>
      <rPr>
        <sz val="12"/>
        <rFont val="Calibri"/>
        <family val="2"/>
        <scheme val="minor"/>
      </rPr>
      <t xml:space="preserve">Oracle 12c, Programmez avec SQL et PL/SQL.  Anne-Sophie Lacroix, Jérôme Gabillaud, Eni, 17/08/2015 </t>
    </r>
  </si>
  <si>
    <t>Jean-Luc Deleage, JSP et servlets efficaces, Edition Dunod, 2005.
Jason Hunter, William Crawford, Servlets Java, Guide du programmeur, Edition O'Reilly, 2002.
Bill Brogoen, Guide du développeur java avec servlets et JSP, Edition Eska, 2001
Thierry Richard, Java EE Développez des applications web en Java, 2017</t>
  </si>
  <si>
    <r>
      <t xml:space="preserve">1. Présentation des architectures
</t>
    </r>
    <r>
      <rPr>
        <sz val="10"/>
        <rFont val="Calibri"/>
        <family val="2"/>
        <charset val="1"/>
      </rPr>
      <t xml:space="preserve">- Architectures à objets distribués, architectures n-tiers, modèle en couches, 
- Présentation des architectures J2EE et .NET,
- Les composants d'une architecture n-tiers
- Les composants Web de J2EE : servlets, JSP, XML
</t>
    </r>
    <r>
      <rPr>
        <b/>
        <sz val="10"/>
        <rFont val="Calibri"/>
        <family val="2"/>
        <charset val="1"/>
      </rPr>
      <t xml:space="preserve">2. Les Servlets
</t>
    </r>
    <r>
      <rPr>
        <sz val="10"/>
        <rFont val="Calibri"/>
        <family val="2"/>
        <charset val="1"/>
      </rPr>
      <t xml:space="preserve">- Intégration de servlets dans l'architecture d'une application Web
- Utilisation de l'API Java Servlet (cycle de vie, variables d'environnement)
- Saisie de données utilisateurs par formulaires Web
- Persistence des applications Web en Java :
         Lecture/écriture de cookies pour personnaliser le contenu Web
         Gestion de l'état d'une application Web avec des sessions
</t>
    </r>
    <r>
      <rPr>
        <b/>
        <sz val="10"/>
        <rFont val="Calibri"/>
        <family val="2"/>
        <charset val="1"/>
      </rPr>
      <t xml:space="preserve">3. Les pages JSP
</t>
    </r>
    <r>
      <rPr>
        <sz val="10"/>
        <rFont val="Calibri"/>
        <family val="2"/>
        <charset val="1"/>
      </rPr>
      <t xml:space="preserve">- Intégration de balises JSP dans une page HTML,
- Syntaxe des balises JSP : directives, scriplets et autres balises spécifiques
- Transmettre des données à une JSP, les patterns Data Transfert Object et Value Object, 
- Accès aux différents contextes (application, session et requête)
</t>
    </r>
    <r>
      <rPr>
        <b/>
        <sz val="10"/>
        <rFont val="Calibri"/>
        <family val="2"/>
        <charset val="1"/>
      </rPr>
      <t xml:space="preserve">4. La bibliothèque de balises JSTL (JSP Standard Tag Library)
</t>
    </r>
    <r>
      <rPr>
        <sz val="10"/>
        <rFont val="Calibri"/>
        <family val="2"/>
        <charset val="1"/>
      </rPr>
      <t>- Les balises pour les variables,
- Les balises de structure de contrôle (tests, boucles, ...)
- Les balises pour l'internationalisation, 
- Les balises pour les requêtes SQL,
5</t>
    </r>
    <r>
      <rPr>
        <b/>
        <sz val="10"/>
        <rFont val="Calibri"/>
        <family val="2"/>
        <charset val="1"/>
      </rPr>
      <t xml:space="preserve">. Les classes JavaBean
-Création et manipulation des classes JavaBean
-mapping classes javabean / couche pérsistance
5. Le patron de conception MVC
Organisation de la couche présentation avec MVC (Model-View-Controller)
6. L’accès aux données avec JDBC
</t>
    </r>
    <r>
      <rPr>
        <sz val="10"/>
        <rFont val="Calibri"/>
        <family val="2"/>
        <charset val="1"/>
      </rPr>
      <t>- La bibliothèque JDBC,
- Le patron de conception DAO</t>
    </r>
  </si>
  <si>
    <r>
      <t xml:space="preserve">Atelier 1. </t>
    </r>
    <r>
      <rPr>
        <sz val="12"/>
        <rFont val="Calibri"/>
        <family val="2"/>
        <charset val="1"/>
      </rPr>
      <t xml:space="preserve">Installation et configuration de l’environnement de travail
</t>
    </r>
    <r>
      <rPr>
        <b/>
        <sz val="12"/>
        <rFont val="Calibri"/>
        <family val="2"/>
        <charset val="1"/>
      </rPr>
      <t>Atelier 2.</t>
    </r>
    <r>
      <rPr>
        <sz val="12"/>
        <rFont val="Calibri"/>
        <family val="2"/>
        <charset val="1"/>
      </rPr>
      <t xml:space="preserve"> Programmation avec les Servlets (init, destroy, doPost, doGet, HttpRequest et HttpResponse) 
</t>
    </r>
    <r>
      <rPr>
        <b/>
        <sz val="12"/>
        <rFont val="Calibri"/>
        <family val="2"/>
        <charset val="1"/>
      </rPr>
      <t>Atelier 3.</t>
    </r>
    <r>
      <rPr>
        <sz val="12"/>
        <rFont val="Calibri"/>
        <family val="2"/>
        <charset val="1"/>
      </rPr>
      <t xml:space="preserve"> Manipulation des contextes (ServletContext, Session, Request, Response), 
</t>
    </r>
    <r>
      <rPr>
        <b/>
        <sz val="12"/>
        <rFont val="Calibri"/>
        <family val="2"/>
        <charset val="1"/>
      </rPr>
      <t>Atelier 4.</t>
    </r>
    <r>
      <rPr>
        <sz val="12"/>
        <rFont val="Calibri"/>
        <family val="2"/>
        <charset val="1"/>
      </rPr>
      <t xml:space="preserve"> Les pages JSP
</t>
    </r>
    <r>
      <rPr>
        <b/>
        <sz val="12"/>
        <rFont val="Calibri"/>
        <family val="2"/>
        <charset val="1"/>
      </rPr>
      <t xml:space="preserve">Atelier 5. </t>
    </r>
    <r>
      <rPr>
        <sz val="12"/>
        <rFont val="Calibri"/>
        <family val="2"/>
        <charset val="1"/>
      </rPr>
      <t xml:space="preserve">Utilisation de La bibliothèque de balises JSTL (JSP Standard Tag Library) 
</t>
    </r>
    <r>
      <rPr>
        <b/>
        <sz val="12"/>
        <rFont val="Calibri"/>
        <family val="2"/>
        <charset val="1"/>
      </rPr>
      <t>Atelier 6.</t>
    </r>
    <r>
      <rPr>
        <sz val="12"/>
        <rFont val="Calibri"/>
        <family val="2"/>
        <charset val="1"/>
      </rPr>
      <t xml:space="preserve"> Framework JSF: Mise en oeuvre du patron MVC
</t>
    </r>
    <r>
      <rPr>
        <b/>
        <sz val="12"/>
        <rFont val="Calibri"/>
        <family val="2"/>
        <charset val="1"/>
      </rPr>
      <t>Atelier 7.</t>
    </r>
    <r>
      <rPr>
        <sz val="12"/>
        <rFont val="Calibri"/>
        <family val="2"/>
        <charset val="1"/>
      </rPr>
      <t xml:space="preserve"> Accès aux données et application du patron DAO
</t>
    </r>
  </si>
  <si>
    <r>
      <rPr>
        <b/>
        <sz val="12"/>
        <rFont val="Calibri"/>
        <family val="2"/>
        <scheme val="minor"/>
      </rPr>
      <t>1- Les bases de graphisme 2D:</t>
    </r>
    <r>
      <rPr>
        <sz val="12"/>
        <rFont val="Calibri"/>
        <family val="2"/>
        <scheme val="minor"/>
      </rPr>
      <t xml:space="preserve">[Bib4-5]                                                                                                          systèmes de coordonées 2D,points, vecteurs, matrices, opération s de base, représentation des formes géométriques basique (cercle, rectangle, polygone, etc)                                                                                                                                                       </t>
    </r>
    <r>
      <rPr>
        <b/>
        <sz val="12"/>
        <rFont val="Calibri"/>
        <family val="2"/>
        <scheme val="minor"/>
      </rPr>
      <t>2- Les bases de graphisme 3D:</t>
    </r>
    <r>
      <rPr>
        <sz val="12"/>
        <rFont val="Calibri"/>
        <family val="2"/>
        <scheme val="minor"/>
      </rPr>
      <t xml:space="preserve"> [Bib1],[Net1-2]                                                                                 
principe de visualisation graphique 3D (pipeline graphique, graphe de scène), représentation des objets 3D (surfacique: implicite, paramétrique, plygonale, volumique: CSG, BRep, Octree), modificateurs 3D                                                                                                                                                                              </t>
    </r>
    <r>
      <rPr>
        <b/>
        <sz val="12"/>
        <rFont val="Calibri"/>
        <family val="2"/>
        <scheme val="minor"/>
      </rPr>
      <t>3- Transformations 2D et 3D:</t>
    </r>
    <r>
      <rPr>
        <sz val="12"/>
        <rFont val="Calibri"/>
        <family val="2"/>
        <scheme val="minor"/>
      </rPr>
      <t xml:space="preserve">  [Net7]  </t>
    </r>
    <r>
      <rPr>
        <b/>
        <sz val="12"/>
        <rFont val="Calibri"/>
        <family val="2"/>
        <scheme val="minor"/>
      </rPr>
      <t xml:space="preserve">                                                                                                 </t>
    </r>
    <r>
      <rPr>
        <sz val="12"/>
        <rFont val="Calibri"/>
        <family val="2"/>
        <scheme val="minor"/>
      </rPr>
      <t xml:space="preserve"> 
translation, rotation, homothétie, mise en échelle, symétrie, etc. et coordonnées homogènes.                                                                                                                                </t>
    </r>
    <r>
      <rPr>
        <b/>
        <sz val="12"/>
        <rFont val="Calibri"/>
        <family val="2"/>
        <scheme val="minor"/>
      </rPr>
      <t>4- Techniques d'animations 2D et 3D:</t>
    </r>
    <r>
      <rPr>
        <sz val="12"/>
        <rFont val="Calibri"/>
        <family val="2"/>
        <scheme val="minor"/>
      </rPr>
      <t xml:space="preserve"> [Bib2-3]</t>
    </r>
    <r>
      <rPr>
        <b/>
        <sz val="12"/>
        <rFont val="Calibri"/>
        <family val="2"/>
        <scheme val="minor"/>
      </rPr>
      <t xml:space="preserve">                                                                           
</t>
    </r>
    <r>
      <rPr>
        <sz val="12"/>
        <rFont val="Calibri"/>
        <family val="2"/>
        <scheme val="minor"/>
      </rPr>
      <t xml:space="preserve">animation par trajectoire, animation par images clés, animation procédurale 3D, animation par capture de mouvements 3D.                                                                                                                            
</t>
    </r>
    <r>
      <rPr>
        <b/>
        <sz val="12"/>
        <rFont val="Calibri"/>
        <family val="2"/>
        <scheme val="minor"/>
      </rPr>
      <t>5- Simulation d'éclairage 3D:</t>
    </r>
    <r>
      <rPr>
        <sz val="12"/>
        <rFont val="Calibri"/>
        <family val="2"/>
        <scheme val="minor"/>
      </rPr>
      <t xml:space="preserve"> [Bib1] [Net3-4-5-6]</t>
    </r>
    <r>
      <rPr>
        <b/>
        <sz val="12"/>
        <rFont val="Calibri"/>
        <family val="2"/>
        <scheme val="minor"/>
      </rPr>
      <t xml:space="preserve">                                                                                
</t>
    </r>
    <r>
      <rPr>
        <sz val="12"/>
        <rFont val="Calibri"/>
        <family val="2"/>
        <scheme val="minor"/>
      </rPr>
      <t xml:space="preserve">types de sources de lumière (ponctuelle, ambiante, directionnelle, etc.), modèles d'éclairage (réflexions ambiante, diffuse et spéculaire), techniques d'éclairage (illumination locale de phong, ombrages (Lambert, phong, gouraud), illumination globale(lancer de rayons, radiosité).                                                                                                                                                   </t>
    </r>
    <r>
      <rPr>
        <b/>
        <sz val="12"/>
        <rFont val="Calibri"/>
        <family val="2"/>
        <scheme val="minor"/>
      </rPr>
      <t>6- Visualisation 3D:</t>
    </r>
    <r>
      <rPr>
        <sz val="12"/>
        <rFont val="Calibri"/>
        <family val="2"/>
        <scheme val="minor"/>
      </rPr>
      <t xml:space="preserve"> [Bib1] [Net3-4-5-6]                                                                                             
textures et surfaces, projection, rendu.</t>
    </r>
  </si>
  <si>
    <t>Multimédia de base
Programmation</t>
  </si>
  <si>
    <r>
      <rPr>
        <b/>
        <sz val="12"/>
        <rFont val="Calibri"/>
        <family val="2"/>
        <scheme val="minor"/>
      </rPr>
      <t>Bibliographie</t>
    </r>
    <r>
      <rPr>
        <sz val="12"/>
        <rFont val="Calibri"/>
        <family val="2"/>
        <scheme val="minor"/>
      </rPr>
      <t xml:space="preserve">
[Bib1] R. Malgouyres: " Algorithmes pour la synthèse d'images et l'animation 3D", Dunod, Mai
2005                                                                                                                                                                 [Bib2] R. Williams: “The Animator's Survival Kit”, Faber &amp; Faber, Janvier 2015
[Bib3] R. Williams: "Techniques d’animation : Pour le dessin animé, l’animation 3D et le jeu
vidéo", Eyrolles, Février 2011                                                                                                                              [Bib4] R. Patrice: "Développement des application Web 3D avec WebGL" , Books on demand GmbH, Août 2014.
[Bib5] A. Anyuru : "Professional WebGL Programming: Developing 3D Graphics for the Web", Paperback, Mai 2012.                                                                                                                                             </t>
    </r>
    <r>
      <rPr>
        <b/>
        <sz val="12"/>
        <rFont val="Calibri"/>
        <family val="2"/>
        <scheme val="minor"/>
      </rPr>
      <t>Netographie</t>
    </r>
    <r>
      <rPr>
        <sz val="12"/>
        <rFont val="Calibri"/>
        <family val="2"/>
        <scheme val="minor"/>
      </rPr>
      <t xml:space="preserve">
[Net1] https://docs.blender.org/manual/fr/dev/modeling/modifiers/index.html
[Net2] http://help.autodesk.com/view/3DSMAX/2017/FRA/?guid=GUID-911C535D-9003-4925-
A064-52835C581DAA                                                                                                                                                            [Net3] http://help.autodesk.com/view/3DSMAX/2017/FRA/
[Net4] http://www.elephorm.com/3d/formation-maya/formation-maya-2015.html
[Net5] https://www.blender.org/support/tutorials/
[Net6] http://www.elephorm.com/rendu-3d                                                                                                       [Net7] https://acko.net/files/fullfrontal/fullfrontal/webglmath/online.html</t>
    </r>
  </si>
  <si>
    <t>Développement 
Mobile</t>
  </si>
  <si>
    <r>
      <rPr>
        <sz val="12"/>
        <rFont val="Wingdings"/>
        <charset val="2"/>
      </rPr>
      <t xml:space="preserve"> </t>
    </r>
    <r>
      <rPr>
        <sz val="12"/>
        <rFont val="Calibri"/>
        <family val="2"/>
        <scheme val="minor"/>
      </rPr>
      <t>Comprendre une plate-forme mobile pour développer des applications mobiles.
</t>
    </r>
    <r>
      <rPr>
        <sz val="12"/>
        <rFont val="Wingdings"/>
        <charset val="2"/>
      </rPr>
      <t xml:space="preserve"> </t>
    </r>
    <r>
      <rPr>
        <sz val="12"/>
        <rFont val="Calibri"/>
        <family val="2"/>
        <scheme val="minor"/>
      </rPr>
      <t xml:space="preserve">Comprendre l'architecture d’un système mobile.
</t>
    </r>
    <r>
      <rPr>
        <sz val="12"/>
        <rFont val="Wingdings"/>
        <charset val="2"/>
      </rPr>
      <t xml:space="preserve"> </t>
    </r>
    <r>
      <rPr>
        <sz val="12"/>
        <rFont val="Calibri"/>
        <family val="2"/>
        <scheme val="minor"/>
      </rPr>
      <t xml:space="preserve">Maîtriser le développement sous Android.
</t>
    </r>
    <r>
      <rPr>
        <sz val="12"/>
        <rFont val="Wingdings"/>
        <charset val="2"/>
      </rPr>
      <t xml:space="preserve"> </t>
    </r>
    <r>
      <rPr>
        <sz val="12"/>
        <rFont val="Calibri"/>
        <family val="2"/>
        <scheme val="minor"/>
      </rPr>
      <t xml:space="preserve">Pouvoir utiliser les ressources des téléphones mobiles comme la géolocalisation.
</t>
    </r>
    <r>
      <rPr>
        <sz val="12"/>
        <rFont val="Wingdings"/>
        <charset val="2"/>
      </rPr>
      <t xml:space="preserve"> </t>
    </r>
    <r>
      <rPr>
        <sz val="12"/>
        <rFont val="Calibri"/>
        <family val="2"/>
        <scheme val="minor"/>
      </rPr>
      <t>Pouvoir s’interfacer avec des services distants et apprendre l'intégration d'applications  mobiles avec des services web et cloud pour créer des applications mobiles.
</t>
    </r>
    <r>
      <rPr>
        <sz val="12"/>
        <rFont val="Wingdings"/>
        <charset val="2"/>
      </rPr>
      <t xml:space="preserve"> </t>
    </r>
    <r>
      <rPr>
        <sz val="12"/>
        <rFont val="Calibri"/>
        <family val="2"/>
        <scheme val="minor"/>
      </rPr>
      <t>Préparer les étudiants à la certification Associate Android Developer.</t>
    </r>
  </si>
  <si>
    <t>Android, SDK,  SQLite, Google Play</t>
  </si>
  <si>
    <t xml:space="preserve">veille technologique
</t>
  </si>
  <si>
    <t xml:space="preserve">  </t>
  </si>
  <si>
    <t xml:space="preserve">Mises en situation </t>
  </si>
  <si>
    <t>Vidéo projecteur</t>
  </si>
  <si>
    <t>Activités à remettre</t>
  </si>
  <si>
    <t>Travaux personnalisés.</t>
  </si>
  <si>
    <t>Cette matière requiert que l'étudiant ait suivi :
Bases de Données, Programmation Objet , XML, Systèmes d’exploitation</t>
  </si>
  <si>
    <t>    https://developers.google.com/training/android/
    https://google.github.io/android-testing-support-library/
    Reto Meier, Développement d’applications professionnelles avec Andoid 2
    Murach’s Android Programming Android - How to Program Paul, Harvey et Abbey Deitel-Pearson</t>
  </si>
  <si>
    <t>Atelier développement
 Mobile</t>
  </si>
  <si>
    <t>Cet atelier présente les fonctionnalités et capacités d’une plate-forme mobile (Android, IOS, Windows Phone) dédiée à la réalisation d'applications pour les téléphones mobiles. Les concepts sont illustrés à l'aide de mini-projets (chaque atelier correspond à la réalisation d’une application) permettant d'appréhender les notions vues en cours. On présente dans la suite un plan spécifique à Android.</t>
  </si>
  <si>
    <t xml:space="preserve">- Comprendre  l’environnement Android Studio
- Maîtriser le développement sous Android.
- Pouvoir utiliser les ressources des téléphones mobiles
- Pouvoir s’interfacer avec des services distants et apprendre l'intégration d'applications 
   mobiles avec des services web et cloud pour créer des applications mobiles.
</t>
  </si>
  <si>
    <t xml:space="preserve">Fascicules de TP </t>
  </si>
  <si>
    <t>PC avec JDK  installé</t>
  </si>
  <si>
    <t>Cette matière requiert que l'étudiant ait suivi :Bases de Données, Programmation Objet , XML, Systèmes d’exploitation</t>
  </si>
  <si>
    <t>https://developers.google.com/training/android/
https://google.github.io/android-testing-support-library/
https://developer.android.com/training/volley/index.html</t>
  </si>
  <si>
    <t>Cet atelier vise à développer chez l’apprenant la capacité de développer, déployer, et exploiter des web services (SOAP, REST) afin d’assurer l’interopérabilité entre des applications hétérogènes.</t>
  </si>
  <si>
    <t>Comprendre l'intérêt d'adopter une approche SOA
- Comprendre l'architecture des services Web SOAP et REST
- Organiser des applications à base de services Web
- Découvrir le fonctionnement des services Web en environnement Java EE
- Découvrir le fonctionnement des services Web en environnement .Net</t>
  </si>
  <si>
    <t xml:space="preserve"> Service Web, SOA, SOAP, REST, API, XML, WSDL, UDDI,WADL</t>
  </si>
  <si>
    <t>- Création d’un Web Service SOAP en C# et un client Java
- Création d’un Web Service SOAP en Java et un client C#
- Création d’un Web Service REST en Java et un client en C#
- Utilisation d’un Web Service gratuit en SOAP : Géolocalisation
- Utilisation d’un Web Service gratuit en REST : Météo
- Utilisation des Web Service sur des Mobiles Android</t>
  </si>
  <si>
    <t>Condensé de cours</t>
  </si>
  <si>
    <t>Laboratoire d’informatique</t>
  </si>
  <si>
    <t>Cette matière requiert que l'étudiant ait suivi
Algorithmique et Structure de données, POO, Developpement Web.</t>
  </si>
  <si>
    <t>Les Web Services : Concevoir et utiliser des application 2.0. Jonathan FONTANEL , Philippe LACOMME, et Libo REN :2014
- Services Web avec J2EE et .NET : Conception et implémentations. Libero Maesano et Christian Bernard : septembre 2013</t>
  </si>
  <si>
    <t xml:space="preserve">Atelier Framework Côté Serveur </t>
  </si>
  <si>
    <t>42h</t>
  </si>
  <si>
    <t xml:space="preserve"> Cet atelier vise à développer chez l’apprenant la capacité de créer des sites Web modulaires et sécurisés basés sur une architecture à la fois complexe mais  claire et transparente. Face à une panoplie de solutions, nous avons opté  pour Symfony 3   pour un développement des applications web complexes, modulaires, et sécurisées.</t>
  </si>
  <si>
    <t xml:space="preserve">-      Découvrir le framework Symfony 3,
-      Apprendre à développer une application MVC simple mais complète avec Symfony 3,
-      Apprendre à travailler avec l'ORM Doctrine,
-      Comprendre les bases de l'architecture des composants de Symfony 3 et de leurs interactions,
-      Comprendre l'implémentation MVC des applications Symfony 3,
-      Développer une application web avec Symfony 3.
</t>
  </si>
  <si>
    <t>MVC, MVC2, Bundle, Twig, ORM</t>
  </si>
  <si>
    <r>
      <rPr>
        <sz val="10"/>
        <rFont val="Wingdings"/>
        <charset val="2"/>
      </rPr>
      <t></t>
    </r>
    <r>
      <rPr>
        <b/>
        <sz val="10"/>
        <rFont val="Calibri"/>
        <family val="2"/>
        <scheme val="minor"/>
      </rPr>
      <t>Introduction à Symfony 3:</t>
    </r>
    <r>
      <rPr>
        <sz val="10"/>
        <rFont val="Calibri"/>
        <family val="2"/>
        <charset val="2"/>
        <scheme val="minor"/>
      </rPr>
      <t xml:space="preserve">
  Notion de Framework, Exemple de Framework coté client , Exemple de Framework coté serveur, Historique &amp; notion de Feuille de Route, Installation, configuration, test et mise  en place d’un premier projet
</t>
    </r>
    <r>
      <rPr>
        <sz val="10"/>
        <rFont val="Wingdings"/>
        <charset val="2"/>
      </rPr>
      <t></t>
    </r>
    <r>
      <rPr>
        <b/>
        <sz val="10"/>
        <rFont val="Calibri"/>
        <family val="2"/>
        <scheme val="minor"/>
      </rPr>
      <t>Architecture de Symfony 3:</t>
    </r>
    <r>
      <rPr>
        <sz val="10"/>
        <rFont val="Calibri"/>
        <family val="2"/>
        <charset val="2"/>
        <scheme val="minor"/>
      </rPr>
      <t xml:space="preserve">
  La structure d'un projet avec SF, Notion pattern MVC et MVC2, Notion de l'url Rewriting, Notion de Bundle, La structure d’un bundle.  
</t>
    </r>
    <r>
      <rPr>
        <sz val="10"/>
        <rFont val="Wingdings"/>
        <charset val="2"/>
      </rPr>
      <t></t>
    </r>
    <r>
      <rPr>
        <b/>
        <sz val="10"/>
        <rFont val="Calibri"/>
        <family val="2"/>
        <scheme val="minor"/>
      </rPr>
      <t>Premier Bundle avec Symfony</t>
    </r>
    <r>
      <rPr>
        <sz val="10"/>
        <rFont val="Calibri"/>
        <family val="2"/>
        <charset val="2"/>
        <scheme val="minor"/>
      </rPr>
      <t xml:space="preserve">
   Utilisation de la console avec Symfony 3, Comprendre l’interprétation des scripts en mode CLI, Interprétation du bundle créé
</t>
    </r>
    <r>
      <rPr>
        <sz val="10"/>
        <rFont val="Wingdings"/>
        <charset val="2"/>
      </rPr>
      <t></t>
    </r>
    <r>
      <rPr>
        <b/>
        <sz val="10"/>
        <rFont val="Calibri"/>
        <family val="2"/>
        <scheme val="minor"/>
      </rPr>
      <t>Configuration d’un projet dans un environnement de développement particulier:</t>
    </r>
    <r>
      <rPr>
        <sz val="10"/>
        <rFont val="Calibri"/>
        <family val="2"/>
        <charset val="2"/>
        <scheme val="minor"/>
      </rPr>
      <t xml:space="preserve">
   Les environnements de développement disponible avec SF, Maitriser le Profiler et le  Debug,  Toolbar, Comprendre Les fichiers de configurations : Les types de fichiers de configurations : Yaml, XML, PHP et annotation. 
</t>
    </r>
    <r>
      <rPr>
        <sz val="10"/>
        <rFont val="Wingdings"/>
        <charset val="2"/>
      </rPr>
      <t></t>
    </r>
    <r>
      <rPr>
        <b/>
        <sz val="10"/>
        <rFont val="Calibri"/>
        <family val="2"/>
        <scheme val="minor"/>
      </rPr>
      <t>Créer des pages:</t>
    </r>
    <r>
      <rPr>
        <sz val="10"/>
        <rFont val="Calibri"/>
        <family val="2"/>
        <charset val="2"/>
        <scheme val="minor"/>
      </rPr>
      <t xml:space="preserve">
   Comprendre le rôle du contrôleur, Créer ses propres contrôleurs, Choisir et implémenter ses propres url, Manipuler la technique du routage avec Symfony, définition des routes, routes paramétrées, test des routes créées, Gérer les urls avec  des paramètres,  Travailler avec l’objet  Request, Envoyer une réponse, L’objet Response, Redirections
</t>
    </r>
    <r>
      <rPr>
        <sz val="10"/>
        <rFont val="Wingdings"/>
        <charset val="2"/>
      </rPr>
      <t></t>
    </r>
    <r>
      <rPr>
        <b/>
        <sz val="10"/>
        <rFont val="Calibri"/>
        <family val="2"/>
        <scheme val="minor"/>
      </rPr>
      <t xml:space="preserve">La gestion des  vues avec Twig:   </t>
    </r>
    <r>
      <rPr>
        <sz val="10"/>
        <rFont val="Calibri"/>
        <family val="2"/>
        <charset val="2"/>
        <scheme val="minor"/>
      </rPr>
      <t xml:space="preserve">Présentation du moteur Twig, La manipulation des variables avec Twig, Création d’un layout avec Twig, Définir un layout (héritage, block et inclusion) 
</t>
    </r>
    <r>
      <rPr>
        <sz val="10"/>
        <rFont val="Wingdings"/>
        <charset val="2"/>
      </rPr>
      <t></t>
    </r>
    <r>
      <rPr>
        <b/>
        <sz val="10"/>
        <rFont val="Calibri"/>
        <family val="2"/>
        <scheme val="minor"/>
      </rPr>
      <t>La gestion des modèles : notion d’ORM et Doctrine</t>
    </r>
    <r>
      <rPr>
        <sz val="10"/>
        <rFont val="Calibri"/>
        <family val="2"/>
        <charset val="2"/>
        <scheme val="minor"/>
      </rPr>
      <t xml:space="preserve">
   Présentation un ORM, et de ses objectifs, Présentation de Doctrine, Création d’un modèle,  Configuration de SF pour utiliser une base de données, Synchronisation du schéma avec la   base,  Définitions des relations., Mappage des entités dans les deux sens, Recherches et   requêtes.
</t>
    </r>
    <r>
      <rPr>
        <sz val="10"/>
        <rFont val="Wingdings"/>
        <charset val="2"/>
      </rPr>
      <t></t>
    </r>
    <r>
      <rPr>
        <b/>
        <sz val="10"/>
        <rFont val="Calibri"/>
        <family val="2"/>
        <scheme val="minor"/>
      </rPr>
      <t xml:space="preserve">Les formulaires:  </t>
    </r>
    <r>
      <rPr>
        <sz val="10"/>
        <rFont val="Calibri"/>
        <family val="2"/>
        <charset val="2"/>
        <scheme val="minor"/>
      </rPr>
      <t xml:space="preserve"> Présentation du composant Form., La création des formulaires, Gestion de l’affichage, La  Validation des données, Traitements de la soumission, Afficher des informations avec les   messages flash
</t>
    </r>
    <r>
      <rPr>
        <sz val="10"/>
        <rFont val="Wingdings"/>
        <charset val="2"/>
      </rPr>
      <t></t>
    </r>
    <r>
      <rPr>
        <b/>
        <sz val="10"/>
        <rFont val="Calibri"/>
        <family val="2"/>
        <scheme val="minor"/>
      </rPr>
      <t xml:space="preserve">Utilisation d’un bundle existant : FOSUserBundle: </t>
    </r>
    <r>
      <rPr>
        <sz val="10"/>
        <rFont val="Calibri"/>
        <family val="2"/>
        <charset val="2"/>
        <scheme val="minor"/>
      </rPr>
      <t>Installer un bundle tiers, Téléchargement, configuration et test d’un bundle Tiers : FOSUserBundle, Le contrôle d’accès, Gestion des droits, Configuration de la sécurité.</t>
    </r>
  </si>
  <si>
    <t xml:space="preserve">Cette matière requiert que l'étudiant ait suivi : développement côté serveur (PHP), Base de données, Programmation Objet , HTML5, CSS3
</t>
  </si>
  <si>
    <t>- Développez votre site web avec le framework Symfony 3 :  Alexandre Bacco    : 13 octobre 2016
- Développer avec Symfony 2 : Le plus populaire des frameworks PHP :  Clément Camin :  20 août 2015
- Mastering Symfony Format Kindle :  Sohail Salehi : 2015</t>
  </si>
  <si>
    <t xml:space="preserve">• faire des modélisations Objet 
• gérer un projet en utilisant la méthodologie agile
</t>
  </si>
  <si>
    <t xml:space="preserve">• faire des modélisations Objet en utilisant UML2,
• gérer un projet en utilisant la méthodologie SCRUM
</t>
  </si>
  <si>
    <t xml:space="preserve"> Scrum, agile, uml2, modèle</t>
  </si>
  <si>
    <t xml:space="preserve">Modéliser un système avant sa réalisation
Maîtriser la démarche de modélisation
Gérez votre projet informatique facilement !
</t>
  </si>
  <si>
    <t>Maîtriser la démarche de modélisation</t>
  </si>
  <si>
    <t>Gérez votre projet informatique facilement</t>
  </si>
  <si>
    <t>Support de T.D.</t>
  </si>
  <si>
    <t>vidéo-projecteur</t>
  </si>
  <si>
    <t xml:space="preserve">[1] https://laurent-audibert.developpez.com/Cours-UML/
[2] UML 2 :De l'apprentissage à la pratique, Laurent Audibert, https://laurent-audibert.developpez.com/Cours-UML/?page=avant-propos
 [3] https://openclassrooms.com/courses/gerez-votre-projet-informatique-facilement 
</t>
  </si>
  <si>
    <t>Il s'agit d'un projet d'intégration, en groupe, visant à concevoir et réaliser des applications web|multimédias, avec le contenu et la tuauterie nécessaire.</t>
  </si>
  <si>
    <t xml:space="preserve">les étudiants participent:
à la réalisation d'un projet d'envergure en équipe
à la mise en place de l'organaisation du projet
à la conception et la mise en scène de la communication
à la rélaisation des composantes du projet
à la communication (marketing) autour du projet
</t>
  </si>
  <si>
    <t>Test, integration Projet pratique, projet tutoré, application intégrée, travail collaboratif, validation, cycle de vie</t>
  </si>
  <si>
    <t>Tutorat et coaching durant les séances.</t>
  </si>
  <si>
    <t>tous les modules des semestres précedents</t>
  </si>
  <si>
    <t>Descriptif de module : Projet d'intégration II, http://gaps.heig-vd.ch/public/fiches/mv/mv.php?id=1130&amp;plan=479
Les Standards du CDIO (Conceive Design Implement Operate). Disponible: www.cdio.org</t>
  </si>
  <si>
    <t>S5</t>
  </si>
  <si>
    <t>Ce cours vise à doter l’apprenant des compétences théoriques et pratiques nécessaires permettant de
réaliser des applications spécifiques à la Réalité-Virtuelle (RV) et à la Réalité-Augmentée (RA) dans
différents domaines.</t>
  </si>
  <si>
    <t>Dresser un panorama des applications, outils et bibliothèques de réalité-virtuelle et de réalitéaugmentée,
Acquérir les fondements théoriques des différentes étapes des chaines de production de la réalitévirtuelle et de la réalité-augmentée,
Produire une application de réalité-virtuelle ou de réalité-augmentée
Produire une application de réalité-virtuelle ou de réalité-augmentée</t>
  </si>
  <si>
    <t>Réalité-Virtuelle, Réalité-Augmentée, Unity, casque de RV, boite à outils de RV, boite à outils de RA,
Artoolkit, Vuforia, augmentation, Kinect, OpenCV, etc.</t>
  </si>
  <si>
    <t>Développement des compétences en programmation</t>
  </si>
  <si>
    <t>veille technologique</t>
  </si>
  <si>
    <t>innovation</t>
  </si>
  <si>
    <t xml:space="preserve">Outils: </t>
  </si>
  <si>
    <t>Unity, Vuforia, Google-VR, navigateur ARAF, ALPS-VR, ARtoolkit, OpenCV, etc.</t>
  </si>
  <si>
    <t xml:space="preserve">Cette matière requiert que l'étudiant ait suivi: U.E. : Programmation graphique 2D et 3D, U.E. : Développement Web  et édition multimédia
</t>
  </si>
  <si>
    <t>Cet atelier permettra de manipuler les sources de projets de Réalité-Virtuelle (RV) et de Réalité-Augmentée
(RA). L’étudiant pourra maitriser les outils permettant la création de ses propres solutions de RV et de RA.</t>
  </si>
  <si>
    <t>Manipuler des bibliothèques adaptées, modifier et produire des codes sources permettant de:
· Produire des applications de RV,
· Produire des applications de RA.</t>
  </si>
  <si>
    <t>Unity, Réalité Virtuelle, casque de RV, boite à outil de RV, Réalité Augmentée, Artoolkit, Vuforia,
modélisation 3D, Kinect, OpenCV, etc.</t>
  </si>
  <si>
    <t>Fascicules des ateliers contenant les consignes et les codes sources d’application</t>
  </si>
  <si>
    <t>vidéos de formation</t>
  </si>
  <si>
    <t>Installeurs des bibliothèques</t>
  </si>
  <si>
    <t>Cet atelier requiert que l'étudiant ait suivi: U.E. : Programmation graphique 2D et 3D, U.E. : Développement Web  et édition multimédia</t>
  </si>
  <si>
    <t>Atelier Programmation 
Multimédia 3D</t>
  </si>
  <si>
    <t>Cet atelier permettra d'apprendre la programmation graphique 3D en utilisant une bibliothèque de graphique 3D. Dans cet atelier, l'étudiant pourra maitriser le dessin et l'animation 3D ainsi que la configuration de la scène 3D (caméra et éclairage). L'étudiant pourra également apprendre à interragir avec une application 3D.</t>
  </si>
  <si>
    <t>Bibliothèque 3D, dessin 3D, projection, transformations, matériaux, textures, éclairage, animation, interaction</t>
  </si>
  <si>
    <t>Dessin et animation 3D</t>
  </si>
  <si>
    <t>Bibliothèque graphique 3D:</t>
  </si>
  <si>
    <t>OpenGL, Java3D, PyOpenGL, etc.</t>
  </si>
  <si>
    <t>Langage de programmation:</t>
  </si>
  <si>
    <t>C++, Java, Python, etc.</t>
  </si>
  <si>
    <t>Codes sources exemples</t>
  </si>
  <si>
    <t>Documentation de la bibliothèque</t>
  </si>
  <si>
    <r>
      <rPr>
        <sz val="12"/>
        <rFont val="Wingdings"/>
        <charset val="2"/>
      </rPr>
      <t></t>
    </r>
    <r>
      <rPr>
        <sz val="12"/>
        <rFont val="Calibri"/>
        <family val="2"/>
        <scheme val="minor"/>
      </rPr>
      <t xml:space="preserve">   Introduction au Développement d’Applications Mobiles et ANDROID: les verisions, 
      architecture, structure d'un projet andoid, fichier manifest, machine virtuelle Dalvik / JIT.
</t>
    </r>
    <r>
      <rPr>
        <sz val="12"/>
        <rFont val="Wingdings"/>
        <charset val="2"/>
      </rPr>
      <t></t>
    </r>
    <r>
      <rPr>
        <sz val="12"/>
        <rFont val="Calibri"/>
        <family val="2"/>
        <scheme val="minor"/>
      </rPr>
      <t xml:space="preserve">    Éléments Graphiques Android : Notion de ressources , la classe R, les types de Layouts,  
       Adaptateurs, Fragments, RecyclerView, les menus, les thémes, les boites de dialogues,
       les événements.
</t>
    </r>
    <r>
      <rPr>
        <sz val="12"/>
        <rFont val="Wingdings"/>
        <charset val="2"/>
      </rPr>
      <t></t>
    </r>
    <r>
      <rPr>
        <sz val="10.45"/>
        <rFont val="Calibri"/>
        <family val="2"/>
      </rPr>
      <t xml:space="preserve">    </t>
    </r>
    <r>
      <rPr>
        <sz val="12"/>
        <rFont val="Calibri"/>
        <family val="2"/>
        <scheme val="minor"/>
      </rPr>
      <t xml:space="preserve">Intents et activités : Gestion des activités, cycle de vie, l'état d'une activité, les  intents
      implicites et explicites, les broadcast, les permissions. 
</t>
    </r>
    <r>
      <rPr>
        <sz val="12"/>
        <rFont val="Wingdings"/>
        <charset val="2"/>
      </rPr>
      <t xml:space="preserve"> </t>
    </r>
    <r>
      <rPr>
        <sz val="12"/>
        <rFont val="Calibri"/>
        <family val="2"/>
        <scheme val="minor"/>
      </rPr>
      <t xml:space="preserve">Stockage des données : Shared Preferences, Stockage Interne , Stockage Externe carte 
       sd , Bases   de Données SQLite.
</t>
    </r>
    <r>
      <rPr>
        <sz val="12"/>
        <rFont val="Wingdings"/>
        <charset val="2"/>
      </rPr>
      <t xml:space="preserve"> </t>
    </r>
    <r>
      <rPr>
        <sz val="12"/>
        <rFont val="Calibri"/>
        <family val="2"/>
        <scheme val="minor"/>
      </rPr>
      <t xml:space="preserve">Services, Broadcast Receivers, Content Providers ,Threads
</t>
    </r>
    <r>
      <rPr>
        <sz val="12"/>
        <rFont val="Wingdings"/>
        <charset val="2"/>
      </rPr>
      <t xml:space="preserve"> </t>
    </r>
    <r>
      <rPr>
        <sz val="12"/>
        <rFont val="Calibri"/>
        <family val="2"/>
        <scheme val="minor"/>
      </rPr>
      <t xml:space="preserve">Gestion de la connectivité: Wifi ,GSM/3G, utilisation des différents capteurs, procédure 
       d'utilisation de la géolocalisation.  
</t>
    </r>
    <r>
      <rPr>
        <sz val="12"/>
        <rFont val="Wingdings"/>
        <charset val="2"/>
      </rPr>
      <t xml:space="preserve"> </t>
    </r>
    <r>
      <rPr>
        <sz val="12"/>
        <rFont val="Calibri"/>
        <family val="2"/>
        <scheme val="minor"/>
      </rPr>
      <t xml:space="preserve">Accés web services: mécanisme diponible et API , client http, exploitation d'un flus JSON.
</t>
    </r>
    <r>
      <rPr>
        <sz val="12"/>
        <rFont val="Wingdings"/>
        <charset val="2"/>
      </rPr>
      <t xml:space="preserve"> </t>
    </r>
    <r>
      <rPr>
        <sz val="12"/>
        <rFont val="Calibri"/>
        <family val="2"/>
        <scheme val="minor"/>
      </rPr>
      <t>Déploiement d'une application Android:  signature d'une application, les étapes à suivre,
        la monétisation d’un projet android</t>
    </r>
  </si>
  <si>
    <t>À l'issue de ce cours, l'étudiant sera en mesure de développer des applications mobiles natives dans des environnements mobiles modernes. Le choix de la plateforme (Android, iOS, …) revient à l’équipe enseignante de chaque ISET. On présente dans la suite un plan spécifique à Android.</t>
  </si>
  <si>
    <t>Android Studio, SDK, API, DDMS, AVD,smartphone, SQLite, Google Play, XML</t>
  </si>
  <si>
    <r>
      <rPr>
        <b/>
        <sz val="12"/>
        <rFont val="Wingdings"/>
        <charset val="2"/>
      </rPr>
      <t></t>
    </r>
    <r>
      <rPr>
        <b/>
        <sz val="12"/>
        <rFont val="Calibri"/>
        <family val="2"/>
        <scheme val="minor"/>
      </rPr>
      <t>Atelier 1</t>
    </r>
    <r>
      <rPr>
        <sz val="12"/>
        <rFont val="Calibri"/>
        <family val="2"/>
        <charset val="2"/>
        <scheme val="minor"/>
      </rPr>
      <t xml:space="preserve"> :Installation et prise en main d’Android Studio: </t>
    </r>
    <r>
      <rPr>
        <sz val="12"/>
        <rFont val="Calibri"/>
        <family val="2"/>
        <scheme val="minor"/>
      </rPr>
      <t xml:space="preserve">Ma premiére application android
</t>
    </r>
    <r>
      <rPr>
        <b/>
        <sz val="12"/>
        <rFont val="Wingdings"/>
        <charset val="2"/>
      </rPr>
      <t></t>
    </r>
    <r>
      <rPr>
        <b/>
        <sz val="12"/>
        <rFont val="Calibri"/>
        <family val="2"/>
        <charset val="2"/>
        <scheme val="minor"/>
      </rPr>
      <t>Atelier 2</t>
    </r>
    <r>
      <rPr>
        <sz val="12"/>
        <rFont val="Calibri"/>
        <family val="2"/>
        <charset val="2"/>
        <scheme val="minor"/>
      </rPr>
      <t xml:space="preserve"> : Découverte des ressources, layouts et vues
</t>
    </r>
    <r>
      <rPr>
        <b/>
        <sz val="12"/>
        <rFont val="Wingdings"/>
        <charset val="2"/>
      </rPr>
      <t></t>
    </r>
    <r>
      <rPr>
        <b/>
        <sz val="10.45"/>
        <rFont val="Calibri"/>
        <family val="2"/>
      </rPr>
      <t>A</t>
    </r>
    <r>
      <rPr>
        <b/>
        <sz val="12"/>
        <rFont val="Calibri"/>
        <family val="2"/>
        <scheme val="minor"/>
      </rPr>
      <t>telier 3 :</t>
    </r>
    <r>
      <rPr>
        <sz val="12"/>
        <rFont val="Calibri"/>
        <family val="2"/>
        <charset val="2"/>
        <scheme val="minor"/>
      </rPr>
      <t xml:space="preserve"> Layouts et gestion des activités:</t>
    </r>
    <r>
      <rPr>
        <sz val="12"/>
        <rFont val="Calibri"/>
        <family val="2"/>
        <scheme val="minor"/>
      </rPr>
      <t xml:space="preserve"> intégration d'un menu, rotation , changement de langue</t>
    </r>
    <r>
      <rPr>
        <sz val="12"/>
        <rFont val="Calibri"/>
        <family val="2"/>
        <charset val="2"/>
        <scheme val="minor"/>
      </rPr>
      <t xml:space="preserve">
</t>
    </r>
    <r>
      <rPr>
        <sz val="12"/>
        <rFont val="Wingdings"/>
        <charset val="2"/>
      </rPr>
      <t></t>
    </r>
    <r>
      <rPr>
        <b/>
        <sz val="12"/>
        <rFont val="Calibri"/>
        <family val="2"/>
        <scheme val="minor"/>
      </rPr>
      <t>Atelier 4 :</t>
    </r>
    <r>
      <rPr>
        <sz val="12"/>
        <rFont val="Calibri"/>
        <family val="2"/>
        <charset val="2"/>
        <scheme val="minor"/>
      </rPr>
      <t xml:space="preserve"> Fragments
</t>
    </r>
    <r>
      <rPr>
        <sz val="12"/>
        <rFont val="Wingdings"/>
        <charset val="2"/>
      </rPr>
      <t></t>
    </r>
    <r>
      <rPr>
        <b/>
        <sz val="12"/>
        <rFont val="Calibri"/>
        <family val="2"/>
        <scheme val="minor"/>
      </rPr>
      <t>Atelier 5 :</t>
    </r>
    <r>
      <rPr>
        <sz val="12"/>
        <rFont val="Calibri"/>
        <family val="2"/>
        <charset val="2"/>
        <scheme val="minor"/>
      </rPr>
      <t xml:space="preserve"> Persistance des données :</t>
    </r>
    <r>
      <rPr>
        <sz val="12"/>
        <rFont val="Calibri"/>
        <family val="2"/>
        <scheme val="minor"/>
      </rPr>
      <t xml:space="preserve"> Sharedpreferences, SQLite</t>
    </r>
    <r>
      <rPr>
        <sz val="12"/>
        <rFont val="Calibri"/>
        <family val="2"/>
        <charset val="2"/>
        <scheme val="minor"/>
      </rPr>
      <t xml:space="preserve">
</t>
    </r>
    <r>
      <rPr>
        <sz val="12"/>
        <rFont val="Wingdings"/>
        <charset val="2"/>
      </rPr>
      <t></t>
    </r>
    <r>
      <rPr>
        <b/>
        <sz val="12"/>
        <rFont val="Calibri"/>
        <family val="2"/>
        <scheme val="minor"/>
      </rPr>
      <t>Atelier 6 :</t>
    </r>
    <r>
      <rPr>
        <sz val="12"/>
        <rFont val="Calibri"/>
        <family val="2"/>
        <charset val="2"/>
        <scheme val="minor"/>
      </rPr>
      <t xml:space="preserve"> Webservices: </t>
    </r>
    <r>
      <rPr>
        <sz val="12"/>
        <rFont val="Calibri"/>
        <family val="2"/>
        <scheme val="minor"/>
      </rPr>
      <t>utilsation de l'API Volley</t>
    </r>
    <r>
      <rPr>
        <sz val="12"/>
        <rFont val="Calibri"/>
        <family val="2"/>
        <charset val="2"/>
        <scheme val="minor"/>
      </rPr>
      <t xml:space="preserve">
</t>
    </r>
    <r>
      <rPr>
        <sz val="12"/>
        <rFont val="Wingdings"/>
        <charset val="2"/>
      </rPr>
      <t></t>
    </r>
    <r>
      <rPr>
        <b/>
        <sz val="12"/>
        <rFont val="Calibri"/>
        <family val="2"/>
        <scheme val="minor"/>
      </rPr>
      <t>Atelier 7 :</t>
    </r>
    <r>
      <rPr>
        <sz val="12"/>
        <rFont val="Calibri"/>
        <family val="2"/>
        <charset val="2"/>
        <scheme val="minor"/>
      </rPr>
      <t xml:space="preserve"> Cartes et géolocatisation: </t>
    </r>
    <r>
      <rPr>
        <sz val="12"/>
        <rFont val="Calibri"/>
        <family val="2"/>
        <scheme val="minor"/>
      </rPr>
      <t>affichage d'une map avec posiblité d'ajouter un marquer</t>
    </r>
    <r>
      <rPr>
        <sz val="12"/>
        <rFont val="Calibri"/>
        <family val="2"/>
        <charset val="2"/>
        <scheme val="minor"/>
      </rPr>
      <t xml:space="preserve">
</t>
    </r>
    <r>
      <rPr>
        <sz val="12"/>
        <rFont val="Wingdings"/>
        <charset val="2"/>
      </rPr>
      <t></t>
    </r>
    <r>
      <rPr>
        <b/>
        <sz val="12"/>
        <rFont val="Calibri"/>
        <family val="2"/>
        <scheme val="minor"/>
      </rPr>
      <t>Atelier 8 :</t>
    </r>
    <r>
      <rPr>
        <sz val="12"/>
        <rFont val="Calibri"/>
        <family val="2"/>
        <charset val="2"/>
        <scheme val="minor"/>
      </rPr>
      <t xml:space="preserve"> Projet personnel
</t>
    </r>
  </si>
  <si>
    <t>Remarque:
Le volume horaire alloué pour l'atelier n'est pas suffisant pour pouvoir exploiter la puissance de l'os Android. Le manque peut etre comblé dans l'UE Optionnelle.</t>
  </si>
  <si>
    <t xml:space="preserve">Partie #1 – UML2 [1,2]
• 1. Chapitre 1 Introduction à la modélisation objet
 1-1. Le génie logiciel
 1-2. Modélisation, cycles de vie et méthodes
 1-3. De la programmation structurée à l'approche orientée objet
 1-4. UML
 1-4-1. Introduction
 1-4-2. Histoire des modélisations par objets
 1-4-3. UML en œuvre
 1-4-3-a. Diagramme de cas d'utilisation
 1-4-3-b. Diagramme de classes
 1-4-3-c. Diagramme d'objets
 1-4-3-d. Diagramme d'états-transitions
 1-4-3-e. Diagramme d'activités
 1-4-3-f. Diagramme de séquence et de communication
 1-4-4. Comment présenter un modèle UML ?
• Chapitre 2 Diagramme de cas d'utilisation (Use Case Diagram)
 2-2. Éléments des diagrammes de cas d'utilisation 
 2-2-1. Acteur
 2-2-2. Cas d'utilisation
 2-2-3. Représentation d'un diagramme de cas d'utilisation
 2-3. Relations dans les diagrammes de cas d'utilisation
 2-4. Notions générales du langage UML
 2-5. Modélisation des besoins avec UML
• Chapitre 3 Diagramme de classes (Class Diagram)
 3-1. Introduction
 3-2. Les classes
 3-3. Relations entre classes
 3-4. 3.4 Interfaces
 3-5. 3.5 Diagramme d'objets (object diagram)
</t>
  </si>
  <si>
    <t>2/Appliquez Scrum, la méthodologie la plus populaire
• Présentation
• Rôles
• Débuter un projet : sprint 0
3/Sprintez !
• De la fonctionnalité à la tâche
• Développer une story</t>
  </si>
  <si>
    <t xml:space="preserve"> 3-6. Élaboration et implémentation d'un diagramme de classes
• Chapitre 4 Langage de contraintes objet (Object Constraint Langage : OCL)
 4-1. Expression des contraintes en UML
 4-2. Intérêt d'OCL
 4-3. Typologie des contraintes OCL
 4-4. Types et opérations utilisables dans les expressions OCL
 4-5. Accès aux caractéristiques et aux objets
 4-6. Opérations sur les collections
 4-7. Exemples de contraintes
• Chapitre 5 Diagramme d'états-transitions (State machine diagram)
 5-1. Introduction au formalisme
 5-2. État
 5-3. Événement
 5-4. Transition
 5-5. Point de choix
 5-6. États composites
• Chapitre 6 Diagramme d'activités (Activity diagram)
 6-1. Introduction au formalisme
 6-2. Activité et Transition
 6-3. Nœud exécutable (executable node)
 6-4. Nœud de contrôle (control node)
 6-5. Nœud d'objet
 6-6. Partitions
 6-7. Exceptions
</t>
  </si>
  <si>
    <t xml:space="preserve">• Chapitre 7 Diagrammes d'interaction (Interaction diagram)
 7-1. Présentation du formalisme
 7-2. Diagramme de communication (Communication diagram)
 7-3. Diagramme de séquence (Sequence diagram)
• Chapitre 8 Diagrammes de composants (Component diagram) et Diagrammes de déploiement (Deployment diagram)
 8-1. Introduction
 8-2. Diagrammes de composants
 8-3. Diagramme de déploiement
• Chapitre 9 Mise en œuvre d'UML
 Introduction
 9-2. Identification des besoins
 9-3. Phases d'analyse
 9-4. Phase de conception
Partie #2 – Scrum[3]
1/Découvrez les origines des méthodologies agiles
• Un manifeste pour une nouvelle approche
• Les valeurs
• Les principes
• Les pratiques
• Les méthodes
    o Dynamic systems development methods (DSDM)
    o Feature Driven Development (FDD) 
    o Extreme Programming (XP) 
    o Scrum 
</t>
  </si>
  <si>
    <t>Concevoir, coordonner et réaliser une applicaton web-multimédias complète, en équipe, dans la logique d’une gestion de projet.</t>
  </si>
  <si>
    <r>
      <t xml:space="preserve">Réalisation en groupe d’un projet complet de développement d'une applications web|multimédias.
Lors de cette réalisation les étudiants doivent acquérir la capacité de synthèse en faisant appel à des connaissances fondamentales et transversales qui ont été acquises lors des semestres précédents.
Le contenu dépend du type du projet réalisé. A titre indicatif on peut proposer les phase suivanate tout en respectant la spécificité de chaque projet proposé : 
</t>
    </r>
    <r>
      <rPr>
        <b/>
        <sz val="12"/>
        <rFont val="Calibri"/>
        <family val="2"/>
        <scheme val="minor"/>
      </rPr>
      <t>Partie 1 : Cadrage</t>
    </r>
    <r>
      <rPr>
        <sz val="12"/>
        <rFont val="Calibri"/>
        <family val="2"/>
        <scheme val="minor"/>
      </rPr>
      <t xml:space="preserve">
Atelier 1 : Présentation des idées de projets, constitution des groupes ainsi que du chronogramme et de la méthode d'évaluation(voir recommandations pédagogiques)
Atelier 2 : Elaboration du cahier des charges, état de l’art et préparation d’une maquette du projet.
Atelier 3: Elaboration des diagrammes: cas d'utilisation + Description textuelle, Classes d'analyse.
</t>
    </r>
    <r>
      <rPr>
        <b/>
        <sz val="12"/>
        <rFont val="Calibri"/>
        <family val="2"/>
        <scheme val="minor"/>
      </rPr>
      <t>Partie 2 : Design</t>
    </r>
    <r>
      <rPr>
        <sz val="12"/>
        <rFont val="Calibri"/>
        <family val="2"/>
        <scheme val="minor"/>
      </rPr>
      <t xml:space="preserve">
Atelier 4 : Elaboration du diagramme de classes de conception, Elaboration des diagrammes de comportement: Séquence et/ou activité, Validation du choix de l'architecture logicielle.
</t>
    </r>
    <r>
      <rPr>
        <b/>
        <sz val="12"/>
        <rFont val="Calibri"/>
        <family val="2"/>
        <scheme val="minor"/>
      </rPr>
      <t>Partie 3 : Construction</t>
    </r>
    <r>
      <rPr>
        <sz val="12"/>
        <rFont val="Calibri"/>
        <family val="2"/>
        <scheme val="minor"/>
      </rPr>
      <t xml:space="preserve">
Atelier 6 : Mise en place du socle technique: IDE, plugin, compte git/svn, outil de communication, outil de suivi d'avancement, planification avec GANTT
Atelier 5: Implémentation de la base de données, Elaboration de la couche Métier (Business Layer), Elaboration de la couche d'accès aux données(Data Access Layer).
Ateliers 6, 7, 8, 9, 10: Implémentation des vues, des contrôleurs et des fonctionnalités en prenant en considération les tests (JUnit, Unit Test).
</t>
    </r>
    <r>
      <rPr>
        <b/>
        <sz val="12"/>
        <rFont val="Calibri"/>
        <family val="2"/>
        <scheme val="minor"/>
      </rPr>
      <t>Partie 4 : Finalisation</t>
    </r>
    <r>
      <rPr>
        <sz val="12"/>
        <rFont val="Calibri"/>
        <family val="2"/>
        <scheme val="minor"/>
      </rPr>
      <t xml:space="preserve">
Ateliers 11, 12: Préparation du manuel d’utilisation ou du tutoriel d’utilisation.
Ateliers 13, 14: Préparation de la présentation et du speech.</t>
    </r>
  </si>
  <si>
    <r>
      <t xml:space="preserve">Une première partie introductive du cours permettra de présenter rapidement la RV et la RA. L’ordre des chapitres d’approfondissement est préférentiel.
</t>
    </r>
    <r>
      <rPr>
        <b/>
        <sz val="10"/>
        <rFont val="Calibri"/>
        <family val="2"/>
        <scheme val="minor"/>
      </rPr>
      <t>Partie I : Introduction à la RV et à la RA</t>
    </r>
    <r>
      <rPr>
        <sz val="10"/>
        <rFont val="Calibri"/>
        <family val="2"/>
        <scheme val="minor"/>
      </rPr>
      <t xml:space="preserve">
1- Introduction à la Réalité-Virtuelle :
o Définitions, historiques et démonstration d’applications multidisciplinaires de RV,
o Contraintes et évolution des technologies d’affichage (casques, smartphones, etc.)
2- Introduction à la Réalité-Augmentée :
o Définitions, historiques et démonstration d’applications multidisciplinaires de RA,
o Contraintes (cohérence caméra, photométrique et de vitesse) et perspectives,                                                                 
</t>
    </r>
    <r>
      <rPr>
        <b/>
        <sz val="10"/>
        <rFont val="Calibri"/>
        <family val="2"/>
        <scheme val="minor"/>
      </rPr>
      <t>Partie 2 : La Réalité-Augmentée : Fondements et outils de production</t>
    </r>
    <r>
      <rPr>
        <sz val="10"/>
        <rFont val="Calibri"/>
        <family val="2"/>
        <scheme val="minor"/>
      </rPr>
      <t xml:space="preserve">
3- Fondements théoriques de la RA: [Bib2-5] [Net1]
o Différentes étapes de la chaine d’application de l’augmentation,
o Transformations géométriques 3D,
o Modèles caméra et paramètres de calibration,
o Application sous OpenCV (estimation de pose, calibration de caméra, etc.) [Net4-9]
4- Outils de production de RA: [Bib2-5] [Net1]
o Présentation et comparaison des boites à outils de RA (Artoolkit, Vuforia, navigateur
ARAF, etc.)
o Configuration et fonctionnalités du navigateur ARAF,
o Configuration et services offerts par la bibliothèque Vuforia sous Unity,
o Déploiement d’une solution RA sur smartphones (avec/sans gyroscope) [Net6-8]
5- Techniques avancées de RA et interaction utilisateur: [Bib2-5] [Net1]
o Augmentation basée sur la géolocalisation,
o Contenus multimédias intégrés dans la RA (marqueurs, images 2D, modèles 3D, etc.),
o Mise à jour (Update) et interactivité du contenu de RA. [Net6-8]
</t>
    </r>
    <r>
      <rPr>
        <b/>
        <sz val="10"/>
        <rFont val="Calibri"/>
        <family val="2"/>
        <scheme val="minor"/>
      </rPr>
      <t>Partie 3 : La Réalité-Virtuelle : Fondements et outils de production</t>
    </r>
    <r>
      <rPr>
        <sz val="10"/>
        <rFont val="Calibri"/>
        <family val="2"/>
        <scheme val="minor"/>
      </rPr>
      <t xml:space="preserve">
6- Fondements théoriques de la RV: [Bib1-3-4] [Net2-3]
o Vision binoculaire, triangulation et dispositifs d’affichage (optiques, écrans, etc.),
o Modèle de caméra en vision stéréo,
o Application sous OpenCV (géométrie épi-polaire, carte de profondeur, etc.) [Net4-9]
</t>
    </r>
  </si>
  <si>
    <t>7- Outils de production de RV: [Bib1-3-4] [Net2-3]
o Boites à outils pour la RV (Google-VR, ALPS-VR, Unity-VR, etc.) [Net7]
o La réalité virtuelle sous l’outil Unity-3D,
o Interaction et déploiement sur mobile (Android, iOS ou Windows Phone),
8- Technique avancées de RV et interaction avec capteurs: [Bib1-3-4] [Net2-3]
o Description des équipements d’interaction en RV (Kinect, Souris 3D, gants, etc.),
o Interaction avec capteur pour l’actualisation du contenu de l’expérience de RV.</t>
  </si>
  <si>
    <r>
      <rPr>
        <b/>
        <sz val="12"/>
        <rFont val="Calibri"/>
        <family val="2"/>
        <scheme val="minor"/>
      </rPr>
      <t>Bibliographie</t>
    </r>
    <r>
      <rPr>
        <sz val="12"/>
        <rFont val="Calibri"/>
        <family val="2"/>
        <scheme val="minor"/>
      </rPr>
      <t xml:space="preserve">
[Bib1] A. Cardinale: "Développer des applis innovantes avec Unity - I. Réalité virtuelle", D-BookeR, Mars
2017
[Bib2] A. Cardinale: "Développer des applis innovantes avec Unity - II. Réalité augmentée", D-BookeR,
Mars 2017
[Bib3] P. Fuchs: "Le traité de la réalité virtuelle - Volume1, 2, 3 et 4", Presses des MINES, 2006
[Bib4] S. Vardouli: "De la réalité virtuelle à la réalité augmentée: les nouveaux horizons du champs
urbanistique", 2008
[Bib5] J. Gobert et N. Renous : "Réalité Augmentée à l’Ensicaen", ENSICAEN, 2011
</t>
    </r>
    <r>
      <rPr>
        <b/>
        <sz val="12"/>
        <rFont val="Calibri"/>
        <family val="2"/>
        <scheme val="minor"/>
      </rPr>
      <t>Netographie</t>
    </r>
    <r>
      <rPr>
        <sz val="12"/>
        <rFont val="Calibri"/>
        <family val="2"/>
        <scheme val="minor"/>
      </rPr>
      <t xml:space="preserve">
[Net1] Parcours d’initiation au développement de RA :                                                                                                                        https://www.coursera.org/learn/augmented-reality
[Net2] Parcours pour devenir développeur de VR :
https://www.udacity.com/course/vr-developer-nanodegree--nd017
[Net3] Réalité-Virtuelle/Augmentée sous Windows :
https://mva.microsoft.com/en-US/training-courses/creating-virtual-and-augmented-reality-appson-
the-windows-platform-16141
[Net4] Vision par ordinateur avec OpenCV :
http://docs.opencv.org/3.2.0/d9/db7/tutorial_py_table_of_contents_calib3d.html
[Net5] Usage de la réalité virtuelle sous Unity
https://unity3d.com/fr/learn/tutorials/topics/virtual-reality
[Net6] Librairie Artoolkit de RA: https://artoolkit.org/documentation/
[Net7] Google-VR SDK : https://developers.google.com/vr/
[Net8] Le navigateur ARAF : http://www.mymultimediaworld.com/software/binaries/
[Net9] Modèle caméra :
http://www.optique-ingenieur.org/fr/cours/OPI_fr_M04_C01/co/Grain_OPI_fr_M04_C01.html</t>
    </r>
  </si>
  <si>
    <r>
      <t xml:space="preserve">Sont présentés ci-dessous six ateliers de prise-en-mains et deux ateliers (4 et 8) destinés à développer des
solutions personnalisées proposées par les étudiants. L’ordre des ateliers est à varier selon la préférence
pour couvrir rapidement les outils utilisés sous RA et RV :
</t>
    </r>
    <r>
      <rPr>
        <b/>
        <sz val="12"/>
        <rFont val="Calibri"/>
        <family val="2"/>
        <scheme val="minor"/>
      </rPr>
      <t>Ateliers de Réalité-Augmentée :</t>
    </r>
    <r>
      <rPr>
        <sz val="12"/>
        <rFont val="Calibri"/>
        <family val="2"/>
        <scheme val="minor"/>
      </rPr>
      <t xml:space="preserve">
·</t>
    </r>
    <r>
      <rPr>
        <b/>
        <sz val="12"/>
        <rFont val="Calibri"/>
        <family val="2"/>
        <scheme val="minor"/>
      </rPr>
      <t xml:space="preserve"> Atelier 1 :</t>
    </r>
    <r>
      <rPr>
        <sz val="12"/>
        <rFont val="Calibri"/>
        <family val="2"/>
        <scheme val="minor"/>
      </rPr>
      <t xml:space="preserve"> Augmentation des livres par du contenu multimédia [Net2]
o Usage du navigateur ARAF sur mobile, [Net9]
o Personnalisation : Remplacement du son par de la vidéo,
o Création de son propre livre augmenté.
</t>
    </r>
    <r>
      <rPr>
        <b/>
        <sz val="12"/>
        <rFont val="Calibri"/>
        <family val="2"/>
        <scheme val="minor"/>
      </rPr>
      <t>· Atelier 2 :</t>
    </r>
    <r>
      <rPr>
        <sz val="12"/>
        <rFont val="Calibri"/>
        <family val="2"/>
        <scheme val="minor"/>
      </rPr>
      <t xml:space="preserve"> Augmentation de cartes (Maps) de villes [Net2]
o Installation de la librairie Vuforia [Net8],
o Augmentation de la carte par des images 2D et modèles 3D.
</t>
    </r>
    <r>
      <rPr>
        <b/>
        <sz val="12"/>
        <rFont val="Calibri"/>
        <family val="2"/>
        <scheme val="minor"/>
      </rPr>
      <t>· Atelier 3 :</t>
    </r>
    <r>
      <rPr>
        <sz val="12"/>
        <rFont val="Calibri"/>
        <family val="2"/>
        <scheme val="minor"/>
      </rPr>
      <t xml:space="preserve"> Réalité augmentée en interaction avec la géolocalisation par un jeu de QUIZ [Net2]
o Géolocalisation avec le navigateur ARAF,o Interaction utilisateur avec la géolocalisation,
o Affichage d’un jeu QUIZ dont le contenu dépend de la géolocalisation.
</t>
    </r>
    <r>
      <rPr>
        <b/>
        <sz val="12"/>
        <rFont val="Calibri"/>
        <family val="2"/>
        <scheme val="minor"/>
      </rPr>
      <t xml:space="preserve">· Atelier 4 : </t>
    </r>
    <r>
      <rPr>
        <sz val="12"/>
        <rFont val="Calibri"/>
        <family val="2"/>
        <scheme val="minor"/>
      </rPr>
      <t xml:space="preserve">Réalisation d’un projet de RA personnel (individuel ou en groupe) [Bib2-5][Net5-6]
</t>
    </r>
    <r>
      <rPr>
        <b/>
        <sz val="12"/>
        <rFont val="Calibri"/>
        <family val="2"/>
        <scheme val="minor"/>
      </rPr>
      <t>Ateliers de Réalité-Virtuelle :</t>
    </r>
    <r>
      <rPr>
        <sz val="12"/>
        <rFont val="Calibri"/>
        <family val="2"/>
        <scheme val="minor"/>
      </rPr>
      <t xml:space="preserve">
</t>
    </r>
    <r>
      <rPr>
        <b/>
        <sz val="12"/>
        <rFont val="Calibri"/>
        <family val="2"/>
        <scheme val="minor"/>
      </rPr>
      <t>· Atelier 5 :</t>
    </r>
    <r>
      <rPr>
        <sz val="12"/>
        <rFont val="Calibri"/>
        <family val="2"/>
        <scheme val="minor"/>
      </rPr>
      <t xml:space="preserve"> Créer sa propre application basique de RV sous Unity [Net1]
o Initiation à l’environnement 3D de Unity,
o Interaction avec l’utilisateur en RV,
o Déploiement sur deux appareils mobiles (Android, iOS ou Windows Phone) avec et sans
gyroscope : Comparaison d’expérience sous un casque de RV.
</t>
    </r>
    <r>
      <rPr>
        <b/>
        <sz val="12"/>
        <rFont val="Calibri"/>
        <family val="2"/>
        <scheme val="minor"/>
      </rPr>
      <t xml:space="preserve">· Atelier 6 : </t>
    </r>
    <r>
      <rPr>
        <sz val="12"/>
        <rFont val="Calibri"/>
        <family val="2"/>
        <scheme val="minor"/>
      </rPr>
      <t xml:space="preserve">Interactions avancées avec l’utilisateur en RV sous Unity [Net1]
o Interaction avec interfaces et menus utilisateur,
o Interaction avec le mouvement de l’utilisateur,
o Optimisations pour la RV sous Unity.
</t>
    </r>
    <r>
      <rPr>
        <b/>
        <sz val="12"/>
        <rFont val="Calibri"/>
        <family val="2"/>
        <scheme val="minor"/>
      </rPr>
      <t/>
    </r>
  </si>
  <si>
    <t>· Atelier 7 : Création d’une application de VR avec une librairie libre [Net4-7]
o Test et personnalisation d’une solution de RV sous Google-VR/ALPS-VR et Unity,
o Interaction avec un capteur de mouvements (accéléromètres, gyroscopes, etc.) sous des
dispositifs tels que Kinect, smartphone, smart-watch, etc.
· Atelier 8 : Réalisation d’un projet de RV personnel (individuel ou en groupe) [Bib1-6] [Net3-5]</t>
  </si>
  <si>
    <r>
      <rPr>
        <b/>
        <sz val="12"/>
        <rFont val="Calibri"/>
        <family val="2"/>
        <scheme val="minor"/>
      </rPr>
      <t>Bibliographie</t>
    </r>
    <r>
      <rPr>
        <sz val="12"/>
        <rFont val="Calibri"/>
        <family val="2"/>
        <scheme val="minor"/>
      </rPr>
      <t xml:space="preserve">
[Bib1] A. Cardinale: "Développer des applis innovantes avec Unity - I. Réalité virtuelle", D-BookeR, Mars
2017
[Bib2] A. Cardinale: "Développer des applis innovantes avec Unity - II. Réalité augmentée", D-BookeR,
Mars 2017
[Bib3] P. Fuchs: "Le traité de la réalité virtuelle - Volume1, 2, 3 et 4", Presses des MINES, 2006
[Bib4] S. Vardouli: "De la réalité virtuelle à la réalité augmentée: les nouveaux horizons du champs
urbanistique", 2008
[Bib5] J. Gobert et N. Renous : "Réalité Augmentée à l’Ensicaen", ENSICAEN, 2011
[Bib6] J. Howse et al.: "OpenCV 3 Blueprints", PACKT, Novembre 2015
</t>
    </r>
    <r>
      <rPr>
        <b/>
        <sz val="12"/>
        <rFont val="Calibri"/>
        <family val="2"/>
        <scheme val="minor"/>
      </rPr>
      <t>Netographie</t>
    </r>
    <r>
      <rPr>
        <sz val="12"/>
        <rFont val="Calibri"/>
        <family val="2"/>
        <scheme val="minor"/>
      </rPr>
      <t xml:space="preserve">
[Net1] Usage de la réalité virtuelle sous Unity
https://unity3d.com/fr/learn/tutorials/topics/virtual-reality
[Net2]Parcours d’initiation au développement de RA :
https://www.coursera.org/learn/augmented-reality
[Net3] Parcours pour devenir développeur de VR :                                                                                                                                                                                                                                                                                                                 https://www.udacity.com/course/vr-developer-nanodegree--nd017
[Net4] Réalité-Virtuelle/Augmentée sous Windows :
https://mva.microsoft.com/en-US/training-courses/creating-virtual-and-augmented-reality-appson-
the-windows-platform-16141
[Net5] Vision par ordinateur avec OpenCV :
http://docs.opencv.org/3.2.0/d9/db7/tutorial_py_table_of_contents_calib3d.html
</t>
    </r>
  </si>
  <si>
    <t>[Net6] Librairie Artoolkit de RA:
https://artoolkit.org/documentation/
[Net7] Google-VR SDK :
https://developers.google.com/vr/
[Net8] Boite à outil Vuforia pour la RA :
https://www.vuforia.com/
[Net9] Le navigateur ARAF :
http://www.mymultimediaworld.com/software/binaries/</t>
  </si>
  <si>
    <t xml:space="preserve">Apprendre à tracer des dessins des objets 3D                                                                                                                                                                                  
Apprendre à ajouter des matériaux et plaquer des textures sur les objets                                                                                                                                   
Savoir configurer l'éclairage et la projection                                                                                                                                                                    
Apprendre à animer les objets                                                                                                                                                                                                            
Apprendre à interagir avec une application 3D (souris, clavier)
Apprendre à ajouter des effets avancés au rendu 3D                                                                                                                                                                                                            </t>
  </si>
  <si>
    <t>Atelier 1 : Dessin 3D [Bib3] [Net1]  
o Initiation à la bibliothèque 
o Création d'une première application (GLUT par exemple pour la bibliothèque OpenGL)
o Dessin des objets 3D: paramétrique (expressions mathématiques) et descriptif (en utilisant les primitives géométriques standards : points, lignes, triangles, polygones, etc. )                                                                                                                                                                                                                      
o Tableaux de sommets                                                                                                                                                    
o Manipulation des buffers                                                                                                                                                                                                                             
Atelier 2 : Transformations et projection 3D [Bib3] [Net1-5-7]  
o Transformations de modélisation et de vue: translation, rotation, homothétie, etc.
o Projection: othographique, perspective. 
o Transformation écran                                                                                                                                                                                                                                                                    
Atelier 3 : Eclairage et matériaux [Bib3] [Net1-2]  
o Types et configuration des sources de lumière
o Modèles d'ombrage: Lambert, Gouraud, etc.     
o Illumination globale: lancer de rayons                                                                                                                                                                                                    
o Configuration des propriétés des matériaux                                                                                                                                                                                                 
Atelier 4 : Plaquage de textures [Bib3] [Net1-6]  
o Processus de plaquage
o Chargement et application de texture
o Modification d'une partie de texture                                                                                                                                                                                                                         
o Manipulation des coordonnées de texture                                                                                                                                                                                                      
Atelier 5 : Animation [Bib2-3][Net3-4]
o Animation procédurale: Images clés, Interpolation des transformations géométriques   
o Animation à système de particules:  forces, collisions                                                                                                                                                                                     
Atelier 6 : Interactivité [Bib3] [Net1]                                                                                                                                                                                                                           
o Gestion du clavier   
o Gestion de souris                                                                                                                                                                                                                                     
Atelier 7 : Techniques avancées [Bib1]                                                                                                                                                                                                                           
o Calculs maillages   
o Matériaux réalistes                                                                                                                                                                                                                                 
o Ombres portées, reflets, effet de transparence</t>
  </si>
  <si>
    <t>Bibliographie
[Bib1] P. Nerzic, « Synthèse d’images avec OpenGL (ES) », D-Booker Edition, 2017.    
[Bib2] S. Cheng, “Human Skeleton System Animation”, Master Thesis, 2017.   
[Bib3] D. Shreiner, G. Sellers, J. Kessenich, B. Licea Kane, “OpenGl programming Guide”, Kindle Edition, 2013.
Netographie                                                                                                                                                                                                                                               
[Net1] Programmation 3D avec OpenGL et GLSL
http://malgouyres.org/cours/data/opengl.pdf
[Net2] Ray tracing with OpenGL Compute Shaders
https://github.com/LWJGL/lwjgl3-wiki/wiki/2.6.1.-Ray-tracing-with-OpenGL-Compute-Shaders-%28Part-I%29
[Net3] Keyframe Animation
https://www.khronos.org/opengl/wiki/Keyframe_Animation
[Net4] 3D Car Animation OpenGL Computer Graphics Program
https://www.openglprojects.in/2017/06/3d-car-animation-opengl-computer-graphics-program.html#gsc.tab=0
[Net5] Geometry and transformations
http://home.ku.edu.tr/~yyemez/Comp410/lecture04.pdf
[Net6] Texture et transparence
https://perso.liris.cnrs.fr/florence.zara/LIFGraphique/pdf-1pp/CM5-LIFGFX-texture-1pp.pdf</t>
  </si>
  <si>
    <t>Sciences et Technologie</t>
  </si>
  <si>
    <t>Technologies de l'informlatique</t>
  </si>
  <si>
    <t>DSI/MDW/RSI/SEM</t>
  </si>
  <si>
    <t>Mixte</t>
  </si>
  <si>
    <t xml:space="preserve">Magistrale </t>
  </si>
  <si>
    <t>Présentation Power Point</t>
  </si>
  <si>
    <t>Démonstrative</t>
  </si>
  <si>
    <t xml:space="preserve">Exercices, recherche et travail de synthèse par groupe, </t>
  </si>
  <si>
    <t>Expérientielle</t>
  </si>
  <si>
    <t>Académique</t>
  </si>
  <si>
    <t>Elaboration de la fiche matière</t>
  </si>
  <si>
    <t>Sciences et technologies</t>
  </si>
  <si>
    <t>TIC</t>
  </si>
  <si>
    <t>DSI/RSI/MDW/SEM</t>
  </si>
  <si>
    <t>Développer une culture de l’innovation et la création de projets innovants.
Développer une culture de l’innovation et la création de projets innovants.</t>
  </si>
  <si>
    <t>Identifier les enjeux de l’innovation ;                                                                                                                 
Connaitre les principes du management de l'innovation en organisation ;                                              
Comprendre et analyser les processus créatifs ;                                                                                            
Connaitre les rubriques d’un Business Model / Business plan ;                                                                                           
Intégrer l’innovation dans le Business Model/Business Plan.</t>
  </si>
  <si>
    <t xml:space="preserve">Entrepreunariat ; Management de l'innovation ; Projets innovants ; Business Model ; Business Plan </t>
  </si>
  <si>
    <t>Développer le sens de l'entreprenariat et la crétivité chez le jeune</t>
  </si>
  <si>
    <t>Initier les étudiants en innovation et management des connaissances</t>
  </si>
  <si>
    <t>Améliorer les compétences en étude et création de projet</t>
  </si>
  <si>
    <t>Appliquer les étapes d'elaboration du business model</t>
  </si>
  <si>
    <t xml:space="preserve">1) Fondements de l’Economie de la créativité et de l'innovation                                                                            
2) Innovation et Management des connaissances                                                                                                  
3) Du Management des connaissances au Management des talents pour la créativité                                         
4) Techniques et Processus créatifs - Design Thinking et La méthode C/K                                                              
5) La gestion des processus innovants - Du projet au Stage-Gate                                                                            
6) Elaboration d’un Business Model/plan                                                                                                                
7) Business Model/Plan de projets innovants. </t>
  </si>
  <si>
    <t>ateliers</t>
  </si>
  <si>
    <t>jeux de simulations</t>
  </si>
  <si>
    <t>travail de groupe</t>
  </si>
  <si>
    <t>jeux de roles</t>
  </si>
  <si>
    <t>génération des idées</t>
  </si>
  <si>
    <t>Cette matière requiert que l'étudiant ait suivi le module business culture</t>
  </si>
  <si>
    <t>promoteur d'un nouveau projet</t>
  </si>
  <si>
    <t>Professionnel</t>
  </si>
  <si>
    <t>citer son expérience aux jeunes pour les encourager à prendre l'initiative</t>
  </si>
  <si>
    <t>Acquérir des compétences en communication dans un milieu professionnel.</t>
  </si>
  <si>
    <t xml:space="preserve"> Au terme du module, l’étudiant est capable de : 
-  favoriser la communication non violente
- participer positivement à une réunion de travail
- mettre en pratique les étapes de gestion d’un conflit
- maitriser les techniques de communication interne orale, écrite et de présentation
- appliquer les techniques de négociation
- comprendre la  gestion du changement
</t>
  </si>
  <si>
    <t>Dynamique de groupe / communication interne/communication externe/conduite du changement/communication 
non violente</t>
  </si>
  <si>
    <t>Gestion des conlits</t>
  </si>
  <si>
    <t>Communication écrite et orale en milieu professionnel</t>
  </si>
  <si>
    <t>apatation aux changements</t>
  </si>
  <si>
    <t>jeux de rôle, mise en situation</t>
  </si>
  <si>
    <t>Magistrale</t>
  </si>
  <si>
    <t>Présentation power point</t>
  </si>
  <si>
    <t>Active</t>
  </si>
  <si>
    <t>Classe inversée, étude de cas</t>
  </si>
  <si>
    <t>Cette matière requiert que l'étudiant ait suivi les cours en techniques d'expression et en buniness culture</t>
  </si>
  <si>
    <t>Centre 4C</t>
  </si>
  <si>
    <t>Animation des ateliers en rapport avec les thèmes enseignées</t>
  </si>
  <si>
    <t>Moocs</t>
  </si>
  <si>
    <t>acquisition des notions théoriques en non présentiel</t>
  </si>
  <si>
    <r>
      <rPr>
        <b/>
        <sz val="12"/>
        <rFont val="Calibri"/>
        <family val="2"/>
        <scheme val="minor"/>
      </rPr>
      <t>Bibliographie</t>
    </r>
    <r>
      <rPr>
        <sz val="12"/>
        <rFont val="Calibri"/>
        <family val="2"/>
        <scheme val="minor"/>
      </rPr>
      <t xml:space="preserve">
[Bib1] F. Franken, L. Gibert: "3ds Max 2016", Eni, Collection Atirum, Octobre 2015
[Bib2] R. Ducluzeau: "Blender 2.7", Eni, Collection Atirum, Février 2016
[Bib3] L. Buzer: "Maya 2014 et 2015, L'expérience 3D", Eni, Collection Atirum, Aout 2014
[Bib4] R. Williams: “The Animator's Survival Kit”, Faber &amp; Faber, Janvier 2015
</t>
    </r>
    <r>
      <rPr>
        <b/>
        <sz val="12"/>
        <rFont val="Calibri"/>
        <family val="2"/>
        <scheme val="minor"/>
      </rPr>
      <t>Netographie</t>
    </r>
    <r>
      <rPr>
        <sz val="12"/>
        <rFont val="Calibri"/>
        <family val="2"/>
        <scheme val="minor"/>
      </rPr>
      <t xml:space="preserve">
[Net1] https://app.pluralsight.com/paths/skills/3ds-max-environment-modeling
(accessible gratuitement après inscription sous https://my.visualstudio.com)
[Net2] http://www.elephorm.com/3d/formation-maya/formation-maya-2015.html
[Net3] https://www.blender.org/support/tutorials/</t>
    </r>
  </si>
  <si>
    <r>
      <rPr>
        <b/>
        <sz val="9"/>
        <rFont val="Calibri"/>
        <family val="2"/>
      </rPr>
      <t xml:space="preserve">Thème 1  : DYNAMIQUE DE GROUPE </t>
    </r>
    <r>
      <rPr>
        <sz val="9"/>
        <rFont val="Calibri"/>
        <family val="2"/>
      </rPr>
      <t xml:space="preserve">
• Travail d’équipe
• Fonctionnement des membres de l’équipe
• Organisation  des réunions
• L’animation des ateliers
</t>
    </r>
    <r>
      <rPr>
        <b/>
        <sz val="9"/>
        <rFont val="Calibri"/>
        <family val="2"/>
      </rPr>
      <t>Thème 2 : GESTION DE CONFLIT</t>
    </r>
    <r>
      <rPr>
        <sz val="9"/>
        <rFont val="Calibri"/>
        <family val="2"/>
      </rPr>
      <t xml:space="preserve">
• Sources du conflit
• Etapes pour résoudre un conflit
• Résoudre par la prévention
• La communication non violente 
</t>
    </r>
    <r>
      <rPr>
        <b/>
        <sz val="9"/>
        <rFont val="Calibri"/>
        <family val="2"/>
      </rPr>
      <t>Thème 3 : CONDUITE DU CHANGEMENT</t>
    </r>
    <r>
      <rPr>
        <sz val="9"/>
        <rFont val="Calibri"/>
        <family val="2"/>
      </rPr>
      <t xml:space="preserve">
• concepts du changement
• Style de personnalité face au changement
• La courbe du changement
• vaincre les résistances au changement
</t>
    </r>
    <r>
      <rPr>
        <b/>
        <sz val="9"/>
        <rFont val="Calibri"/>
        <family val="2"/>
      </rPr>
      <t xml:space="preserve">Thème 4 : COMMUNICATION INTERNE </t>
    </r>
    <r>
      <rPr>
        <sz val="9"/>
        <rFont val="Calibri"/>
        <family val="2"/>
      </rPr>
      <t xml:space="preserve">
• Communication écrite 
• Communication orale 
• Présentation des donnéesThème                                                                                                                                                                                      
</t>
    </r>
    <r>
      <rPr>
        <b/>
        <sz val="9"/>
        <rFont val="Calibri"/>
        <family val="2"/>
      </rPr>
      <t xml:space="preserve">Thème 5 : COMMUNICATION EXTERNE 
</t>
    </r>
    <r>
      <rPr>
        <sz val="9"/>
        <rFont val="Calibri"/>
        <family val="2"/>
      </rPr>
      <t xml:space="preserve">• Public cible
• Types de communication 
• Communication dans la relation commerciale                                                                                                                                                                   
• Outils de communication : 
- communication électronique
- communication téléphonique                                                                                                    
• Outils de communication : 
- communication électronique
- communication téléphonique
</t>
    </r>
  </si>
  <si>
    <t xml:space="preserve">Maitriser les techniques et les outils de recherche d'emploi </t>
  </si>
  <si>
    <t>Faire une recherche d'emploi orientée résultat -  Rédiger un CV gagnant et maîtriser les paramètres d'un entretien d'embauche -  Elaborer une stratégie gagnante pour réussir son embauche et établir son plan carrière</t>
  </si>
  <si>
    <t>CV - Lettre de motivation - Entretien d'embauche</t>
  </si>
  <si>
    <t>Initiative et Proactivité</t>
  </si>
  <si>
    <t>Prise de décisions</t>
  </si>
  <si>
    <t>Négociation</t>
  </si>
  <si>
    <t>Versalité</t>
  </si>
  <si>
    <t>Simulation, jeux de rôle</t>
  </si>
  <si>
    <t>Préparation aux métiers - Techniques d'expression - Techniques de communication en groupe</t>
  </si>
  <si>
    <t>Chiraz ELAYED</t>
  </si>
  <si>
    <r>
      <rPr>
        <sz val="10"/>
        <rFont val="Calibri"/>
        <family val="2"/>
      </rPr>
      <t xml:space="preserve">Atelier 1 : Outils de recherche et de sélection d’un emploi
- Le marché de l’emploi
- Types de recherches d’emploi
         - Réponse à des offres
         - Candidature spontanée
         - Recherches en réseau
- Organisation d’une recherche d’emploi
- Sources d’information
Atelier 2 : Rédaction d’un CV
- Rubriques
- Types de CV
- Techniques de rédaction d’un CV gagnant
- Erreurs à éviter 
Atelier 3 : Lettre de motivation
- Techniques de rédaction et de présentation
- types de lettre de motivation
- Caractéristiques
Atelier 4 : Entretien d’embauche
- Types d’entretien d’embauche
- Les différents profils de recruteurs
- Les éléments de préparation d'un entretien (avant, pendant et après)
- Simulation d'un entretien d’embauche
</t>
    </r>
  </si>
  <si>
    <t>Chiraz Elayed</t>
  </si>
  <si>
    <r>
      <rPr>
        <b/>
        <sz val="11"/>
        <rFont val="Calibri"/>
        <family val="2"/>
        <scheme val="minor"/>
      </rPr>
      <t>N.B</t>
    </r>
    <r>
      <rPr>
        <sz val="11"/>
        <rFont val="Calibri"/>
        <family val="2"/>
        <scheme val="minor"/>
      </rPr>
      <t xml:space="preserve"> : Les matières optionnelles sont proposées dans le présent plan d'études à titre indicatif, chaque ISET aura le soin de choisir les matières optionnelles selon ses besoins et priorités. Certaines matières listées ci-dessous disposent de propositions de fiches matières dans le présent plan</t>
    </r>
  </si>
  <si>
    <t>Fiche matière proposée</t>
  </si>
  <si>
    <t xml:space="preserve">Multimédia et Développement Web </t>
  </si>
  <si>
    <t>Marketing Digital</t>
  </si>
  <si>
    <t>Conception graphique</t>
  </si>
  <si>
    <t>Infographie</t>
  </si>
  <si>
    <t>Traitement vidéo</t>
  </si>
  <si>
    <t>Droit de l’informatique</t>
  </si>
  <si>
    <t>Hébergement et référencement web</t>
  </si>
  <si>
    <t xml:space="preserve">Initiation au développement mobile </t>
  </si>
  <si>
    <t>Fondement multimédia</t>
  </si>
  <si>
    <t>Préparation à la certification HTML5</t>
  </si>
  <si>
    <t>Oui</t>
  </si>
  <si>
    <t>Technologie</t>
  </si>
  <si>
    <t>MDW</t>
  </si>
  <si>
    <t>UE optionnelle</t>
  </si>
  <si>
    <t>Historique des mise à jour</t>
  </si>
  <si>
    <t>Liste de dernière validatation</t>
  </si>
  <si>
    <t>Prénom et Nom</t>
  </si>
  <si>
    <t>Sabeur Ben Chaabene</t>
  </si>
  <si>
    <t>Ourir Mohamed Raouf</t>
  </si>
  <si>
    <t>Ratiba Ben Azzoun</t>
  </si>
  <si>
    <t>Sécurité Informatique</t>
  </si>
  <si>
    <t>Acquérir les compétences théoriques nécessaires pour évaluer les risques et les menaces de sécurité dans un système d’information</t>
  </si>
  <si>
    <t xml:space="preserve">• Présenter les divers risques informatiques
• Définir les causes communes aux problèmes de sécurité
• Etablir une typologie des menaces encourues par les SI
• Connaitre les sources des dangers potentiels
• Décrire les divers types d’attaques réseaux et applicatives
• Etablir le lien entre les causes et les effets lorsque des menaces se Concrétisent.
• Connaitre les composantes de l’Audit Informatique.
</t>
  </si>
  <si>
    <t>Mots clés académiques</t>
  </si>
  <si>
    <t>Risques, menaces, confidentialité, intégrité, authentification, attaque, stratégie,
sécurité</t>
  </si>
  <si>
    <t xml:space="preserve">gestion de la sécurité de l'information </t>
  </si>
  <si>
    <t>tests</t>
  </si>
  <si>
    <t xml:space="preserve">gestion des données </t>
  </si>
  <si>
    <t xml:space="preserve">test de pénétration </t>
  </si>
  <si>
    <t xml:space="preserve">gestion des problèmes </t>
  </si>
  <si>
    <t>développement de la stratégie relative à la sécurité de l'information</t>
  </si>
  <si>
    <t xml:space="preserve">gestion des risques </t>
  </si>
  <si>
    <t>• Insécurité Informatique : causes, menaces et Attaques
• Management du risque
• Moyens et techniques de sécurisation
• Politique de sécurité
• Audit Informatique</t>
  </si>
  <si>
    <t>Cours</t>
  </si>
  <si>
    <t>x</t>
  </si>
  <si>
    <t>TP</t>
  </si>
  <si>
    <t>Projet</t>
  </si>
  <si>
    <t>Etude de cas</t>
  </si>
  <si>
    <t xml:space="preserve">
Système d'exploitation (Linux)
Protocoles réseau</t>
  </si>
  <si>
    <t xml:space="preserve">Programme pédagogique National (2013) MMI
[ 1 ] Cours SECURITE ET AUDIT INFORMATIQUE, univ virt de Tunis Mastère MP2L
[ 2 ] http://securitytube.net/
 </t>
  </si>
  <si>
    <t>Nafaa Friaa</t>
  </si>
  <si>
    <t>Mise en fonctionnement d'un projet web</t>
  </si>
  <si>
    <t xml:space="preserve">Acquérir les compétences nécessaires à la mise  en place d'un serveur Web sous Linux
et  de  l'administrer  à  distance  (héberger  un  site  Web,  le  sécuriser,  effectuer  des  copies  de sauvegarde, transférer les fichiers, gérer les fichiers logs, ...). </t>
  </si>
  <si>
    <t xml:space="preserve">héberger  un  site  Web,  
Effectuer  des  copies  de sauvegarde, 
transférer les fichiers,
 gérer les fichiers logs, 
sécuriser un serveur web
Référencer un site web. 
</t>
  </si>
  <si>
    <t>hébergement, SSH, FTP, htacces, URL rewriting, Backup, Réferencement</t>
  </si>
  <si>
    <t>webmaster, référenceur web</t>
  </si>
  <si>
    <t xml:space="preserve">Déploiement de la solution 
</t>
  </si>
  <si>
    <t xml:space="preserve">Développement durable </t>
  </si>
  <si>
    <t xml:space="preserve">Leadership </t>
  </si>
  <si>
    <t xml:space="preserve">prise de décision </t>
  </si>
  <si>
    <t xml:space="preserve">initiative et proactivité </t>
  </si>
  <si>
    <t>orientation résultats</t>
  </si>
  <si>
    <t xml:space="preserve">1 Installations des serveurs
2 Connexion sécurisée en SSH
3 Transfert de fichiers en FTP
4 Serveur Web LAMP
5 Serveur de BD
6 Les fichiers « .htaccess »
7 Virtual Hosts
8 Hébergement
9 Référencement web
</t>
  </si>
  <si>
    <t>Développement Web
Système d'exploitation (Linux)
Protocoles réseau</t>
  </si>
  <si>
    <t xml:space="preserve">Programme pédagogique National (2013) MMI
[ 1 ] https://doc.ubuntu-fr.org 
[ 2 ] https://doc.ubuntu-fr.org/ssh
[ 3 ] http://httpd.apache.org 
[ 4 ] https://doc.ubuntu-fr.org/apache2
[ 5 ] https://filezilla-project.org 
[ 6 ] http://www.joomla.org –[ 7 ]
 https://fr.wordpress.org </t>
  </si>
  <si>
    <t xml:space="preserve">Compétences cibles </t>
  </si>
  <si>
    <t xml:space="preserve">Mots clés </t>
  </si>
  <si>
    <t>Sécurité informatique</t>
  </si>
  <si>
    <t> Manipuler un EDI (Eclipse, netbeans...)
 Ecrire, compiler et exécuter des programmes JAVA
 Créer et utiliser des sous-classes java
 Surcharger des méthodes
 Créer et utiliser des tableaux d’objets hétérogènes
 Appliquer le principe de polymorphisme
 Créer des classes abstraites Implémenter des interfaces
 Appliquer l’héritage multiple entre les classes via le concept d’interface</t>
  </si>
  <si>
    <t xml:space="preserve">Maitriser les fonctionnalités  d'une API graphique                                                              
Développer des applications en WebGL ou Unity-2D </t>
  </si>
  <si>
    <r>
      <rPr>
        <b/>
        <u/>
        <sz val="10"/>
        <rFont val="Calibri"/>
        <family val="2"/>
        <scheme val="minor"/>
      </rPr>
      <t xml:space="preserve">Atelier 1 </t>
    </r>
    <r>
      <rPr>
        <b/>
        <sz val="10"/>
        <rFont val="Calibri"/>
        <family val="2"/>
        <scheme val="minor"/>
      </rPr>
      <t xml:space="preserve">: Modélisation d'une scène avec WebGl et BabylonJS </t>
    </r>
    <r>
      <rPr>
        <sz val="10"/>
        <rFont val="Calibri"/>
        <family val="2"/>
        <scheme val="minor"/>
      </rPr>
      <t xml:space="preserve">                                                        
- Mise en place de la scène                                                                                                                            
- Création de géométries 2D simples                                                                                                         
- Application de couleurs, matériaux et textures                                                                                   
- Manipulation des différents filtres, transparence                                                                                                                                                                       </t>
    </r>
    <r>
      <rPr>
        <b/>
        <u/>
        <sz val="10"/>
        <rFont val="Calibri"/>
        <family val="2"/>
        <scheme val="minor"/>
      </rPr>
      <t>Atelier 2</t>
    </r>
    <r>
      <rPr>
        <b/>
        <sz val="10"/>
        <rFont val="Calibri"/>
        <family val="2"/>
        <scheme val="minor"/>
      </rPr>
      <t>: Mouvement et animation des objets</t>
    </r>
    <r>
      <rPr>
        <sz val="10"/>
        <rFont val="Calibri"/>
        <family val="2"/>
        <scheme val="minor"/>
      </rPr>
      <t xml:space="preserve">                                                                                  
- Les transformations 2D : translation, rotation, mise en échelle, matrices de transformation, 
- Ajout et déplacement des caméras.                                                                                                        
</t>
    </r>
    <r>
      <rPr>
        <b/>
        <u/>
        <sz val="10"/>
        <rFont val="Calibri"/>
        <family val="2"/>
        <scheme val="minor"/>
      </rPr>
      <t xml:space="preserve">Atelier 3 </t>
    </r>
    <r>
      <rPr>
        <b/>
        <sz val="10"/>
        <rFont val="Calibri"/>
        <family val="2"/>
        <scheme val="minor"/>
      </rPr>
      <t xml:space="preserve">: Modélisation et d'un jeu                                                                                                         
- </t>
    </r>
    <r>
      <rPr>
        <sz val="10"/>
        <rFont val="Calibri"/>
        <family val="2"/>
        <scheme val="minor"/>
      </rPr>
      <t xml:space="preserve">Chargement ou création d'une scène de jeu                                                                                         
- Déplacement des caméras                                                                                                                        
- Déplacement et animation des objets                                                                                           
</t>
    </r>
    <r>
      <rPr>
        <b/>
        <u/>
        <sz val="10"/>
        <rFont val="Calibri"/>
        <family val="2"/>
        <scheme val="minor"/>
      </rPr>
      <t xml:space="preserve">Atelier 4 </t>
    </r>
    <r>
      <rPr>
        <b/>
        <sz val="10"/>
        <rFont val="Calibri"/>
        <family val="2"/>
        <scheme val="minor"/>
      </rPr>
      <t>:Jeu en Mode multi-joueurs</t>
    </r>
    <r>
      <rPr>
        <sz val="10"/>
        <rFont val="Calibri"/>
        <family val="2"/>
        <scheme val="minor"/>
      </rPr>
      <t xml:space="preserve">                                                                                                     
- Points de vue des joueurs                                                                                                                            
- Importation des objets                                                                                                                                
- Usage de Node.js                                                                                                                                        
</t>
    </r>
    <r>
      <rPr>
        <b/>
        <u/>
        <sz val="10"/>
        <rFont val="Calibri"/>
        <family val="2"/>
        <scheme val="minor"/>
      </rPr>
      <t xml:space="preserve">Atelier 5 </t>
    </r>
    <r>
      <rPr>
        <b/>
        <sz val="10"/>
        <rFont val="Calibri"/>
        <family val="2"/>
        <scheme val="minor"/>
      </rPr>
      <t>: Usage d'un moteur physique 2D</t>
    </r>
    <r>
      <rPr>
        <sz val="10"/>
        <rFont val="Calibri"/>
        <family val="2"/>
        <scheme val="minor"/>
      </rPr>
      <t xml:space="preserve">                                                                                          
- Gestion des collisions entre les objets                                                                                                      
- Activation des activateurs/désactivateurs                                                                                             
- Gestion de déplacement des objets selon la gravité                                                                           
</t>
    </r>
    <r>
      <rPr>
        <b/>
        <u/>
        <sz val="10"/>
        <rFont val="Calibri"/>
        <family val="2"/>
        <scheme val="minor"/>
      </rPr>
      <t xml:space="preserve">Atelier 6 </t>
    </r>
    <r>
      <rPr>
        <b/>
        <sz val="10"/>
        <rFont val="Calibri"/>
        <family val="2"/>
        <scheme val="minor"/>
      </rPr>
      <t>: Introduction du système de gain et de progression dans le jeu                                
-</t>
    </r>
    <r>
      <rPr>
        <sz val="10"/>
        <rFont val="Calibri"/>
        <family val="2"/>
        <scheme val="minor"/>
      </rPr>
      <t xml:space="preserve"> Animations des objets et des joueurs                                                                                                          
- Ajout des effets de caméra                                                                                                                         
- Programmation des bonus de jeu  et  finaliser le jeu</t>
    </r>
  </si>
  <si>
    <r>
      <rPr>
        <b/>
        <sz val="12"/>
        <rFont val="Calibri"/>
        <family val="2"/>
        <scheme val="minor"/>
      </rPr>
      <t>[Net1]</t>
    </r>
    <r>
      <rPr>
        <sz val="12"/>
        <rFont val="Calibri"/>
        <family val="2"/>
        <scheme val="minor"/>
      </rPr>
      <t xml:space="preserve">  https://webglfundamentals.org/webgl/lessons/</t>
    </r>
  </si>
  <si>
    <r>
      <rPr>
        <b/>
        <sz val="12"/>
        <rFont val="Calibri"/>
        <family val="2"/>
        <scheme val="minor"/>
      </rPr>
      <t>[Bib1]</t>
    </r>
    <r>
      <rPr>
        <sz val="12"/>
        <rFont val="Calibri"/>
        <family val="2"/>
        <scheme val="minor"/>
      </rPr>
      <t xml:space="preserve">  X. BOURRY: "WebGL Guide de développement d'applications web 3D", Édition  ENI, Janvier 2013                                                                                                                                            
</t>
    </r>
    <r>
      <rPr>
        <b/>
        <sz val="12"/>
        <rFont val="Calibri"/>
        <family val="2"/>
        <scheme val="minor"/>
      </rPr>
      <t>[Bib2]</t>
    </r>
    <r>
      <rPr>
        <sz val="12"/>
        <rFont val="Calibri"/>
        <family val="2"/>
        <scheme val="minor"/>
      </rPr>
      <t xml:space="preserve">  S.Gobron, M. Gutierre: " WebGL par la pratique", Presses Polytechniques et Universitaires Romandes, Juin 2015                                                                                                                                                                                                                                         </t>
    </r>
  </si>
  <si>
    <t>Modéliser et animer les objets                                                                                                                        
Ajouter et paramètrer les matériaux, les textures, les lumières et les caméras                                
Animer les objets et les personnages                                                                                                             
Ajouter des sons et générer le rendu</t>
  </si>
  <si>
    <r>
      <rPr>
        <b/>
        <sz val="12"/>
        <rFont val="Calibri"/>
        <family val="2"/>
        <scheme val="minor"/>
      </rPr>
      <t>Atelier 1: La modélisation des objets 3D [Bib1-2-3]</t>
    </r>
    <r>
      <rPr>
        <sz val="12"/>
        <rFont val="Calibri"/>
        <family val="2"/>
        <scheme val="minor"/>
      </rPr>
      <t xml:space="preserve">
· Primitives et splines
· Objets maillés et composés
· Mode polygones éditables
· Modificateurs et piles des modificateurs [Net1-2-3]                                                                                
</t>
    </r>
    <r>
      <rPr>
        <b/>
        <sz val="12"/>
        <rFont val="Calibri"/>
        <family val="2"/>
        <scheme val="minor"/>
      </rPr>
      <t>Atelier 2: Aspect matériaux et textures des objets [Bib1-2-3]</t>
    </r>
    <r>
      <rPr>
        <sz val="12"/>
        <rFont val="Calibri"/>
        <family val="2"/>
        <scheme val="minor"/>
      </rPr>
      <t xml:space="preserve">
· Bibliothèque des matériaux
· Application et gestion des textures
· Génération de cartes de mappage UV [Net1-2-3]
</t>
    </r>
    <r>
      <rPr>
        <b/>
        <sz val="12"/>
        <rFont val="Calibri"/>
        <family val="2"/>
        <scheme val="minor"/>
      </rPr>
      <t xml:space="preserve">Atelier 3: Ajout des lumières et de caméras[Bib1-2-3]                                                                                     
</t>
    </r>
    <r>
      <rPr>
        <sz val="12"/>
        <rFont val="Calibri"/>
        <family val="2"/>
        <scheme val="minor"/>
      </rPr>
      <t>· Types de lumières
· Paramétrage d'ombre
· Types et paramétrage des caméras [Net1-2-3]</t>
    </r>
    <r>
      <rPr>
        <b/>
        <sz val="12"/>
        <rFont val="Calibri"/>
        <family val="2"/>
        <scheme val="minor"/>
      </rPr>
      <t xml:space="preserve">
Atelier 4: La modélisation d'une scène virtuelle 3D [Bib1-2-3]
</t>
    </r>
    <r>
      <rPr>
        <sz val="12"/>
        <rFont val="Calibri"/>
        <family val="2"/>
        <scheme val="minor"/>
      </rPr>
      <t>· Lumière et caméra
· Environnement
· Import des objets [Net1-2-3]</t>
    </r>
    <r>
      <rPr>
        <b/>
        <sz val="12"/>
        <rFont val="Calibri"/>
        <family val="2"/>
        <scheme val="minor"/>
      </rPr>
      <t xml:space="preserve">
Atelier 5: Animation des contenus de la scènes [Bib4]
</t>
    </r>
    <r>
      <rPr>
        <sz val="12"/>
        <rFont val="Calibri"/>
        <family val="2"/>
        <scheme val="minor"/>
      </rPr>
      <t>· Les 12 principes de l’animation [Bib4]
· Animation des objets et des caméras
· Animation de caractères prêts à animer</t>
    </r>
    <r>
      <rPr>
        <b/>
        <sz val="12"/>
        <rFont val="Calibri"/>
        <family val="2"/>
        <scheme val="minor"/>
      </rPr>
      <t xml:space="preserve">
Atelier 6: Paramétrage et génération de rendu [Bib1-2-3]
· Configuration d’un moteur de rendu (MentalRay/VRay/Arnold, etc.)
· Rendu par lancer de rayons
· Rendu par radiosité [Net1-2-3]</t>
    </r>
  </si>
  <si>
    <r>
      <rPr>
        <b/>
        <sz val="10"/>
        <rFont val="Calibri"/>
        <family val="2"/>
        <scheme val="minor"/>
      </rPr>
      <t>Atelier 1: La modélisation des objets 3D [Bib1-2-3]</t>
    </r>
    <r>
      <rPr>
        <sz val="10"/>
        <rFont val="Calibri"/>
        <family val="2"/>
        <scheme val="minor"/>
      </rPr>
      <t xml:space="preserve">
· Primitives et splines
· Objets maillés et composés
· Mode polygones éditables
· Modificateurs et piles des modificateurs [Net1-2-3]                                                                                
</t>
    </r>
    <r>
      <rPr>
        <b/>
        <sz val="10"/>
        <rFont val="Calibri"/>
        <family val="2"/>
        <scheme val="minor"/>
      </rPr>
      <t>Atelier 2: Aspect matériaux et textures des objets [Bib1-2-3]</t>
    </r>
    <r>
      <rPr>
        <sz val="10"/>
        <rFont val="Calibri"/>
        <family val="2"/>
        <scheme val="minor"/>
      </rPr>
      <t xml:space="preserve">
· Bibliothèque des matériaux
· Application et gestion des textures
· Génération de cartes de mappage UV [Net1-2-3]
</t>
    </r>
    <r>
      <rPr>
        <b/>
        <sz val="10"/>
        <rFont val="Calibri"/>
        <family val="2"/>
        <scheme val="minor"/>
      </rPr>
      <t xml:space="preserve">Atelier 3: Ajout des lumières et de caméras[Bib1-2-3]                                                                                     
</t>
    </r>
    <r>
      <rPr>
        <sz val="10"/>
        <rFont val="Calibri"/>
        <family val="2"/>
        <scheme val="minor"/>
      </rPr>
      <t>· Types de lumières
· Paramétrage d'ombre
· Types et paramétrage des caméras [Net1-2-3]</t>
    </r>
    <r>
      <rPr>
        <b/>
        <sz val="10"/>
        <rFont val="Calibri"/>
        <family val="2"/>
        <scheme val="minor"/>
      </rPr>
      <t xml:space="preserve">
Atelier 4: La modélisation d'une scène virtuelle 3D [Bib1-2-3]
</t>
    </r>
    <r>
      <rPr>
        <sz val="10"/>
        <rFont val="Calibri"/>
        <family val="2"/>
        <scheme val="minor"/>
      </rPr>
      <t>· Lumière et caméra
· Environnement
· Import des objets [Net1-2-3]</t>
    </r>
    <r>
      <rPr>
        <b/>
        <sz val="10"/>
        <rFont val="Calibri"/>
        <family val="2"/>
        <scheme val="minor"/>
      </rPr>
      <t xml:space="preserve">
Atelier 5: Animation des contenus de la scènes [Bib4]
</t>
    </r>
    <r>
      <rPr>
        <sz val="10"/>
        <rFont val="Calibri"/>
        <family val="2"/>
        <scheme val="minor"/>
      </rPr>
      <t>· Les 12 principes de l’animation [Bib4]
· Animation des objets et des caméras
· Animation de caractères prêts à animer</t>
    </r>
    <r>
      <rPr>
        <b/>
        <sz val="10"/>
        <rFont val="Calibri"/>
        <family val="2"/>
        <scheme val="minor"/>
      </rPr>
      <t xml:space="preserve">
Atelier 6: Paramétrage et génération de rendu [Bib1-2-3]
</t>
    </r>
    <r>
      <rPr>
        <sz val="10"/>
        <rFont val="Calibri"/>
        <family val="2"/>
        <scheme val="minor"/>
      </rPr>
      <t>· Configuration d’un moteur de rendu (MentalRay/VRay/Arnold, etc.)
· Rendu par lancer de rayons
· Rendu par radiosité [Net1-2-3]</t>
    </r>
  </si>
  <si>
    <t>Participation aux ateliers</t>
  </si>
  <si>
    <t xml:space="preserve">Elaboration des fiches matières techniques </t>
  </si>
  <si>
    <t>Elaboration des fiches matières transversales</t>
  </si>
  <si>
    <t>Walid Zaouali</t>
  </si>
  <si>
    <t xml:space="preserve">High tech english </t>
  </si>
  <si>
    <t>ISET Kssar Hlel</t>
  </si>
  <si>
    <t>Conseillère 4c</t>
  </si>
  <si>
    <t>Enseignant</t>
  </si>
  <si>
    <t>Ce pack contient les sections suivantes :</t>
  </si>
  <si>
    <t>Matière fondamentale</t>
  </si>
  <si>
    <t>Matière transversale</t>
  </si>
  <si>
    <t>Matière optionelle</t>
  </si>
  <si>
    <r>
      <rPr>
        <b/>
        <sz val="12"/>
        <color theme="1"/>
        <rFont val="Calibri"/>
        <family val="2"/>
        <scheme val="minor"/>
      </rPr>
      <t xml:space="preserve">Animation d’ateliers d’assistance entre le secteur privé TIC et les ISETs pour l’élaboration 
du nouveau plan d’études TIC des ISETs
</t>
    </r>
    <r>
      <rPr>
        <b/>
        <sz val="12"/>
        <color rgb="FF009999"/>
        <rFont val="Calibri"/>
        <family val="2"/>
        <scheme val="minor"/>
      </rPr>
      <t>Pack plan d'études parcours MDW</t>
    </r>
    <r>
      <rPr>
        <sz val="12"/>
        <color rgb="FF009999"/>
        <rFont val="Calibri"/>
        <family val="2"/>
        <scheme val="minor"/>
      </rPr>
      <t xml:space="preserve">
</t>
    </r>
    <r>
      <rPr>
        <sz val="12"/>
        <color theme="1"/>
        <rFont val="Calibri"/>
        <family val="2"/>
        <scheme val="minor"/>
      </rPr>
      <t xml:space="preserve">
</t>
    </r>
  </si>
  <si>
    <r>
      <rPr>
        <b/>
        <sz val="11"/>
        <rFont val="Calibri"/>
        <family val="2"/>
        <scheme val="minor"/>
      </rPr>
      <t xml:space="preserve">Contributeurs : </t>
    </r>
    <r>
      <rPr>
        <sz val="11"/>
        <rFont val="Calibri"/>
        <family val="2"/>
        <scheme val="minor"/>
      </rPr>
      <t>représente l'ensemble des intervenants qui ont contribué à l'élaboration des fiches matières</t>
    </r>
  </si>
  <si>
    <r>
      <rPr>
        <b/>
        <sz val="11"/>
        <rFont val="Calibri"/>
        <family val="2"/>
        <scheme val="minor"/>
      </rPr>
      <t>Métiers visés :</t>
    </r>
    <r>
      <rPr>
        <sz val="11"/>
        <rFont val="Calibri"/>
        <family val="2"/>
        <scheme val="minor"/>
      </rPr>
      <t xml:space="preserve"> représente les métiers auxquels les parcours prépare (couverture totale ou partielle)</t>
    </r>
  </si>
  <si>
    <r>
      <rPr>
        <b/>
        <sz val="11"/>
        <rFont val="Calibri"/>
        <family val="2"/>
        <scheme val="minor"/>
      </rPr>
      <t xml:space="preserve">Compétences adressées : </t>
    </r>
    <r>
      <rPr>
        <sz val="11"/>
        <rFont val="Calibri"/>
        <family val="2"/>
        <scheme val="minor"/>
      </rPr>
      <t>représente les compétences que le parcours couvre</t>
    </r>
  </si>
  <si>
    <r>
      <rPr>
        <b/>
        <sz val="11"/>
        <rFont val="Calibri"/>
        <family val="2"/>
        <scheme val="minor"/>
      </rPr>
      <t>Schéma d'enseignement :</t>
    </r>
    <r>
      <rPr>
        <sz val="11"/>
        <rFont val="Calibri"/>
        <family val="2"/>
        <scheme val="minor"/>
      </rPr>
      <t xml:space="preserve"> représente les matières du parcours, leur nature (fondamentale, transversale, optionelle) et le volume horaire pour les différents semestres</t>
    </r>
  </si>
  <si>
    <r>
      <rPr>
        <b/>
        <sz val="11"/>
        <rFont val="Calibri"/>
        <family val="2"/>
        <scheme val="minor"/>
      </rPr>
      <t xml:space="preserve">Cohérence : </t>
    </r>
    <r>
      <rPr>
        <sz val="11"/>
        <rFont val="Calibri"/>
        <family val="2"/>
        <scheme val="minor"/>
      </rPr>
      <t>représente les prérequis demandés par le parcours (par matière) et leur couverture (par le parcours lui meme ou par le tronc commun)</t>
    </r>
  </si>
  <si>
    <r>
      <rPr>
        <b/>
        <sz val="11"/>
        <rFont val="Calibri"/>
        <family val="2"/>
        <scheme val="minor"/>
      </rPr>
      <t>Matières optionnelles :</t>
    </r>
    <r>
      <rPr>
        <sz val="11"/>
        <rFont val="Calibri"/>
        <family val="2"/>
        <scheme val="minor"/>
      </rPr>
      <t xml:space="preserve"> représente les différentes matières optionnelles à sélectionner par l'ISET pour chaque semestre</t>
    </r>
  </si>
  <si>
    <r>
      <rPr>
        <b/>
        <sz val="11"/>
        <rFont val="Calibri"/>
        <family val="2"/>
        <scheme val="minor"/>
      </rPr>
      <t xml:space="preserve">Semestre : </t>
    </r>
    <r>
      <rPr>
        <sz val="11"/>
        <rFont val="Calibri"/>
        <family val="2"/>
        <scheme val="minor"/>
      </rPr>
      <t xml:space="preserve">regroupe les différentes matières pour chaque semestre </t>
    </r>
  </si>
  <si>
    <t>Hafedh Boukthir</t>
  </si>
  <si>
    <t xml:space="preserve">à choisir par l'ISET </t>
  </si>
  <si>
    <t xml:space="preserve">Optionnelle </t>
  </si>
  <si>
    <t>Safia Jallouli</t>
  </si>
  <si>
    <t>Preparing TOEIC</t>
  </si>
  <si>
    <t>High tech english</t>
  </si>
  <si>
    <t>Fiche élément constitutif</t>
  </si>
  <si>
    <t>High Tech English</t>
  </si>
  <si>
    <t>DSI/MDW/RSI</t>
  </si>
  <si>
    <t>High Tech  English</t>
  </si>
  <si>
    <t>to improve students English communication skills in computing</t>
  </si>
  <si>
    <t>to understand English of Computing for study and work</t>
  </si>
  <si>
    <t>ICT-computers-network-web design</t>
  </si>
  <si>
    <t>Reading</t>
  </si>
  <si>
    <t>Listening</t>
  </si>
  <si>
    <t>Speaking and Writing</t>
  </si>
  <si>
    <t>Unit  1 : Toeic listening part 1 : Photographs
Focus: Using the photo to predict what you will hear
Unit 2: Listening test part 2: Questions-response
Focus: Thinking about the meaning of factual questions
Unit 3: Listening test part 3: Conversations
Focus: Skimming to predict the context before listening
Unit 4: Listening part 4: Talks
Focus: Skimming to predict the context before listening
Unit 5: Reading test part 5: Incomplete sentences 
Focus : Identifying the parts of speech+ Using your time wisely
Unit 6: Reading test Part 6: Text completion
Focus: Using context to choose the correct verb form and meaning
Unit 7: Reading Test part 7: Reading comprehension
Focus: Scanning the questions to decide which ones to answer first.
Unit 8: Listening test part1: Photographs
Focus: Listening for the correct verb
Unit 9: Listening test part 2: Question-response
Focus: Becoming familiar with different ways of answering direct questions.
Unit 10: Listening test part 3: Conversations
Focus: Be aware of same word distracters.</t>
  </si>
  <si>
    <t>Orientations et moyens pédagogiques par canal pédagogique</t>
  </si>
  <si>
    <t>Business English</t>
  </si>
  <si>
    <t>to be able to get a job</t>
  </si>
  <si>
    <t>to be able to find a job- to write a CV in English -  to write a covering letter in English- to prepare for a job interview</t>
  </si>
  <si>
    <t>graduation-job-CV-covering letter-Job interview</t>
  </si>
  <si>
    <t>preparation for TOEIC</t>
  </si>
  <si>
    <t>to be ready to take the toeic exam</t>
  </si>
  <si>
    <t>toeic- listening- reading-incomplete sentences</t>
  </si>
  <si>
    <t>Speaking + Writing</t>
  </si>
  <si>
    <t>Unit 11: Listening test part 4: Talks
Focus: Becoming familiar with different kinds of ‘what’ questions
Unit 12: Reading test part5: Incomplete sentences
Focus: Choosing gerunds and infinitives correctly + improving your knowledge of phrasal verbs.
Unit 13: Reading test part6: Text completion
Focus: Choosing the correct part of speech: adjectives and adverbs.
Unit 14: Reading test Part 7: Reading comprehension
Focus: Using context to answer vocabulary questions + using what you have learnt to help infer meaning.
Unit 15: Listening test part1: Photographs
Focus: Listening carefully to every detail.
Unit 16: Listening part 2: Questions response.
Focus: Becoming familiar with time and location structures.
Unit 17: Listening test part 3: Conversations
Focus: Using vocabulary clues to infer meaning
Unit 18: Listening test part4: Talks
Focus: Becoming familiar with re-statements+ being aware of questions involving numbers and quantities.
Unit 19: Reading Test part 5: Incomplete sentences 
Focus: Improving your knowledge of suffixes and prefixes
Unit 20: Reading test part 6: Text completion
Focus: Using clues in the question to help you choose the correct verb form: future perfect
Unit 21: Reading test Part 6: Reading comprehension
Focus: Learning how to answer ‘NOT’ questions, and questions with names, numbers, dates or times.
Unit 22: Listening test part 1: Photographs
Focus: Listening for the correct prepositions +being aware of similar sounding words.
Unit 23: Listening Test part 3: Question-response
Focus: Becoming familiar with language used in offers, requests and opinions.
Unit 24: Listening Part 3: Conversations
Focus: Becoming familiar with polite ways of saying ‘no’ + listening carefully to the first exchange
Unit 25: Listening Test Part 4: Talks
Focus: Becoming familiar with re-statements involving ‘how’ and ‘why’ questions.
Unit 26: Reading test part 5: Incomplete sentences
Focus: Improving your knowledge of pronouns.
Unit 27: Reading Part 6: Text completion 
Focus: Choosing the correct word prepositions and conjunctions
Unit 28: Reading Test Part 7: Reading comprehension
Focus: Learning how to answer questions dealing with charts, tables, forms and double passages.</t>
  </si>
  <si>
    <t>labo</t>
  </si>
  <si>
    <t>Cet atelier permettra d'apprendre les fonctionnalités pratiques de la modélisation et animation 3D telles que: la modélisation polygonale des objets, l'application des modificateurs, les matériaux et les textures, l'éclairage, la gestion et le paramétrage des caméras et la production du rendu final.</t>
  </si>
  <si>
    <t>Atelier programmation multimédia 3D</t>
  </si>
  <si>
    <t xml:space="preserve"> To develop independent study and exam skills-to improve their English level and confidence with using English</t>
  </si>
  <si>
    <t>Atelier outil d'animation 3D</t>
  </si>
  <si>
    <t>Programmation Graphique 2D-3D</t>
  </si>
  <si>
    <t>Programmation Objet avancée (21)</t>
  </si>
  <si>
    <t>Atelier Programmation Objet avancée (21)</t>
  </si>
  <si>
    <t>Programmation Graphique 2D-3D (21)</t>
  </si>
  <si>
    <t>Volume horaire semestriel</t>
  </si>
  <si>
    <t>Crédits</t>
  </si>
  <si>
    <t>Coefficients</t>
  </si>
  <si>
    <t xml:space="preserve">Régime d'Examen </t>
  </si>
  <si>
    <t>Volume</t>
  </si>
  <si>
    <t>ECUE</t>
  </si>
  <si>
    <t>UE</t>
  </si>
  <si>
    <t>Contrôle</t>
  </si>
  <si>
    <t>Global</t>
  </si>
  <si>
    <t>le cas échéant</t>
  </si>
  <si>
    <t>Continu</t>
  </si>
  <si>
    <t>*</t>
  </si>
  <si>
    <t>Volume horaire par semaine S3</t>
  </si>
  <si>
    <t>Volume horaire par semaine S4</t>
  </si>
  <si>
    <t>Volume horaire par semaine S5</t>
  </si>
  <si>
    <t>Schéma d'enseignement</t>
  </si>
  <si>
    <t xml:space="preserve">La Commission Nationale Sectorielle des Études Technologiques </t>
  </si>
  <si>
    <t>%Charge Totale</t>
  </si>
  <si>
    <t>%Charge par semaine</t>
  </si>
  <si>
    <t xml:space="preserve">Développement Web </t>
  </si>
  <si>
    <t>Développement Web</t>
  </si>
  <si>
    <t>Conception Orientée Objet
 et méthodes agiles</t>
  </si>
  <si>
    <t>Conception Orientée Objet et méthodes agiles</t>
  </si>
  <si>
    <t>Techniques de Recherche d'Emploi et marketing de soi</t>
  </si>
  <si>
    <t>Version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</si>
</sst>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mmmm\-yyyy"/>
  </numFmts>
  <fonts count="53">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2"/>
      <name val="Calibri"/>
      <family val="2"/>
      <scheme val="minor"/>
    </font>
    <font>
      <sz val="11"/>
      <name val="Calibri"/>
      <family val="2"/>
      <scheme val="minor"/>
    </font>
    <font>
      <b/>
      <sz val="11"/>
      <name val="Calibri"/>
      <family val="2"/>
      <scheme val="minor"/>
    </font>
    <font>
      <b/>
      <sz val="12"/>
      <color theme="0"/>
      <name val="Calibri"/>
      <family val="2"/>
      <scheme val="minor"/>
    </font>
    <font>
      <b/>
      <sz val="12"/>
      <name val="Calibri"/>
      <family val="2"/>
      <scheme val="minor"/>
    </font>
    <font>
      <i/>
      <sz val="11"/>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2"/>
      <color theme="1"/>
      <name val="Calibri"/>
      <family val="2"/>
      <scheme val="minor"/>
    </font>
    <font>
      <sz val="12"/>
      <color rgb="FFFF0000"/>
      <name val="Calibri"/>
      <family val="2"/>
      <scheme val="minor"/>
    </font>
    <font>
      <b/>
      <u/>
      <sz val="12"/>
      <name val="Calibri"/>
      <family val="2"/>
      <scheme val="minor"/>
    </font>
    <font>
      <b/>
      <u/>
      <sz val="12"/>
      <color theme="1"/>
      <name val="Calibri"/>
      <family val="2"/>
      <scheme val="minor"/>
    </font>
    <font>
      <sz val="12"/>
      <color rgb="FF00B050"/>
      <name val="Calibri"/>
      <family val="2"/>
      <scheme val="minor"/>
    </font>
    <font>
      <sz val="12"/>
      <color rgb="FF000000"/>
      <name val="Calibri"/>
      <family val="2"/>
      <charset val="1"/>
    </font>
    <font>
      <b/>
      <sz val="12"/>
      <color rgb="FF000000"/>
      <name val="Calibri"/>
      <family val="2"/>
      <charset val="1"/>
    </font>
    <font>
      <sz val="12"/>
      <color rgb="FFFF0000"/>
      <name val="Calibri"/>
      <family val="2"/>
      <charset val="1"/>
    </font>
    <font>
      <sz val="12"/>
      <name val="Calibri"/>
      <family val="2"/>
      <charset val="1"/>
    </font>
    <font>
      <b/>
      <sz val="12"/>
      <name val="Calibri"/>
      <family val="2"/>
      <charset val="1"/>
    </font>
    <font>
      <b/>
      <sz val="12"/>
      <color rgb="FFFFFFFF"/>
      <name val="Calibri"/>
      <family val="2"/>
      <charset val="1"/>
    </font>
    <font>
      <sz val="12"/>
      <name val="Calibri"/>
      <family val="2"/>
    </font>
    <font>
      <b/>
      <sz val="10"/>
      <name val="Calibri"/>
      <family val="2"/>
      <charset val="1"/>
    </font>
    <font>
      <sz val="10"/>
      <name val="Calibri"/>
      <family val="2"/>
      <charset val="1"/>
    </font>
    <font>
      <sz val="11"/>
      <name val="Calibri"/>
      <family val="2"/>
    </font>
    <font>
      <sz val="12"/>
      <name val="Calibri"/>
      <family val="1"/>
      <charset val="2"/>
      <scheme val="minor"/>
    </font>
    <font>
      <sz val="12"/>
      <name val="Wingdings"/>
      <charset val="2"/>
    </font>
    <font>
      <sz val="12"/>
      <name val="Calibri"/>
      <family val="2"/>
      <charset val="2"/>
      <scheme val="minor"/>
    </font>
    <font>
      <sz val="10.45"/>
      <name val="Calibri"/>
      <family val="2"/>
    </font>
    <font>
      <b/>
      <sz val="12"/>
      <name val="Wingdings"/>
      <charset val="2"/>
    </font>
    <font>
      <b/>
      <sz val="12"/>
      <name val="Calibri"/>
      <family val="2"/>
      <charset val="2"/>
      <scheme val="minor"/>
    </font>
    <font>
      <b/>
      <sz val="10.45"/>
      <name val="Calibri"/>
      <family val="2"/>
    </font>
    <font>
      <sz val="10"/>
      <name val="Calibri"/>
      <family val="2"/>
      <charset val="2"/>
      <scheme val="minor"/>
    </font>
    <font>
      <sz val="10"/>
      <name val="Wingdings"/>
      <charset val="2"/>
    </font>
    <font>
      <sz val="10"/>
      <name val="Calibri"/>
      <family val="2"/>
    </font>
    <font>
      <sz val="9"/>
      <name val="Calibri"/>
      <family val="2"/>
      <scheme val="minor"/>
    </font>
    <font>
      <b/>
      <sz val="9"/>
      <name val="Calibri"/>
      <family val="2"/>
    </font>
    <font>
      <sz val="9"/>
      <name val="Calibri"/>
      <family val="2"/>
    </font>
    <font>
      <sz val="14"/>
      <name val="Calibri"/>
      <family val="2"/>
      <scheme val="minor"/>
    </font>
    <font>
      <b/>
      <u/>
      <sz val="10"/>
      <name val="Calibri"/>
      <family val="2"/>
      <scheme val="minor"/>
    </font>
    <font>
      <b/>
      <sz val="12"/>
      <color rgb="FF009999"/>
      <name val="Calibri"/>
      <family val="2"/>
      <scheme val="minor"/>
    </font>
    <font>
      <sz val="12"/>
      <color rgb="FF009999"/>
      <name val="Calibri"/>
      <family val="2"/>
      <scheme val="minor"/>
    </font>
    <font>
      <b/>
      <sz val="10"/>
      <color theme="0"/>
      <name val="Times New Roman"/>
      <family val="1"/>
    </font>
    <font>
      <b/>
      <sz val="11"/>
      <color theme="0"/>
      <name val="Times New Roman"/>
      <family val="1"/>
    </font>
    <font>
      <u/>
      <sz val="11"/>
      <color theme="10"/>
      <name val="Calibri"/>
      <family val="2"/>
      <scheme val="minor"/>
    </font>
    <font>
      <b/>
      <sz val="14"/>
      <color rgb="FFC00000"/>
      <name val="Calibri"/>
      <family val="2"/>
      <scheme val="minor"/>
    </font>
    <font>
      <sz val="14"/>
      <color rgb="FFC00000"/>
      <name val="Calibri"/>
      <family val="2"/>
      <scheme val="minor"/>
    </font>
    <font>
      <sz val="11"/>
      <color rgb="FFC00000"/>
      <name val="Calibri"/>
      <family val="2"/>
      <scheme val="minor"/>
    </font>
    <font>
      <b/>
      <sz val="12"/>
      <color rgb="FFC00000"/>
      <name val="Calibri"/>
      <family val="2"/>
      <scheme val="minor"/>
    </font>
    <font>
      <sz val="11"/>
      <color theme="0"/>
      <name val="Calibri"/>
      <family val="2"/>
      <scheme val="minor"/>
    </font>
  </fonts>
  <fills count="26">
    <fill>
      <patternFill patternType="none"/>
    </fill>
    <fill>
      <patternFill patternType="gray125"/>
    </fill>
    <fill>
      <patternFill patternType="solid">
        <fgColor theme="7" tint="0.79998168889431442"/>
        <bgColor indexed="65"/>
      </patternFill>
    </fill>
    <fill>
      <patternFill patternType="solid">
        <fgColor theme="7" tint="0.39997558519241921"/>
        <bgColor indexed="65"/>
      </patternFill>
    </fill>
    <fill>
      <patternFill patternType="solid">
        <fgColor theme="9" tint="0.59999389629810485"/>
        <bgColor indexed="65"/>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8080"/>
        <bgColor indexed="64"/>
      </patternFill>
    </fill>
    <fill>
      <patternFill patternType="solid">
        <fgColor theme="7" tint="0.79998168889431442"/>
        <bgColor indexed="64"/>
      </patternFill>
    </fill>
    <fill>
      <patternFill patternType="solid">
        <fgColor theme="7"/>
        <bgColor indexed="64"/>
      </patternFill>
    </fill>
    <fill>
      <patternFill patternType="solid">
        <fgColor theme="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1"/>
        <bgColor indexed="64"/>
      </patternFill>
    </fill>
    <fill>
      <patternFill patternType="solid">
        <fgColor rgb="FFFF808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FFFF"/>
        <bgColor rgb="FFF2F2F2"/>
      </patternFill>
    </fill>
    <fill>
      <patternFill patternType="solid">
        <fgColor rgb="FFF2F2F2"/>
        <bgColor rgb="FFFFFFFF"/>
      </patternFill>
    </fill>
    <fill>
      <patternFill patternType="solid">
        <fgColor rgb="FF008080"/>
        <bgColor rgb="FF008080"/>
      </patternFill>
    </fill>
    <fill>
      <patternFill patternType="solid">
        <fgColor theme="0"/>
        <bgColor rgb="FFF2F2F2"/>
      </patternFill>
    </fill>
    <fill>
      <patternFill patternType="solid">
        <fgColor rgb="FFFFFFFF"/>
        <bgColor indexed="64"/>
      </patternFill>
    </fill>
    <fill>
      <patternFill patternType="solid">
        <fgColor rgb="FF339933"/>
        <bgColor indexed="64"/>
      </patternFill>
    </fill>
    <fill>
      <patternFill patternType="solid">
        <fgColor theme="3"/>
        <bgColor indexed="64"/>
      </patternFill>
    </fill>
    <fill>
      <patternFill patternType="solid">
        <fgColor theme="5"/>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bottom/>
      <diagonal/>
    </border>
    <border>
      <left/>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top style="thin">
        <color rgb="FF000000"/>
      </top>
      <bottom style="thin">
        <color rgb="FF000000"/>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style="medium">
        <color indexed="64"/>
      </top>
      <bottom style="thin">
        <color rgb="FF000000"/>
      </bottom>
      <diagonal/>
    </border>
    <border>
      <left/>
      <right style="medium">
        <color indexed="64"/>
      </right>
      <top/>
      <bottom/>
      <diagonal/>
    </border>
    <border>
      <left/>
      <right style="medium">
        <color indexed="64"/>
      </right>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indexed="64"/>
      </top>
      <bottom/>
      <diagonal/>
    </border>
    <border>
      <left/>
      <right/>
      <top/>
      <bottom style="thin">
        <color indexed="64"/>
      </bottom>
      <diagonal/>
    </border>
    <border>
      <left/>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medium">
        <color indexed="64"/>
      </bottom>
      <diagonal/>
    </border>
  </borders>
  <cellStyleXfs count="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47" fillId="0" borderId="0" applyNumberFormat="0" applyFill="0" applyBorder="0" applyAlignment="0" applyProtection="0"/>
    <xf numFmtId="0" fontId="52" fillId="25" borderId="0" applyNumberFormat="0" applyBorder="0" applyAlignment="0" applyProtection="0"/>
  </cellStyleXfs>
  <cellXfs count="479">
    <xf numFmtId="0" fontId="0" fillId="0" borderId="0" xfId="0"/>
    <xf numFmtId="0" fontId="0" fillId="5" borderId="0" xfId="0" applyFill="1"/>
    <xf numFmtId="0" fontId="0" fillId="5" borderId="1" xfId="0" applyFill="1" applyBorder="1"/>
    <xf numFmtId="0" fontId="2" fillId="8" borderId="1" xfId="0" applyFont="1" applyFill="1" applyBorder="1" applyAlignment="1">
      <alignment horizontal="center"/>
    </xf>
    <xf numFmtId="0" fontId="4" fillId="5" borderId="1" xfId="0" applyFont="1" applyFill="1" applyBorder="1" applyAlignment="1">
      <alignment vertical="center"/>
    </xf>
    <xf numFmtId="0" fontId="4" fillId="0" borderId="1" xfId="0" applyFont="1" applyBorder="1" applyAlignment="1">
      <alignment vertical="center" wrapText="1"/>
    </xf>
    <xf numFmtId="0" fontId="3" fillId="5" borderId="1" xfId="0" applyFont="1" applyFill="1" applyBorder="1" applyAlignment="1">
      <alignment horizontal="center"/>
    </xf>
    <xf numFmtId="0" fontId="5" fillId="5" borderId="1" xfId="0" applyFont="1" applyFill="1" applyBorder="1" applyAlignment="1">
      <alignment horizontal="center"/>
    </xf>
    <xf numFmtId="0" fontId="5" fillId="5" borderId="1" xfId="0" applyFont="1" applyFill="1" applyBorder="1"/>
    <xf numFmtId="0" fontId="6" fillId="12" borderId="2" xfId="0" applyFont="1" applyFill="1" applyBorder="1" applyAlignment="1">
      <alignment horizontal="centerContinuous" vertical="center"/>
    </xf>
    <xf numFmtId="0" fontId="2" fillId="11" borderId="1" xfId="0" applyFont="1" applyFill="1" applyBorder="1" applyAlignment="1">
      <alignment horizontal="centerContinuous" vertical="center"/>
    </xf>
    <xf numFmtId="0" fontId="2" fillId="11" borderId="2" xfId="0" applyFont="1" applyFill="1" applyBorder="1" applyAlignment="1">
      <alignment horizontal="centerContinuous" vertical="center"/>
    </xf>
    <xf numFmtId="0" fontId="2" fillId="11" borderId="3" xfId="0" applyFont="1" applyFill="1" applyBorder="1" applyAlignment="1">
      <alignment horizontal="centerContinuous" vertical="center"/>
    </xf>
    <xf numFmtId="0" fontId="5" fillId="0" borderId="4" xfId="1" applyFont="1" applyFill="1" applyBorder="1" applyAlignment="1" applyProtection="1">
      <alignment horizontal="left" vertical="center" wrapText="1"/>
      <protection locked="0"/>
    </xf>
    <xf numFmtId="0" fontId="3" fillId="5" borderId="1" xfId="0" applyFont="1" applyFill="1" applyBorder="1" applyAlignment="1">
      <alignment horizontal="center" vertical="center"/>
    </xf>
    <xf numFmtId="0" fontId="6" fillId="13" borderId="1" xfId="2" applyFont="1" applyFill="1" applyBorder="1" applyAlignment="1" applyProtection="1">
      <alignment horizontal="center" vertical="center" wrapText="1"/>
      <protection locked="0"/>
    </xf>
    <xf numFmtId="0" fontId="6" fillId="13" borderId="1" xfId="0" applyFont="1" applyFill="1" applyBorder="1" applyAlignment="1">
      <alignment horizontal="center"/>
    </xf>
    <xf numFmtId="0" fontId="5" fillId="5" borderId="1" xfId="0" applyFont="1" applyFill="1" applyBorder="1" applyAlignment="1" applyProtection="1">
      <alignment vertical="center" wrapText="1"/>
    </xf>
    <xf numFmtId="0" fontId="2" fillId="12" borderId="3" xfId="0" applyFont="1" applyFill="1" applyBorder="1" applyAlignment="1">
      <alignment horizontal="centerContinuous" vertical="center"/>
    </xf>
    <xf numFmtId="0" fontId="3" fillId="16" borderId="1" xfId="0" applyFont="1" applyFill="1" applyBorder="1" applyAlignment="1">
      <alignment horizontal="center" vertical="center"/>
    </xf>
    <xf numFmtId="0" fontId="4" fillId="5" borderId="1" xfId="0" applyFont="1" applyFill="1" applyBorder="1" applyAlignment="1">
      <alignment vertical="center" wrapText="1"/>
    </xf>
    <xf numFmtId="0" fontId="4" fillId="5" borderId="1" xfId="0" applyFont="1" applyFill="1" applyBorder="1" applyAlignment="1">
      <alignment horizontal="center" vertical="center"/>
    </xf>
    <xf numFmtId="0" fontId="6" fillId="12" borderId="1" xfId="0" applyFont="1" applyFill="1" applyBorder="1" applyAlignment="1">
      <alignment horizontal="centerContinuous"/>
    </xf>
    <xf numFmtId="0" fontId="7" fillId="14" borderId="1" xfId="0" applyFont="1" applyFill="1" applyBorder="1" applyAlignment="1">
      <alignment horizontal="center" vertical="center"/>
    </xf>
    <xf numFmtId="0" fontId="8" fillId="5" borderId="1" xfId="0" applyFont="1" applyFill="1" applyBorder="1" applyAlignment="1">
      <alignment horizontal="center" vertical="center"/>
    </xf>
    <xf numFmtId="0" fontId="9" fillId="5" borderId="0" xfId="0" applyFont="1" applyFill="1"/>
    <xf numFmtId="0" fontId="4" fillId="5" borderId="1" xfId="0" applyFont="1" applyFill="1" applyBorder="1" applyAlignment="1">
      <alignment horizontal="center" vertical="center" wrapText="1"/>
    </xf>
    <xf numFmtId="0" fontId="6" fillId="13" borderId="20" xfId="0" applyFont="1" applyFill="1" applyBorder="1" applyAlignment="1" applyProtection="1">
      <alignment horizontal="centerContinuous" vertical="center" wrapText="1"/>
      <protection locked="0"/>
    </xf>
    <xf numFmtId="0" fontId="6" fillId="13" borderId="21" xfId="0" applyFont="1" applyFill="1" applyBorder="1" applyAlignment="1" applyProtection="1">
      <alignment vertical="center" wrapText="1"/>
      <protection locked="0"/>
    </xf>
    <xf numFmtId="0" fontId="3" fillId="13" borderId="19" xfId="0" applyFont="1" applyFill="1" applyBorder="1" applyAlignment="1">
      <alignment vertical="center"/>
    </xf>
    <xf numFmtId="0" fontId="6" fillId="13" borderId="21" xfId="0" applyFont="1" applyFill="1" applyBorder="1" applyAlignment="1" applyProtection="1">
      <alignment horizontal="center" vertical="center"/>
      <protection locked="0"/>
    </xf>
    <xf numFmtId="0" fontId="0" fillId="15" borderId="19" xfId="0" applyFill="1" applyBorder="1"/>
    <xf numFmtId="0" fontId="2" fillId="15" borderId="20" xfId="0" applyFont="1" applyFill="1" applyBorder="1" applyAlignment="1" applyProtection="1">
      <alignment horizontal="centerContinuous" vertical="center" wrapText="1"/>
    </xf>
    <xf numFmtId="1" fontId="2" fillId="15" borderId="21" xfId="0" applyNumberFormat="1" applyFont="1" applyFill="1" applyBorder="1" applyAlignment="1" applyProtection="1">
      <alignment horizontal="center"/>
      <protection locked="0"/>
    </xf>
    <xf numFmtId="0" fontId="2" fillId="15" borderId="13" xfId="0" applyFont="1" applyFill="1" applyBorder="1" applyAlignment="1" applyProtection="1">
      <alignment horizontal="center"/>
      <protection locked="0"/>
    </xf>
    <xf numFmtId="0" fontId="5" fillId="5" borderId="1" xfId="0" applyFont="1" applyFill="1" applyBorder="1" applyAlignment="1" applyProtection="1">
      <alignment vertical="top" wrapText="1"/>
    </xf>
    <xf numFmtId="0" fontId="0" fillId="5" borderId="0" xfId="0" applyFill="1" applyAlignment="1">
      <alignment horizontal="center" vertical="center"/>
    </xf>
    <xf numFmtId="0" fontId="3" fillId="12" borderId="5" xfId="0" applyFont="1" applyFill="1" applyBorder="1" applyAlignment="1">
      <alignment horizontal="center"/>
    </xf>
    <xf numFmtId="0" fontId="3" fillId="16" borderId="1" xfId="0" applyFont="1" applyFill="1" applyBorder="1" applyAlignment="1">
      <alignment horizontal="center" vertical="center"/>
    </xf>
    <xf numFmtId="0" fontId="5" fillId="5" borderId="0" xfId="0" applyFont="1" applyFill="1"/>
    <xf numFmtId="0" fontId="6" fillId="12" borderId="1" xfId="0" applyFont="1" applyFill="1" applyBorder="1" applyAlignment="1">
      <alignment horizontal="center"/>
    </xf>
    <xf numFmtId="0" fontId="5" fillId="0" borderId="27" xfId="0" applyFont="1" applyFill="1" applyBorder="1" applyAlignment="1" applyProtection="1">
      <alignment vertical="top" wrapText="1"/>
    </xf>
    <xf numFmtId="0" fontId="5" fillId="0" borderId="1" xfId="0" applyFont="1" applyFill="1" applyBorder="1" applyAlignment="1" applyProtection="1">
      <alignment vertical="top" wrapText="1"/>
    </xf>
    <xf numFmtId="0" fontId="6" fillId="13" borderId="14" xfId="0" applyFont="1" applyFill="1" applyBorder="1" applyAlignment="1" applyProtection="1">
      <alignment horizontal="centerContinuous" vertical="center" wrapText="1"/>
      <protection locked="0"/>
    </xf>
    <xf numFmtId="0" fontId="6" fillId="13" borderId="29" xfId="0" applyFont="1" applyFill="1" applyBorder="1" applyAlignment="1" applyProtection="1">
      <alignment horizontal="centerContinuous" vertical="center" wrapText="1"/>
      <protection locked="0"/>
    </xf>
    <xf numFmtId="1" fontId="6" fillId="13" borderId="14" xfId="0" applyNumberFormat="1" applyFont="1" applyFill="1" applyBorder="1" applyAlignment="1" applyProtection="1">
      <alignment horizontal="center" vertical="center"/>
      <protection locked="0"/>
    </xf>
    <xf numFmtId="0" fontId="3" fillId="13" borderId="34" xfId="0" applyFont="1" applyFill="1" applyBorder="1" applyAlignment="1">
      <alignment horizontal="left" vertical="center"/>
    </xf>
    <xf numFmtId="0" fontId="6" fillId="13" borderId="14" xfId="0" applyFont="1" applyFill="1" applyBorder="1" applyAlignment="1" applyProtection="1">
      <alignment vertical="center" wrapText="1"/>
      <protection locked="0"/>
    </xf>
    <xf numFmtId="0" fontId="0" fillId="13" borderId="35" xfId="0" applyFill="1" applyBorder="1"/>
    <xf numFmtId="1" fontId="6" fillId="13" borderId="28" xfId="0" applyNumberFormat="1" applyFont="1" applyFill="1" applyBorder="1" applyAlignment="1" applyProtection="1">
      <alignment horizontal="center" vertical="center"/>
      <protection locked="0"/>
    </xf>
    <xf numFmtId="0" fontId="6" fillId="13" borderId="28" xfId="0" applyFont="1" applyFill="1" applyBorder="1" applyAlignment="1" applyProtection="1">
      <alignment vertical="center" wrapText="1"/>
      <protection locked="0"/>
    </xf>
    <xf numFmtId="0" fontId="5" fillId="5" borderId="26" xfId="0" applyFont="1" applyFill="1" applyBorder="1" applyAlignment="1" applyProtection="1">
      <alignment vertical="top" wrapText="1"/>
    </xf>
    <xf numFmtId="0" fontId="6" fillId="12" borderId="1" xfId="0" applyFont="1" applyFill="1" applyBorder="1" applyAlignment="1">
      <alignment horizontal="center"/>
    </xf>
    <xf numFmtId="0" fontId="3" fillId="12" borderId="1" xfId="0" applyFont="1" applyFill="1" applyBorder="1" applyAlignment="1">
      <alignment horizontal="center"/>
    </xf>
    <xf numFmtId="0" fontId="7" fillId="8" borderId="0" xfId="0" applyFont="1" applyFill="1" applyAlignment="1">
      <alignment horizontal="centerContinuous" vertical="center"/>
    </xf>
    <xf numFmtId="0" fontId="12" fillId="8" borderId="0" xfId="0" applyFont="1" applyFill="1" applyAlignment="1">
      <alignment horizontal="centerContinuous"/>
    </xf>
    <xf numFmtId="0" fontId="12" fillId="5" borderId="0" xfId="0" applyFont="1" applyFill="1" applyAlignment="1">
      <alignment vertical="top"/>
    </xf>
    <xf numFmtId="0" fontId="13" fillId="6" borderId="2" xfId="0" applyFont="1" applyFill="1" applyBorder="1" applyAlignment="1">
      <alignment vertical="top"/>
    </xf>
    <xf numFmtId="0" fontId="13" fillId="6" borderId="2" xfId="0" applyFont="1" applyFill="1" applyBorder="1" applyAlignment="1">
      <alignment vertical="top" wrapText="1"/>
    </xf>
    <xf numFmtId="0" fontId="13" fillId="6" borderId="1" xfId="0" applyFont="1" applyFill="1" applyBorder="1" applyAlignment="1">
      <alignment horizontal="center" vertical="top"/>
    </xf>
    <xf numFmtId="0" fontId="12" fillId="5" borderId="0" xfId="0" applyFont="1" applyFill="1" applyBorder="1" applyAlignment="1">
      <alignment horizontal="left" vertical="top" wrapText="1"/>
    </xf>
    <xf numFmtId="0" fontId="12" fillId="5" borderId="0" xfId="0" applyFont="1" applyFill="1" applyBorder="1" applyAlignment="1">
      <alignment horizontal="left" vertical="top"/>
    </xf>
    <xf numFmtId="0" fontId="13" fillId="6" borderId="1" xfId="0" applyFont="1" applyFill="1" applyBorder="1" applyAlignment="1">
      <alignment vertical="top"/>
    </xf>
    <xf numFmtId="0" fontId="14" fillId="5" borderId="1" xfId="0" applyFont="1" applyFill="1" applyBorder="1" applyAlignment="1">
      <alignment vertical="top"/>
    </xf>
    <xf numFmtId="0" fontId="12" fillId="5" borderId="1" xfId="0" applyFont="1" applyFill="1" applyBorder="1" applyAlignment="1">
      <alignment vertical="top"/>
    </xf>
    <xf numFmtId="0" fontId="13" fillId="6" borderId="2" xfId="0" applyFont="1" applyFill="1" applyBorder="1" applyAlignment="1">
      <alignment horizontal="left" vertical="top"/>
    </xf>
    <xf numFmtId="0" fontId="13" fillId="6" borderId="3" xfId="0" applyFont="1" applyFill="1" applyBorder="1" applyAlignment="1">
      <alignment horizontal="left" vertical="top"/>
    </xf>
    <xf numFmtId="0" fontId="13" fillId="6" borderId="4" xfId="0" applyFont="1" applyFill="1" applyBorder="1" applyAlignment="1">
      <alignment horizontal="left" vertical="top"/>
    </xf>
    <xf numFmtId="0" fontId="4" fillId="5" borderId="3" xfId="0" applyFont="1" applyFill="1" applyBorder="1" applyAlignment="1">
      <alignment horizontal="left" vertical="top"/>
    </xf>
    <xf numFmtId="0" fontId="4" fillId="5" borderId="4" xfId="0" applyFont="1" applyFill="1" applyBorder="1" applyAlignment="1">
      <alignment horizontal="left" vertical="top"/>
    </xf>
    <xf numFmtId="0" fontId="4" fillId="5" borderId="2" xfId="0" applyFont="1" applyFill="1" applyBorder="1" applyAlignment="1">
      <alignment horizontal="left" vertical="top"/>
    </xf>
    <xf numFmtId="0" fontId="12" fillId="5" borderId="2" xfId="0" applyFont="1" applyFill="1" applyBorder="1" applyAlignment="1">
      <alignment horizontal="center" vertical="top"/>
    </xf>
    <xf numFmtId="0" fontId="12" fillId="5" borderId="3" xfId="0" applyFont="1" applyFill="1" applyBorder="1" applyAlignment="1">
      <alignment horizontal="center" vertical="top"/>
    </xf>
    <xf numFmtId="0" fontId="12" fillId="5" borderId="4" xfId="0" applyFont="1" applyFill="1" applyBorder="1" applyAlignment="1">
      <alignment horizontal="center" vertical="top"/>
    </xf>
    <xf numFmtId="0" fontId="4" fillId="5" borderId="0" xfId="0" applyFont="1" applyFill="1" applyBorder="1" applyAlignment="1">
      <alignment horizontal="center" vertical="center" wrapText="1"/>
    </xf>
    <xf numFmtId="0" fontId="4" fillId="5" borderId="0"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vertical="top"/>
    </xf>
    <xf numFmtId="0" fontId="12" fillId="5" borderId="0" xfId="0" applyFont="1" applyFill="1" applyAlignment="1">
      <alignment horizontal="centerContinuous"/>
    </xf>
    <xf numFmtId="0" fontId="4" fillId="5" borderId="0" xfId="0" applyFont="1" applyFill="1" applyBorder="1" applyAlignment="1">
      <alignment horizontal="center" vertical="top"/>
    </xf>
    <xf numFmtId="0" fontId="13" fillId="5" borderId="0" xfId="0" applyFont="1" applyFill="1" applyBorder="1" applyAlignment="1">
      <alignment horizontal="center" vertical="top"/>
    </xf>
    <xf numFmtId="0" fontId="13" fillId="5" borderId="0" xfId="0" applyFont="1" applyFill="1" applyBorder="1" applyAlignment="1">
      <alignment horizontal="left" vertical="top"/>
    </xf>
    <xf numFmtId="0" fontId="14" fillId="5" borderId="0" xfId="0" applyFont="1" applyFill="1" applyBorder="1" applyAlignment="1">
      <alignment horizontal="left" vertical="top"/>
    </xf>
    <xf numFmtId="0" fontId="4" fillId="5" borderId="0" xfId="0" applyFont="1" applyFill="1" applyBorder="1" applyAlignment="1">
      <alignment horizontal="left" vertical="top"/>
    </xf>
    <xf numFmtId="0" fontId="13" fillId="6" borderId="3" xfId="0" applyFont="1" applyFill="1" applyBorder="1" applyAlignment="1">
      <alignment vertical="top"/>
    </xf>
    <xf numFmtId="0" fontId="13" fillId="6" borderId="4" xfId="0" applyFont="1" applyFill="1" applyBorder="1" applyAlignment="1">
      <alignment vertical="top"/>
    </xf>
    <xf numFmtId="0" fontId="4" fillId="5" borderId="7" xfId="0" applyFont="1" applyFill="1" applyBorder="1" applyAlignment="1">
      <alignment vertical="top"/>
    </xf>
    <xf numFmtId="0" fontId="4" fillId="5" borderId="42" xfId="0" applyFont="1" applyFill="1" applyBorder="1" applyAlignment="1">
      <alignment vertical="top"/>
    </xf>
    <xf numFmtId="0" fontId="4" fillId="5" borderId="10" xfId="0" applyFont="1" applyFill="1" applyBorder="1" applyAlignment="1">
      <alignment vertical="top"/>
    </xf>
    <xf numFmtId="0" fontId="14" fillId="5" borderId="9" xfId="0" applyFont="1" applyFill="1" applyBorder="1" applyAlignment="1">
      <alignment vertical="top"/>
    </xf>
    <xf numFmtId="0" fontId="14" fillId="5" borderId="43" xfId="0" applyFont="1" applyFill="1" applyBorder="1" applyAlignment="1">
      <alignment vertical="top"/>
    </xf>
    <xf numFmtId="0" fontId="14" fillId="5" borderId="12" xfId="0" applyFont="1" applyFill="1" applyBorder="1" applyAlignment="1">
      <alignment vertical="top"/>
    </xf>
    <xf numFmtId="0" fontId="17" fillId="5" borderId="0" xfId="0" applyFont="1" applyFill="1" applyBorder="1" applyAlignment="1">
      <alignment horizontal="left" vertical="top"/>
    </xf>
    <xf numFmtId="0" fontId="12" fillId="5" borderId="2" xfId="0" applyFont="1" applyFill="1" applyBorder="1" applyAlignment="1">
      <alignment vertical="top"/>
    </xf>
    <xf numFmtId="0" fontId="12" fillId="5" borderId="3" xfId="0" applyFont="1" applyFill="1" applyBorder="1" applyAlignment="1">
      <alignment vertical="top"/>
    </xf>
    <xf numFmtId="0" fontId="12" fillId="5" borderId="4" xfId="0" applyFont="1" applyFill="1" applyBorder="1" applyAlignment="1">
      <alignment vertical="top"/>
    </xf>
    <xf numFmtId="0" fontId="12" fillId="5" borderId="0" xfId="0" applyFont="1" applyFill="1" applyBorder="1" applyAlignment="1">
      <alignment horizontal="center" vertical="top"/>
    </xf>
    <xf numFmtId="0" fontId="12" fillId="5" borderId="0" xfId="0" applyFont="1" applyFill="1"/>
    <xf numFmtId="0" fontId="4" fillId="5" borderId="1" xfId="0" applyFont="1" applyFill="1" applyBorder="1" applyAlignment="1">
      <alignment vertical="top"/>
    </xf>
    <xf numFmtId="0" fontId="4" fillId="5" borderId="1" xfId="0" applyFont="1" applyFill="1" applyBorder="1" applyAlignment="1">
      <alignment horizontal="left" vertical="top"/>
    </xf>
    <xf numFmtId="0" fontId="13" fillId="6" borderId="2" xfId="0" applyFont="1" applyFill="1" applyBorder="1" applyAlignment="1">
      <alignment vertical="top" wrapText="1"/>
    </xf>
    <xf numFmtId="0" fontId="4" fillId="5" borderId="1" xfId="0" applyFont="1" applyFill="1" applyBorder="1" applyAlignment="1">
      <alignment horizontal="left" vertical="top"/>
    </xf>
    <xf numFmtId="0" fontId="4" fillId="5" borderId="1" xfId="0" applyFont="1" applyFill="1" applyBorder="1" applyAlignment="1">
      <alignment vertical="top" wrapText="1"/>
    </xf>
    <xf numFmtId="0" fontId="12" fillId="5" borderId="0" xfId="0" applyFont="1" applyFill="1" applyBorder="1" applyAlignment="1">
      <alignment vertical="top"/>
    </xf>
    <xf numFmtId="0" fontId="14" fillId="5" borderId="1" xfId="0" applyFont="1" applyFill="1" applyBorder="1" applyAlignment="1">
      <alignment vertical="top" wrapText="1"/>
    </xf>
    <xf numFmtId="0" fontId="18" fillId="18" borderId="0" xfId="0" applyFont="1" applyFill="1" applyBorder="1" applyAlignment="1">
      <alignment horizontal="left" vertical="top"/>
    </xf>
    <xf numFmtId="0" fontId="18" fillId="18" borderId="1" xfId="0" applyFont="1" applyFill="1" applyBorder="1" applyAlignment="1">
      <alignment vertical="top"/>
    </xf>
    <xf numFmtId="0" fontId="20" fillId="18" borderId="1" xfId="0" applyFont="1" applyFill="1" applyBorder="1" applyAlignment="1">
      <alignment vertical="top"/>
    </xf>
    <xf numFmtId="0" fontId="19" fillId="19" borderId="1" xfId="0" applyFont="1" applyFill="1" applyBorder="1" applyAlignment="1">
      <alignment vertical="top"/>
    </xf>
    <xf numFmtId="0" fontId="21" fillId="18" borderId="1" xfId="0" applyFont="1" applyFill="1" applyBorder="1" applyAlignment="1">
      <alignment vertical="top"/>
    </xf>
    <xf numFmtId="0" fontId="18" fillId="18" borderId="0" xfId="0" applyFont="1" applyFill="1" applyBorder="1" applyAlignment="1">
      <alignment horizontal="left" vertical="top" wrapText="1"/>
    </xf>
    <xf numFmtId="0" fontId="21" fillId="18" borderId="0" xfId="0" applyFont="1" applyFill="1" applyBorder="1" applyAlignment="1">
      <alignment horizontal="center" vertical="center"/>
    </xf>
    <xf numFmtId="0" fontId="21" fillId="18" borderId="0" xfId="0" applyFont="1" applyFill="1" applyBorder="1" applyAlignment="1">
      <alignment horizontal="center" vertical="center" wrapText="1"/>
    </xf>
    <xf numFmtId="0" fontId="21" fillId="18" borderId="1" xfId="0" applyFont="1" applyFill="1" applyBorder="1" applyAlignment="1">
      <alignment horizontal="center" vertical="center"/>
    </xf>
    <xf numFmtId="0" fontId="21" fillId="18" borderId="1" xfId="0" applyFont="1" applyFill="1" applyBorder="1" applyAlignment="1">
      <alignment horizontal="center" vertical="center" wrapText="1"/>
    </xf>
    <xf numFmtId="0" fontId="19" fillId="19" borderId="1" xfId="0" applyFont="1" applyFill="1" applyBorder="1" applyAlignment="1">
      <alignment horizontal="center" vertical="top"/>
    </xf>
    <xf numFmtId="0" fontId="19" fillId="19" borderId="2" xfId="0" applyFont="1" applyFill="1" applyBorder="1" applyAlignment="1">
      <alignment vertical="top"/>
    </xf>
    <xf numFmtId="0" fontId="19" fillId="19" borderId="2" xfId="0" applyFont="1" applyFill="1" applyBorder="1" applyAlignment="1">
      <alignment vertical="top" wrapText="1"/>
    </xf>
    <xf numFmtId="0" fontId="18" fillId="18" borderId="0" xfId="0" applyFont="1" applyFill="1" applyAlignment="1">
      <alignment vertical="top"/>
    </xf>
    <xf numFmtId="0" fontId="18" fillId="18" borderId="0" xfId="0" applyFont="1" applyFill="1"/>
    <xf numFmtId="0" fontId="18" fillId="21" borderId="0" xfId="0" applyFont="1" applyFill="1" applyAlignment="1">
      <alignment vertical="top"/>
    </xf>
    <xf numFmtId="0" fontId="27" fillId="5" borderId="0" xfId="0" applyFont="1" applyFill="1" applyBorder="1"/>
    <xf numFmtId="0" fontId="5" fillId="5" borderId="0" xfId="0" applyFont="1" applyFill="1" applyBorder="1"/>
    <xf numFmtId="0" fontId="18" fillId="21" borderId="0" xfId="0" applyFont="1" applyFill="1"/>
    <xf numFmtId="0" fontId="12" fillId="5" borderId="0" xfId="0" applyFont="1" applyFill="1" applyAlignment="1">
      <alignment horizontal="left" vertical="top"/>
    </xf>
    <xf numFmtId="0" fontId="4" fillId="5" borderId="1" xfId="0" applyFont="1" applyFill="1" applyBorder="1" applyAlignment="1">
      <alignment horizontal="left" vertical="center"/>
    </xf>
    <xf numFmtId="0" fontId="13" fillId="5" borderId="0" xfId="0" applyFont="1" applyFill="1" applyAlignment="1">
      <alignment vertical="top"/>
    </xf>
    <xf numFmtId="0" fontId="4" fillId="5" borderId="1" xfId="0" applyFont="1" applyFill="1" applyBorder="1" applyAlignment="1">
      <alignment horizontal="left" vertical="top" wrapText="1"/>
    </xf>
    <xf numFmtId="0" fontId="12" fillId="5" borderId="0" xfId="0" applyFont="1" applyFill="1" applyAlignment="1">
      <alignment wrapText="1"/>
    </xf>
    <xf numFmtId="0" fontId="12" fillId="5" borderId="0" xfId="0" applyFont="1" applyFill="1" applyAlignment="1">
      <alignment vertical="top" wrapText="1"/>
    </xf>
    <xf numFmtId="0" fontId="13" fillId="6" borderId="1" xfId="0" applyFont="1" applyFill="1" applyBorder="1" applyAlignment="1">
      <alignment vertical="top" wrapText="1"/>
    </xf>
    <xf numFmtId="0" fontId="13" fillId="6" borderId="1" xfId="0" applyFont="1" applyFill="1" applyBorder="1" applyAlignment="1">
      <alignment horizontal="center" vertical="center" wrapText="1"/>
    </xf>
    <xf numFmtId="0" fontId="2" fillId="11" borderId="1" xfId="0" applyFont="1" applyFill="1" applyBorder="1" applyAlignment="1" applyProtection="1">
      <alignment horizontal="centerContinuous"/>
      <protection locked="0"/>
    </xf>
    <xf numFmtId="0" fontId="2" fillId="10" borderId="1" xfId="0" applyFont="1" applyFill="1" applyBorder="1" applyAlignment="1" applyProtection="1">
      <alignment horizontal="center" vertical="center" wrapText="1"/>
      <protection locked="0"/>
    </xf>
    <xf numFmtId="0" fontId="2" fillId="14" borderId="1" xfId="0" applyFont="1" applyFill="1" applyBorder="1" applyAlignment="1" applyProtection="1">
      <alignment horizontal="center" vertical="center" wrapText="1"/>
      <protection locked="0"/>
    </xf>
    <xf numFmtId="0" fontId="5" fillId="6" borderId="2" xfId="0" applyFont="1" applyFill="1" applyBorder="1" applyAlignment="1" applyProtection="1">
      <alignment horizontal="center" vertical="center"/>
    </xf>
    <xf numFmtId="0" fontId="5" fillId="5" borderId="1" xfId="0" applyFont="1" applyFill="1" applyBorder="1" applyAlignment="1" applyProtection="1">
      <alignment vertical="center"/>
      <protection locked="0"/>
    </xf>
    <xf numFmtId="0" fontId="4" fillId="5" borderId="1" xfId="0" applyFont="1" applyFill="1" applyBorder="1" applyAlignment="1">
      <alignment horizontal="center" vertical="top" wrapText="1"/>
    </xf>
    <xf numFmtId="0" fontId="4" fillId="5" borderId="1" xfId="0" applyFont="1" applyFill="1" applyBorder="1" applyAlignment="1">
      <alignment horizontal="center" vertical="top"/>
    </xf>
    <xf numFmtId="0" fontId="11" fillId="5" borderId="1" xfId="0" applyFont="1" applyFill="1" applyBorder="1" applyAlignment="1">
      <alignment horizontal="left" vertical="top" wrapText="1"/>
    </xf>
    <xf numFmtId="0" fontId="6" fillId="12" borderId="1" xfId="0" applyFont="1" applyFill="1" applyBorder="1" applyAlignment="1">
      <alignment horizontal="center" vertical="center" wrapText="1"/>
    </xf>
    <xf numFmtId="0" fontId="4" fillId="5" borderId="0" xfId="0" applyFont="1" applyFill="1" applyBorder="1" applyAlignment="1">
      <alignment horizontal="left" vertical="top"/>
    </xf>
    <xf numFmtId="0" fontId="13" fillId="6" borderId="2" xfId="0" applyFont="1" applyFill="1" applyBorder="1" applyAlignment="1">
      <alignment vertical="top" wrapText="1"/>
    </xf>
    <xf numFmtId="0" fontId="27" fillId="22" borderId="1" xfId="0" applyFont="1" applyFill="1" applyBorder="1" applyAlignment="1">
      <alignment vertical="center"/>
    </xf>
    <xf numFmtId="0" fontId="0" fillId="5" borderId="46" xfId="0" applyFill="1" applyBorder="1"/>
    <xf numFmtId="0" fontId="0" fillId="5" borderId="47" xfId="0" applyFill="1" applyBorder="1"/>
    <xf numFmtId="0" fontId="0" fillId="5" borderId="48" xfId="0" applyFill="1" applyBorder="1"/>
    <xf numFmtId="0" fontId="0" fillId="5" borderId="49" xfId="0" applyFill="1" applyBorder="1"/>
    <xf numFmtId="0" fontId="0" fillId="5" borderId="0" xfId="0" applyFill="1" applyBorder="1"/>
    <xf numFmtId="0" fontId="0" fillId="5" borderId="37" xfId="0" applyFill="1" applyBorder="1"/>
    <xf numFmtId="0" fontId="0" fillId="5" borderId="49" xfId="0" applyFill="1" applyBorder="1" applyAlignment="1">
      <alignment vertical="center"/>
    </xf>
    <xf numFmtId="0" fontId="0" fillId="5" borderId="0" xfId="0" applyFill="1" applyBorder="1" applyAlignment="1">
      <alignment vertical="center"/>
    </xf>
    <xf numFmtId="0" fontId="0" fillId="5" borderId="37" xfId="0" applyFill="1" applyBorder="1" applyAlignment="1">
      <alignment vertical="center"/>
    </xf>
    <xf numFmtId="0" fontId="12" fillId="5" borderId="49" xfId="0" applyFont="1" applyFill="1" applyBorder="1" applyAlignment="1">
      <alignment horizontal="center" vertical="top" wrapText="1"/>
    </xf>
    <xf numFmtId="0" fontId="12" fillId="5" borderId="0" xfId="0" applyFont="1" applyFill="1" applyBorder="1" applyAlignment="1">
      <alignment horizontal="center" vertical="top" wrapText="1"/>
    </xf>
    <xf numFmtId="0" fontId="12" fillId="5" borderId="37" xfId="0" applyFont="1" applyFill="1" applyBorder="1" applyAlignment="1">
      <alignment horizontal="center" vertical="top" wrapText="1"/>
    </xf>
    <xf numFmtId="0" fontId="5" fillId="5" borderId="49" xfId="0" applyFont="1" applyFill="1" applyBorder="1" applyAlignment="1">
      <alignment vertical="center"/>
    </xf>
    <xf numFmtId="0" fontId="5" fillId="5" borderId="0" xfId="0" applyFont="1" applyFill="1" applyBorder="1" applyAlignment="1">
      <alignment vertical="center"/>
    </xf>
    <xf numFmtId="0" fontId="5" fillId="5" borderId="37" xfId="0" applyFont="1" applyFill="1" applyBorder="1" applyAlignment="1">
      <alignment vertical="center"/>
    </xf>
    <xf numFmtId="0" fontId="5" fillId="0" borderId="1" xfId="3" applyFont="1" applyFill="1" applyBorder="1" applyAlignment="1" applyProtection="1">
      <alignment horizontal="left" vertical="center" wrapText="1"/>
      <protection locked="0"/>
    </xf>
    <xf numFmtId="0" fontId="0" fillId="0" borderId="0" xfId="0" applyFill="1"/>
    <xf numFmtId="1" fontId="5" fillId="6" borderId="1" xfId="0" applyNumberFormat="1" applyFont="1" applyFill="1" applyBorder="1" applyAlignment="1" applyProtection="1">
      <alignment horizontal="center" vertical="center"/>
    </xf>
    <xf numFmtId="0" fontId="5" fillId="5" borderId="52" xfId="0" applyFont="1" applyFill="1" applyBorder="1" applyAlignment="1" applyProtection="1">
      <alignment vertical="top" wrapText="1"/>
    </xf>
    <xf numFmtId="1" fontId="5" fillId="6" borderId="5" xfId="0" applyNumberFormat="1" applyFont="1" applyFill="1" applyBorder="1" applyAlignment="1" applyProtection="1">
      <alignment horizontal="center" vertical="center"/>
    </xf>
    <xf numFmtId="1" fontId="6" fillId="13" borderId="6" xfId="0" applyNumberFormat="1" applyFont="1" applyFill="1" applyBorder="1" applyAlignment="1" applyProtection="1">
      <alignment horizontal="center" vertical="center" wrapText="1"/>
      <protection locked="0"/>
    </xf>
    <xf numFmtId="1" fontId="5" fillId="6" borderId="6" xfId="0" applyNumberFormat="1" applyFont="1" applyFill="1" applyBorder="1" applyAlignment="1" applyProtection="1">
      <alignment horizontal="center" vertical="center"/>
    </xf>
    <xf numFmtId="0" fontId="6" fillId="13" borderId="6" xfId="0" applyFont="1" applyFill="1" applyBorder="1" applyAlignment="1" applyProtection="1">
      <alignment horizontal="center" vertical="center"/>
      <protection locked="0"/>
    </xf>
    <xf numFmtId="1" fontId="5" fillId="6" borderId="5" xfId="0" applyNumberFormat="1" applyFont="1" applyFill="1" applyBorder="1" applyAlignment="1" applyProtection="1">
      <alignment horizontal="center" vertical="center" shrinkToFit="1"/>
    </xf>
    <xf numFmtId="1" fontId="5" fillId="6" borderId="6" xfId="0" applyNumberFormat="1" applyFont="1" applyFill="1" applyBorder="1" applyAlignment="1" applyProtection="1">
      <alignment horizontal="center" vertical="center" shrinkToFit="1"/>
    </xf>
    <xf numFmtId="0" fontId="11" fillId="7" borderId="1" xfId="0" applyFont="1" applyFill="1" applyBorder="1" applyAlignment="1">
      <alignment horizontal="center" vertical="center" textRotation="90" wrapText="1"/>
    </xf>
    <xf numFmtId="0" fontId="11" fillId="9" borderId="1" xfId="0" applyFont="1" applyFill="1" applyBorder="1" applyAlignment="1">
      <alignment horizontal="center" vertical="center" textRotation="90" wrapText="1"/>
    </xf>
    <xf numFmtId="0" fontId="5" fillId="5" borderId="1" xfId="0" applyFont="1" applyFill="1" applyBorder="1" applyAlignment="1">
      <alignment horizontal="center" vertical="center"/>
    </xf>
    <xf numFmtId="0" fontId="6" fillId="16" borderId="1" xfId="0" applyFont="1" applyFill="1" applyBorder="1" applyAlignment="1">
      <alignment vertical="center" wrapText="1"/>
    </xf>
    <xf numFmtId="0" fontId="6" fillId="7" borderId="1" xfId="0" applyFont="1" applyFill="1" applyBorder="1" applyAlignment="1">
      <alignment horizontal="center"/>
    </xf>
    <xf numFmtId="0" fontId="6" fillId="7"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12" borderId="1" xfId="0" applyFont="1" applyFill="1" applyBorder="1" applyAlignment="1">
      <alignment horizontal="center"/>
    </xf>
    <xf numFmtId="0" fontId="6" fillId="5" borderId="0" xfId="0" applyFont="1" applyFill="1" applyBorder="1" applyAlignment="1" applyProtection="1">
      <alignment vertical="center"/>
    </xf>
    <xf numFmtId="0" fontId="4" fillId="5" borderId="0" xfId="0" applyFont="1" applyFill="1" applyAlignment="1">
      <alignment vertical="top"/>
    </xf>
    <xf numFmtId="0" fontId="2" fillId="14" borderId="1" xfId="0" applyFont="1" applyFill="1" applyBorder="1" applyAlignment="1">
      <alignment horizontal="center"/>
    </xf>
    <xf numFmtId="0" fontId="2" fillId="11" borderId="5" xfId="0" applyFont="1" applyFill="1" applyBorder="1" applyAlignment="1" applyProtection="1">
      <alignment horizontal="centerContinuous"/>
      <protection locked="0"/>
    </xf>
    <xf numFmtId="0" fontId="45" fillId="24" borderId="5" xfId="0" applyFont="1" applyFill="1" applyBorder="1" applyAlignment="1">
      <alignment horizontal="center" vertical="center"/>
    </xf>
    <xf numFmtId="0" fontId="45" fillId="24" borderId="6" xfId="0" applyFont="1" applyFill="1" applyBorder="1" applyAlignment="1">
      <alignment horizontal="center" vertical="center"/>
    </xf>
    <xf numFmtId="0" fontId="46" fillId="24" borderId="6" xfId="0" applyFont="1" applyFill="1" applyBorder="1" applyAlignment="1">
      <alignment horizontal="center" vertical="center" wrapText="1"/>
    </xf>
    <xf numFmtId="0" fontId="6" fillId="11" borderId="5" xfId="0" applyFont="1" applyFill="1" applyBorder="1" applyAlignment="1" applyProtection="1">
      <alignment horizontal="center" vertical="center"/>
      <protection locked="0"/>
    </xf>
    <xf numFmtId="0" fontId="5" fillId="5" borderId="0" xfId="0" applyFont="1" applyFill="1" applyAlignment="1">
      <alignment horizontal="center" vertical="center"/>
    </xf>
    <xf numFmtId="0" fontId="6" fillId="13" borderId="28" xfId="0" applyFont="1" applyFill="1" applyBorder="1" applyAlignment="1" applyProtection="1">
      <alignment horizontal="center" vertical="center" wrapText="1"/>
      <protection locked="0"/>
    </xf>
    <xf numFmtId="0" fontId="5" fillId="5" borderId="1" xfId="0" applyFont="1" applyFill="1" applyBorder="1" applyAlignment="1" applyProtection="1">
      <alignment horizontal="center" vertical="center" wrapText="1"/>
    </xf>
    <xf numFmtId="164" fontId="6" fillId="13" borderId="6" xfId="0" applyNumberFormat="1" applyFont="1" applyFill="1" applyBorder="1" applyAlignment="1" applyProtection="1">
      <alignment horizontal="center" vertical="center" wrapText="1"/>
      <protection locked="0"/>
    </xf>
    <xf numFmtId="0" fontId="47" fillId="5" borderId="0" xfId="4" applyFill="1"/>
    <xf numFmtId="0" fontId="6" fillId="0" borderId="36" xfId="4" applyFont="1" applyFill="1" applyBorder="1" applyAlignment="1" applyProtection="1">
      <alignment vertical="top" wrapText="1"/>
    </xf>
    <xf numFmtId="0" fontId="6" fillId="0" borderId="16" xfId="4" applyFont="1" applyFill="1" applyBorder="1" applyAlignment="1" applyProtection="1">
      <alignment vertical="top" wrapText="1"/>
    </xf>
    <xf numFmtId="0" fontId="6" fillId="0" borderId="27" xfId="4" applyFont="1" applyFill="1" applyBorder="1" applyAlignment="1" applyProtection="1">
      <alignment vertical="top" wrapText="1"/>
    </xf>
    <xf numFmtId="0" fontId="6" fillId="5" borderId="23" xfId="4" applyFont="1" applyFill="1" applyBorder="1" applyAlignment="1" applyProtection="1">
      <alignment vertical="top" wrapText="1"/>
    </xf>
    <xf numFmtId="0" fontId="6" fillId="5" borderId="4" xfId="4" applyFont="1" applyFill="1" applyBorder="1" applyAlignment="1" applyProtection="1">
      <alignment vertical="top" wrapText="1"/>
    </xf>
    <xf numFmtId="0" fontId="6" fillId="5" borderId="1" xfId="4" applyFont="1" applyFill="1" applyBorder="1" applyAlignment="1" applyProtection="1">
      <alignment vertical="top" wrapText="1"/>
    </xf>
    <xf numFmtId="0" fontId="6" fillId="5" borderId="23" xfId="4" applyFont="1" applyFill="1" applyBorder="1" applyAlignment="1" applyProtection="1">
      <alignment vertical="center" wrapText="1"/>
    </xf>
    <xf numFmtId="0" fontId="6" fillId="5" borderId="4" xfId="4" applyFont="1" applyFill="1" applyBorder="1" applyAlignment="1" applyProtection="1">
      <alignment vertical="center" wrapText="1"/>
    </xf>
    <xf numFmtId="0" fontId="6" fillId="5" borderId="1" xfId="4" applyFont="1" applyFill="1" applyBorder="1" applyAlignment="1" applyProtection="1">
      <alignment vertical="center" wrapText="1"/>
    </xf>
    <xf numFmtId="0" fontId="48" fillId="5" borderId="0" xfId="0" applyFont="1" applyFill="1"/>
    <xf numFmtId="0" fontId="49" fillId="5" borderId="0" xfId="0" applyFont="1" applyFill="1" applyBorder="1"/>
    <xf numFmtId="0" fontId="50" fillId="5" borderId="0" xfId="0" applyFont="1" applyFill="1" applyBorder="1"/>
    <xf numFmtId="0" fontId="2" fillId="5" borderId="0" xfId="0" applyFont="1" applyFill="1" applyBorder="1" applyAlignment="1" applyProtection="1">
      <alignment horizontal="centerContinuous" vertical="center" wrapText="1"/>
    </xf>
    <xf numFmtId="1" fontId="2" fillId="5" borderId="0" xfId="0" applyNumberFormat="1" applyFont="1" applyFill="1" applyBorder="1" applyAlignment="1" applyProtection="1">
      <alignment horizontal="center"/>
      <protection locked="0"/>
    </xf>
    <xf numFmtId="0" fontId="2" fillId="5" borderId="0" xfId="0" applyFont="1" applyFill="1" applyBorder="1" applyAlignment="1" applyProtection="1">
      <alignment horizontal="center"/>
      <protection locked="0"/>
    </xf>
    <xf numFmtId="0" fontId="52" fillId="25" borderId="0" xfId="5" applyAlignment="1">
      <alignment horizontal="center" vertical="center" wrapText="1"/>
    </xf>
    <xf numFmtId="165" fontId="51" fillId="5" borderId="0" xfId="0" applyNumberFormat="1" applyFont="1" applyFill="1" applyAlignment="1">
      <alignment horizontal="center"/>
    </xf>
    <xf numFmtId="0" fontId="6" fillId="11" borderId="0" xfId="0" applyFont="1" applyFill="1" applyAlignment="1">
      <alignment horizontal="left"/>
    </xf>
    <xf numFmtId="0" fontId="6" fillId="15" borderId="0" xfId="0" applyFont="1" applyFill="1" applyAlignment="1">
      <alignment horizontal="left"/>
    </xf>
    <xf numFmtId="0" fontId="6" fillId="23" borderId="0" xfId="0" applyFont="1" applyFill="1" applyAlignment="1">
      <alignment horizontal="left"/>
    </xf>
    <xf numFmtId="0" fontId="12" fillId="5" borderId="46" xfId="0" applyFont="1" applyFill="1" applyBorder="1" applyAlignment="1">
      <alignment horizontal="center" vertical="top" wrapText="1"/>
    </xf>
    <xf numFmtId="0" fontId="12" fillId="5" borderId="47" xfId="0" applyFont="1" applyFill="1" applyBorder="1" applyAlignment="1">
      <alignment horizontal="center" vertical="top" wrapText="1"/>
    </xf>
    <xf numFmtId="0" fontId="12" fillId="5" borderId="48" xfId="0" applyFont="1" applyFill="1" applyBorder="1" applyAlignment="1">
      <alignment horizontal="center" vertical="top" wrapText="1"/>
    </xf>
    <xf numFmtId="0" fontId="12" fillId="5" borderId="49" xfId="0" applyFont="1" applyFill="1" applyBorder="1" applyAlignment="1">
      <alignment horizontal="center" vertical="top" wrapText="1"/>
    </xf>
    <xf numFmtId="0" fontId="12" fillId="5" borderId="0" xfId="0" applyFont="1" applyFill="1" applyBorder="1" applyAlignment="1">
      <alignment horizontal="center" vertical="top" wrapText="1"/>
    </xf>
    <xf numFmtId="0" fontId="12" fillId="5" borderId="37" xfId="0" applyFont="1" applyFill="1" applyBorder="1" applyAlignment="1">
      <alignment horizontal="center" vertical="top" wrapText="1"/>
    </xf>
    <xf numFmtId="0" fontId="12" fillId="5" borderId="50" xfId="0" applyFont="1" applyFill="1" applyBorder="1" applyAlignment="1">
      <alignment horizontal="center" vertical="top" wrapText="1"/>
    </xf>
    <xf numFmtId="0" fontId="12" fillId="5" borderId="51" xfId="0" applyFont="1" applyFill="1" applyBorder="1" applyAlignment="1">
      <alignment horizontal="center" vertical="top" wrapText="1"/>
    </xf>
    <xf numFmtId="0" fontId="12" fillId="5" borderId="38" xfId="0" applyFont="1" applyFill="1" applyBorder="1" applyAlignment="1">
      <alignment horizontal="center" vertical="top" wrapText="1"/>
    </xf>
    <xf numFmtId="0" fontId="6" fillId="5" borderId="49" xfId="0" applyFont="1" applyFill="1" applyBorder="1" applyAlignment="1">
      <alignment horizontal="left" vertical="top" wrapText="1"/>
    </xf>
    <xf numFmtId="0" fontId="6" fillId="5" borderId="0" xfId="0" applyFont="1" applyFill="1" applyBorder="1" applyAlignment="1">
      <alignment horizontal="left" vertical="top" wrapText="1"/>
    </xf>
    <xf numFmtId="0" fontId="6" fillId="5" borderId="37" xfId="0" applyFont="1" applyFill="1" applyBorder="1" applyAlignment="1">
      <alignment horizontal="left" vertical="top" wrapText="1"/>
    </xf>
    <xf numFmtId="0" fontId="5" fillId="5" borderId="49" xfId="0" applyFont="1" applyFill="1" applyBorder="1" applyAlignment="1">
      <alignment horizontal="left" vertical="top" wrapText="1"/>
    </xf>
    <xf numFmtId="0" fontId="5" fillId="5" borderId="0" xfId="0" applyFont="1" applyFill="1" applyBorder="1" applyAlignment="1">
      <alignment horizontal="left" vertical="top" wrapText="1"/>
    </xf>
    <xf numFmtId="0" fontId="5" fillId="5" borderId="37" xfId="0" applyFont="1" applyFill="1" applyBorder="1" applyAlignment="1">
      <alignment horizontal="left" vertical="top" wrapText="1"/>
    </xf>
    <xf numFmtId="0" fontId="5" fillId="5" borderId="50" xfId="0" applyFont="1" applyFill="1" applyBorder="1" applyAlignment="1">
      <alignment horizontal="left" vertical="top" wrapText="1"/>
    </xf>
    <xf numFmtId="0" fontId="5" fillId="5" borderId="51" xfId="0" applyFont="1" applyFill="1" applyBorder="1" applyAlignment="1">
      <alignment horizontal="left" vertical="top" wrapText="1"/>
    </xf>
    <xf numFmtId="0" fontId="5" fillId="5" borderId="38" xfId="0" applyFont="1" applyFill="1" applyBorder="1" applyAlignment="1">
      <alignment horizontal="left" vertical="top" wrapText="1"/>
    </xf>
    <xf numFmtId="0" fontId="6" fillId="12" borderId="1" xfId="0" applyFont="1" applyFill="1" applyBorder="1" applyAlignment="1">
      <alignment horizontal="center" vertical="center"/>
    </xf>
    <xf numFmtId="0" fontId="6" fillId="12" borderId="5" xfId="0" applyFont="1" applyFill="1" applyBorder="1" applyAlignment="1">
      <alignment horizontal="center" vertical="center"/>
    </xf>
    <xf numFmtId="0" fontId="6" fillId="12" borderId="6" xfId="0" applyFont="1" applyFill="1" applyBorder="1" applyAlignment="1">
      <alignment horizontal="center" vertical="center"/>
    </xf>
    <xf numFmtId="0" fontId="5" fillId="5" borderId="5" xfId="0" applyFont="1" applyFill="1" applyBorder="1" applyAlignment="1" applyProtection="1">
      <alignment horizontal="center" vertical="center" wrapText="1"/>
    </xf>
    <xf numFmtId="0" fontId="5" fillId="5" borderId="8" xfId="0" applyFont="1" applyFill="1" applyBorder="1" applyAlignment="1" applyProtection="1">
      <alignment horizontal="center" vertical="center" wrapText="1"/>
    </xf>
    <xf numFmtId="0" fontId="5" fillId="5" borderId="6" xfId="0" applyFont="1" applyFill="1" applyBorder="1" applyAlignment="1" applyProtection="1">
      <alignment horizontal="center" vertical="center" wrapText="1"/>
    </xf>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8" xfId="0" applyFont="1" applyFill="1" applyBorder="1" applyAlignment="1">
      <alignment horizontal="center" vertical="center"/>
    </xf>
    <xf numFmtId="0" fontId="3" fillId="16" borderId="22" xfId="0" applyFont="1" applyFill="1" applyBorder="1" applyAlignment="1">
      <alignment horizontal="center" vertical="center"/>
    </xf>
    <xf numFmtId="0" fontId="3" fillId="16" borderId="17" xfId="0" applyFont="1" applyFill="1" applyBorder="1" applyAlignment="1">
      <alignment horizontal="center" vertical="center"/>
    </xf>
    <xf numFmtId="0" fontId="3" fillId="16" borderId="24" xfId="0" applyFont="1" applyFill="1" applyBorder="1" applyAlignment="1">
      <alignment horizontal="center" vertical="center"/>
    </xf>
    <xf numFmtId="0" fontId="6" fillId="5" borderId="14" xfId="0" applyFont="1" applyFill="1" applyBorder="1" applyAlignment="1" applyProtection="1">
      <alignment horizontal="center" vertical="center" wrapText="1"/>
    </xf>
    <xf numFmtId="0" fontId="6" fillId="5" borderId="6" xfId="0" applyFont="1" applyFill="1" applyBorder="1" applyAlignment="1" applyProtection="1">
      <alignment horizontal="center" vertical="center" wrapText="1"/>
    </xf>
    <xf numFmtId="0" fontId="3" fillId="12" borderId="14" xfId="0" applyFont="1" applyFill="1" applyBorder="1" applyAlignment="1">
      <alignment horizontal="center" vertical="center"/>
    </xf>
    <xf numFmtId="0" fontId="3" fillId="12" borderId="8" xfId="0" applyFont="1" applyFill="1" applyBorder="1" applyAlignment="1">
      <alignment horizontal="center" vertical="center"/>
    </xf>
    <xf numFmtId="0" fontId="3" fillId="12" borderId="1" xfId="0" applyFont="1" applyFill="1" applyBorder="1" applyAlignment="1">
      <alignment horizontal="center" vertical="center"/>
    </xf>
    <xf numFmtId="0" fontId="3" fillId="12" borderId="28" xfId="0" applyFont="1" applyFill="1" applyBorder="1" applyAlignment="1">
      <alignment horizontal="center" vertical="center"/>
    </xf>
    <xf numFmtId="0" fontId="3" fillId="12" borderId="25" xfId="0" applyFont="1" applyFill="1" applyBorder="1" applyAlignment="1">
      <alignment horizontal="center" vertical="center"/>
    </xf>
    <xf numFmtId="0" fontId="3" fillId="12" borderId="18" xfId="0" applyFont="1" applyFill="1" applyBorder="1" applyAlignment="1">
      <alignment horizontal="center" vertical="center"/>
    </xf>
    <xf numFmtId="0" fontId="3" fillId="12" borderId="5" xfId="0" applyFont="1" applyFill="1" applyBorder="1" applyAlignment="1">
      <alignment horizontal="center" vertical="center"/>
    </xf>
    <xf numFmtId="0" fontId="3" fillId="12" borderId="6" xfId="0" applyFont="1" applyFill="1" applyBorder="1" applyAlignment="1">
      <alignment horizontal="center" vertical="center"/>
    </xf>
    <xf numFmtId="1" fontId="5" fillId="6" borderId="32" xfId="0" applyNumberFormat="1" applyFont="1" applyFill="1" applyBorder="1" applyAlignment="1" applyProtection="1">
      <alignment horizontal="center" vertical="center"/>
      <protection locked="0"/>
    </xf>
    <xf numFmtId="1" fontId="5" fillId="6" borderId="33" xfId="0" applyNumberFormat="1" applyFont="1" applyFill="1" applyBorder="1" applyAlignment="1" applyProtection="1">
      <alignment horizontal="center" vertical="center"/>
      <protection locked="0"/>
    </xf>
    <xf numFmtId="0" fontId="6" fillId="5" borderId="5" xfId="0" applyFont="1" applyFill="1" applyBorder="1" applyAlignment="1" applyProtection="1">
      <alignment horizontal="center" vertical="center" wrapText="1"/>
    </xf>
    <xf numFmtId="0" fontId="6" fillId="5" borderId="28" xfId="0" applyFont="1" applyFill="1" applyBorder="1" applyAlignment="1" applyProtection="1">
      <alignment horizontal="center" vertical="center" wrapText="1"/>
    </xf>
    <xf numFmtId="1" fontId="5" fillId="6" borderId="8" xfId="0" applyNumberFormat="1" applyFont="1" applyFill="1" applyBorder="1" applyAlignment="1" applyProtection="1">
      <alignment horizontal="center" vertical="center"/>
      <protection locked="0"/>
    </xf>
    <xf numFmtId="1" fontId="5" fillId="6" borderId="6" xfId="0" applyNumberFormat="1" applyFont="1" applyFill="1" applyBorder="1" applyAlignment="1" applyProtection="1">
      <alignment horizontal="center" vertical="center"/>
      <protection locked="0"/>
    </xf>
    <xf numFmtId="0" fontId="6" fillId="5" borderId="1" xfId="0" applyFont="1" applyFill="1" applyBorder="1" applyAlignment="1" applyProtection="1">
      <alignment horizontal="center" vertical="center" wrapText="1"/>
    </xf>
    <xf numFmtId="1" fontId="5" fillId="6" borderId="1" xfId="0" applyNumberFormat="1" applyFont="1" applyFill="1" applyBorder="1" applyAlignment="1" applyProtection="1">
      <alignment horizontal="center" vertical="center"/>
      <protection locked="0"/>
    </xf>
    <xf numFmtId="0" fontId="5" fillId="6" borderId="1" xfId="0" applyFont="1" applyFill="1" applyBorder="1" applyAlignment="1" applyProtection="1">
      <alignment horizontal="center" vertical="center"/>
      <protection locked="0"/>
    </xf>
    <xf numFmtId="0" fontId="5" fillId="6" borderId="31" xfId="0" applyFont="1" applyFill="1" applyBorder="1" applyAlignment="1" applyProtection="1">
      <alignment horizontal="center" vertical="center"/>
      <protection locked="0"/>
    </xf>
    <xf numFmtId="1" fontId="5" fillId="6" borderId="5" xfId="0" applyNumberFormat="1" applyFont="1" applyFill="1" applyBorder="1" applyAlignment="1" applyProtection="1">
      <alignment horizontal="center" vertical="center"/>
      <protection locked="0"/>
    </xf>
    <xf numFmtId="1" fontId="5" fillId="6" borderId="28" xfId="0" applyNumberFormat="1" applyFont="1" applyFill="1" applyBorder="1" applyAlignment="1" applyProtection="1">
      <alignment horizontal="center" vertical="center"/>
      <protection locked="0"/>
    </xf>
    <xf numFmtId="1" fontId="5" fillId="6" borderId="30" xfId="0" applyNumberFormat="1" applyFont="1" applyFill="1" applyBorder="1" applyAlignment="1" applyProtection="1">
      <alignment horizontal="center" vertical="center"/>
      <protection locked="0"/>
    </xf>
    <xf numFmtId="1" fontId="5" fillId="6" borderId="31" xfId="0" applyNumberFormat="1" applyFont="1" applyFill="1" applyBorder="1" applyAlignment="1" applyProtection="1">
      <alignment horizontal="center" vertical="center"/>
      <protection locked="0"/>
    </xf>
    <xf numFmtId="0" fontId="6" fillId="5" borderId="1" xfId="0" applyFont="1" applyFill="1" applyBorder="1" applyAlignment="1" applyProtection="1">
      <alignment horizontal="center" vertical="center"/>
      <protection locked="0"/>
    </xf>
    <xf numFmtId="1" fontId="5" fillId="6" borderId="14" xfId="0" applyNumberFormat="1" applyFont="1" applyFill="1" applyBorder="1" applyAlignment="1" applyProtection="1">
      <alignment horizontal="center" vertical="center"/>
      <protection locked="0"/>
    </xf>
    <xf numFmtId="1" fontId="5" fillId="6" borderId="25" xfId="0" applyNumberFormat="1" applyFont="1" applyFill="1" applyBorder="1" applyAlignment="1" applyProtection="1">
      <alignment horizontal="center" vertical="center"/>
      <protection locked="0"/>
    </xf>
    <xf numFmtId="0" fontId="6" fillId="5" borderId="8" xfId="0" applyFont="1" applyFill="1" applyBorder="1" applyAlignment="1" applyProtection="1">
      <alignment horizontal="center" vertical="center" wrapText="1"/>
    </xf>
    <xf numFmtId="0" fontId="5" fillId="6" borderId="8" xfId="0" applyFont="1" applyFill="1" applyBorder="1" applyAlignment="1" applyProtection="1">
      <alignment horizontal="center" vertical="center"/>
      <protection locked="0"/>
    </xf>
    <xf numFmtId="0" fontId="45" fillId="24" borderId="5" xfId="0" applyFont="1" applyFill="1" applyBorder="1" applyAlignment="1">
      <alignment horizontal="center" vertical="center"/>
    </xf>
    <xf numFmtId="0" fontId="45" fillId="24" borderId="6" xfId="0" applyFont="1" applyFill="1" applyBorder="1" applyAlignment="1">
      <alignment horizontal="center" vertical="center"/>
    </xf>
    <xf numFmtId="0" fontId="6" fillId="12" borderId="15" xfId="0" applyFont="1" applyFill="1" applyBorder="1" applyAlignment="1">
      <alignment horizontal="center"/>
    </xf>
    <xf numFmtId="0" fontId="6" fillId="12" borderId="0" xfId="0" applyFont="1" applyFill="1" applyBorder="1" applyAlignment="1">
      <alignment horizontal="center"/>
    </xf>
    <xf numFmtId="0" fontId="6" fillId="7" borderId="7" xfId="0" applyFont="1" applyFill="1" applyBorder="1" applyAlignment="1">
      <alignment horizontal="center" vertical="center"/>
    </xf>
    <xf numFmtId="0" fontId="6" fillId="7" borderId="15" xfId="0" applyFont="1" applyFill="1" applyBorder="1" applyAlignment="1">
      <alignment horizontal="center" vertical="center"/>
    </xf>
    <xf numFmtId="0" fontId="6" fillId="7" borderId="9" xfId="0" applyFont="1" applyFill="1" applyBorder="1" applyAlignment="1">
      <alignment horizontal="center" vertical="center"/>
    </xf>
    <xf numFmtId="0" fontId="2" fillId="10" borderId="1" xfId="0" applyFont="1" applyFill="1" applyBorder="1" applyAlignment="1" applyProtection="1">
      <alignment horizontal="center" vertical="center" wrapText="1"/>
      <protection locked="0"/>
    </xf>
    <xf numFmtId="0" fontId="45" fillId="2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6" fillId="17"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6" fillId="9" borderId="1" xfId="0" applyFont="1" applyFill="1" applyBorder="1" applyAlignment="1">
      <alignment horizontal="center" vertical="center"/>
    </xf>
    <xf numFmtId="0" fontId="6" fillId="12" borderId="1" xfId="0" applyFont="1" applyFill="1" applyBorder="1" applyAlignment="1">
      <alignment horizontal="center"/>
    </xf>
    <xf numFmtId="0" fontId="5" fillId="5" borderId="0" xfId="0" applyFont="1" applyFill="1" applyAlignment="1">
      <alignment horizontal="left" wrapText="1"/>
    </xf>
    <xf numFmtId="0" fontId="3" fillId="13" borderId="1" xfId="0" applyFont="1" applyFill="1" applyBorder="1" applyAlignment="1">
      <alignment horizontal="center"/>
    </xf>
    <xf numFmtId="0" fontId="4" fillId="5" borderId="39" xfId="0" applyFont="1" applyFill="1" applyBorder="1" applyAlignment="1">
      <alignment horizontal="center" vertical="top"/>
    </xf>
    <xf numFmtId="0" fontId="4" fillId="5" borderId="39" xfId="0" applyFont="1" applyFill="1" applyBorder="1" applyAlignment="1">
      <alignment horizontal="center" vertical="center"/>
    </xf>
    <xf numFmtId="0" fontId="4" fillId="5" borderId="2" xfId="0" applyFont="1" applyFill="1" applyBorder="1" applyAlignment="1">
      <alignment horizontal="left" vertical="top"/>
    </xf>
    <xf numFmtId="0" fontId="4" fillId="5" borderId="3" xfId="0" applyFont="1" applyFill="1" applyBorder="1" applyAlignment="1">
      <alignment horizontal="left" vertical="top"/>
    </xf>
    <xf numFmtId="0" fontId="4" fillId="5" borderId="4" xfId="0" applyFont="1" applyFill="1" applyBorder="1" applyAlignment="1">
      <alignment horizontal="left" vertical="top"/>
    </xf>
    <xf numFmtId="0" fontId="13" fillId="6" borderId="39" xfId="0" applyFont="1" applyFill="1" applyBorder="1" applyAlignment="1">
      <alignment horizontal="center" vertical="top"/>
    </xf>
    <xf numFmtId="0" fontId="13" fillId="6" borderId="40" xfId="0" applyFont="1" applyFill="1" applyBorder="1" applyAlignment="1">
      <alignment horizontal="center" vertical="top"/>
    </xf>
    <xf numFmtId="0" fontId="13" fillId="6" borderId="41" xfId="0" applyFont="1" applyFill="1" applyBorder="1" applyAlignment="1">
      <alignment horizontal="center" vertical="top"/>
    </xf>
    <xf numFmtId="14" fontId="4" fillId="5" borderId="40" xfId="0" applyNumberFormat="1" applyFont="1" applyFill="1" applyBorder="1" applyAlignment="1">
      <alignment horizontal="center" vertical="top"/>
    </xf>
    <xf numFmtId="14" fontId="4" fillId="5" borderId="41" xfId="0" applyNumberFormat="1" applyFont="1" applyFill="1" applyBorder="1" applyAlignment="1">
      <alignment horizontal="center" vertical="top"/>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13" fillId="6" borderId="2" xfId="0" applyFont="1" applyFill="1" applyBorder="1" applyAlignment="1">
      <alignment horizontal="left" vertical="top"/>
    </xf>
    <xf numFmtId="0" fontId="13" fillId="6" borderId="3" xfId="0" applyFont="1" applyFill="1" applyBorder="1" applyAlignment="1">
      <alignment horizontal="left" vertical="top"/>
    </xf>
    <xf numFmtId="0" fontId="13" fillId="6" borderId="4" xfId="0" applyFont="1" applyFill="1" applyBorder="1" applyAlignment="1">
      <alignment horizontal="left" vertical="top"/>
    </xf>
    <xf numFmtId="0" fontId="4" fillId="5" borderId="2" xfId="0" applyFont="1" applyFill="1" applyBorder="1" applyAlignment="1">
      <alignment horizontal="left" vertical="top" wrapText="1"/>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4" xfId="0" applyFont="1" applyFill="1" applyBorder="1" applyAlignment="1">
      <alignment horizontal="left" vertical="center"/>
    </xf>
    <xf numFmtId="0" fontId="4" fillId="5" borderId="2" xfId="0" quotePrefix="1" applyFont="1" applyFill="1" applyBorder="1" applyAlignment="1">
      <alignment horizontal="left" vertical="top" wrapText="1"/>
    </xf>
    <xf numFmtId="0" fontId="13" fillId="6" borderId="2" xfId="0" applyFont="1" applyFill="1" applyBorder="1" applyAlignment="1">
      <alignment horizontal="left" vertical="top" wrapText="1"/>
    </xf>
    <xf numFmtId="0" fontId="13" fillId="6" borderId="3" xfId="0" applyFont="1" applyFill="1" applyBorder="1" applyAlignment="1">
      <alignment horizontal="left" vertical="top" wrapText="1"/>
    </xf>
    <xf numFmtId="0" fontId="13" fillId="6" borderId="4" xfId="0" applyFont="1" applyFill="1" applyBorder="1" applyAlignment="1">
      <alignment horizontal="left" vertical="top" wrapText="1"/>
    </xf>
    <xf numFmtId="0" fontId="12" fillId="5" borderId="2" xfId="0" applyFont="1" applyFill="1" applyBorder="1" applyAlignment="1">
      <alignment horizontal="center" vertical="top"/>
    </xf>
    <xf numFmtId="0" fontId="12" fillId="5" borderId="3" xfId="0" applyFont="1" applyFill="1" applyBorder="1" applyAlignment="1">
      <alignment horizontal="center" vertical="top"/>
    </xf>
    <xf numFmtId="0" fontId="12" fillId="5" borderId="4" xfId="0" applyFont="1" applyFill="1" applyBorder="1" applyAlignment="1">
      <alignment horizontal="center" vertical="top"/>
    </xf>
    <xf numFmtId="0" fontId="4" fillId="5" borderId="7" xfId="0" applyFont="1" applyFill="1" applyBorder="1" applyAlignment="1">
      <alignment horizontal="left" vertical="center"/>
    </xf>
    <xf numFmtId="0" fontId="4" fillId="5" borderId="42" xfId="0" applyFont="1" applyFill="1" applyBorder="1" applyAlignment="1">
      <alignment horizontal="left" vertical="center"/>
    </xf>
    <xf numFmtId="0" fontId="4" fillId="5" borderId="10" xfId="0" applyFont="1" applyFill="1" applyBorder="1" applyAlignment="1">
      <alignment horizontal="left" vertical="center"/>
    </xf>
    <xf numFmtId="0" fontId="4" fillId="5" borderId="2" xfId="0" applyFont="1" applyFill="1" applyBorder="1" applyAlignment="1">
      <alignment vertical="top"/>
    </xf>
    <xf numFmtId="0" fontId="4" fillId="5" borderId="3" xfId="0" applyFont="1" applyFill="1" applyBorder="1" applyAlignment="1">
      <alignment vertical="top"/>
    </xf>
    <xf numFmtId="0" fontId="4" fillId="5" borderId="4" xfId="0" applyFont="1" applyFill="1" applyBorder="1" applyAlignment="1">
      <alignment vertical="top"/>
    </xf>
    <xf numFmtId="0" fontId="4" fillId="5" borderId="7" xfId="0" applyFont="1" applyFill="1" applyBorder="1" applyAlignment="1">
      <alignment horizontal="left" vertical="top" wrapText="1"/>
    </xf>
    <xf numFmtId="0" fontId="4" fillId="5" borderId="42" xfId="0" applyFont="1" applyFill="1" applyBorder="1" applyAlignment="1">
      <alignment horizontal="left" vertical="top" wrapText="1"/>
    </xf>
    <xf numFmtId="0" fontId="4" fillId="5" borderId="10" xfId="0" applyFont="1" applyFill="1" applyBorder="1" applyAlignment="1">
      <alignment horizontal="left" vertical="top" wrapText="1"/>
    </xf>
    <xf numFmtId="0" fontId="4" fillId="5" borderId="9" xfId="0" applyFont="1" applyFill="1" applyBorder="1" applyAlignment="1">
      <alignment horizontal="left" vertical="top" wrapText="1"/>
    </xf>
    <xf numFmtId="0" fontId="4" fillId="5" borderId="43" xfId="0" applyFont="1" applyFill="1" applyBorder="1" applyAlignment="1">
      <alignment horizontal="left" vertical="top" wrapText="1"/>
    </xf>
    <xf numFmtId="0" fontId="4" fillId="5" borderId="12" xfId="0" applyFont="1" applyFill="1" applyBorder="1" applyAlignment="1">
      <alignment horizontal="left" vertical="top" wrapText="1"/>
    </xf>
    <xf numFmtId="0" fontId="4" fillId="5" borderId="42" xfId="0" applyFont="1" applyFill="1" applyBorder="1" applyAlignment="1">
      <alignment horizontal="left" vertical="top"/>
    </xf>
    <xf numFmtId="0" fontId="4" fillId="5" borderId="10" xfId="0" applyFont="1" applyFill="1" applyBorder="1" applyAlignment="1">
      <alignment horizontal="left" vertical="top"/>
    </xf>
    <xf numFmtId="0" fontId="4" fillId="5" borderId="15" xfId="0" applyFont="1" applyFill="1" applyBorder="1" applyAlignment="1">
      <alignment horizontal="left" vertical="top"/>
    </xf>
    <xf numFmtId="0" fontId="4" fillId="5" borderId="0" xfId="0" applyFont="1" applyFill="1" applyBorder="1" applyAlignment="1">
      <alignment horizontal="left" vertical="top"/>
    </xf>
    <xf numFmtId="0" fontId="4" fillId="5" borderId="11" xfId="0" applyFont="1" applyFill="1" applyBorder="1" applyAlignment="1">
      <alignment horizontal="left" vertical="top"/>
    </xf>
    <xf numFmtId="0" fontId="4" fillId="5" borderId="9" xfId="0" applyFont="1" applyFill="1" applyBorder="1" applyAlignment="1">
      <alignment horizontal="left" vertical="top"/>
    </xf>
    <xf numFmtId="0" fontId="4" fillId="5" borderId="43" xfId="0" applyFont="1" applyFill="1" applyBorder="1" applyAlignment="1">
      <alignment horizontal="left" vertical="top"/>
    </xf>
    <xf numFmtId="0" fontId="4" fillId="5" borderId="12" xfId="0" applyFont="1" applyFill="1" applyBorder="1" applyAlignment="1">
      <alignment horizontal="left" vertical="top"/>
    </xf>
    <xf numFmtId="0" fontId="4" fillId="5" borderId="1" xfId="0" applyFont="1" applyFill="1" applyBorder="1" applyAlignment="1">
      <alignment horizontal="left" vertical="top" wrapText="1"/>
    </xf>
    <xf numFmtId="49" fontId="4" fillId="5" borderId="7" xfId="0" applyNumberFormat="1" applyFont="1" applyFill="1" applyBorder="1" applyAlignment="1">
      <alignment horizontal="left" vertical="top" wrapText="1" readingOrder="1"/>
    </xf>
    <xf numFmtId="49" fontId="4" fillId="5" borderId="42" xfId="0" applyNumberFormat="1" applyFont="1" applyFill="1" applyBorder="1" applyAlignment="1">
      <alignment horizontal="left" vertical="top" wrapText="1" readingOrder="1"/>
    </xf>
    <xf numFmtId="49" fontId="4" fillId="5" borderId="10" xfId="0" applyNumberFormat="1" applyFont="1" applyFill="1" applyBorder="1" applyAlignment="1">
      <alignment horizontal="left" vertical="top" wrapText="1" readingOrder="1"/>
    </xf>
    <xf numFmtId="49" fontId="4" fillId="5" borderId="15" xfId="0" applyNumberFormat="1" applyFont="1" applyFill="1" applyBorder="1" applyAlignment="1">
      <alignment horizontal="left" vertical="top" wrapText="1" readingOrder="1"/>
    </xf>
    <xf numFmtId="49" fontId="4" fillId="5" borderId="0" xfId="0" applyNumberFormat="1" applyFont="1" applyFill="1" applyBorder="1" applyAlignment="1">
      <alignment horizontal="left" vertical="top" wrapText="1" readingOrder="1"/>
    </xf>
    <xf numFmtId="49" fontId="4" fillId="5" borderId="11" xfId="0" applyNumberFormat="1" applyFont="1" applyFill="1" applyBorder="1" applyAlignment="1">
      <alignment horizontal="left" vertical="top" wrapText="1" readingOrder="1"/>
    </xf>
    <xf numFmtId="49" fontId="4" fillId="5" borderId="9" xfId="0" applyNumberFormat="1" applyFont="1" applyFill="1" applyBorder="1" applyAlignment="1">
      <alignment horizontal="left" vertical="top" wrapText="1" readingOrder="1"/>
    </xf>
    <xf numFmtId="49" fontId="4" fillId="5" borderId="43" xfId="0" applyNumberFormat="1" applyFont="1" applyFill="1" applyBorder="1" applyAlignment="1">
      <alignment horizontal="left" vertical="top" wrapText="1" readingOrder="1"/>
    </xf>
    <xf numFmtId="49" fontId="4" fillId="5" borderId="12" xfId="0" applyNumberFormat="1" applyFont="1" applyFill="1" applyBorder="1" applyAlignment="1">
      <alignment horizontal="left" vertical="top" wrapText="1" readingOrder="1"/>
    </xf>
    <xf numFmtId="0" fontId="4" fillId="5"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1" xfId="0" applyFont="1" applyFill="1" applyBorder="1" applyAlignment="1">
      <alignment horizontal="left" vertical="center"/>
    </xf>
    <xf numFmtId="0" fontId="14" fillId="5" borderId="3" xfId="0" applyFont="1" applyFill="1" applyBorder="1" applyAlignment="1">
      <alignment horizontal="left" vertical="top" wrapText="1"/>
    </xf>
    <xf numFmtId="0" fontId="14" fillId="5" borderId="4" xfId="0" applyFont="1" applyFill="1" applyBorder="1" applyAlignment="1">
      <alignment horizontal="left" vertical="top" wrapText="1"/>
    </xf>
    <xf numFmtId="0" fontId="4" fillId="5" borderId="42" xfId="0" quotePrefix="1" applyFont="1" applyFill="1" applyBorder="1" applyAlignment="1">
      <alignment horizontal="left" vertical="top" wrapText="1"/>
    </xf>
    <xf numFmtId="0" fontId="4" fillId="5" borderId="10" xfId="0" quotePrefix="1" applyFont="1" applyFill="1" applyBorder="1" applyAlignment="1">
      <alignment horizontal="left" vertical="top" wrapText="1"/>
    </xf>
    <xf numFmtId="0" fontId="4" fillId="5" borderId="15" xfId="0" quotePrefix="1" applyFont="1" applyFill="1" applyBorder="1" applyAlignment="1">
      <alignment horizontal="left" vertical="top" wrapText="1"/>
    </xf>
    <xf numFmtId="0" fontId="4" fillId="5" borderId="0" xfId="0" quotePrefix="1" applyFont="1" applyFill="1" applyBorder="1" applyAlignment="1">
      <alignment horizontal="left" vertical="top" wrapText="1"/>
    </xf>
    <xf numFmtId="0" fontId="4" fillId="5" borderId="11" xfId="0" quotePrefix="1" applyFont="1" applyFill="1" applyBorder="1" applyAlignment="1">
      <alignment horizontal="left" vertical="top" wrapText="1"/>
    </xf>
    <xf numFmtId="0" fontId="4" fillId="5" borderId="9" xfId="0" quotePrefix="1" applyFont="1" applyFill="1" applyBorder="1" applyAlignment="1">
      <alignment horizontal="left" vertical="top" wrapText="1"/>
    </xf>
    <xf numFmtId="0" fontId="4" fillId="5" borderId="43" xfId="0" quotePrefix="1" applyFont="1" applyFill="1" applyBorder="1" applyAlignment="1">
      <alignment horizontal="left" vertical="top" wrapText="1"/>
    </xf>
    <xf numFmtId="0" fontId="4" fillId="5" borderId="12" xfId="0" quotePrefix="1" applyFont="1" applyFill="1" applyBorder="1" applyAlignment="1">
      <alignment horizontal="left" vertical="top" wrapText="1"/>
    </xf>
    <xf numFmtId="0" fontId="4" fillId="5" borderId="15" xfId="0" applyFont="1" applyFill="1" applyBorder="1" applyAlignment="1">
      <alignment horizontal="left" vertical="top" wrapText="1"/>
    </xf>
    <xf numFmtId="0" fontId="4" fillId="5" borderId="0" xfId="0" applyFont="1" applyFill="1" applyBorder="1" applyAlignment="1">
      <alignment horizontal="left" vertical="top" wrapText="1"/>
    </xf>
    <xf numFmtId="0" fontId="4" fillId="5" borderId="11" xfId="0" applyFont="1" applyFill="1" applyBorder="1" applyAlignment="1">
      <alignment horizontal="left" vertical="top" wrapText="1"/>
    </xf>
    <xf numFmtId="0" fontId="14" fillId="5" borderId="3" xfId="0" applyFont="1" applyFill="1" applyBorder="1" applyAlignment="1">
      <alignment horizontal="left" vertical="top"/>
    </xf>
    <xf numFmtId="0" fontId="14" fillId="5" borderId="4" xfId="0" applyFont="1" applyFill="1" applyBorder="1" applyAlignment="1">
      <alignment horizontal="left" vertical="top"/>
    </xf>
    <xf numFmtId="0" fontId="13" fillId="6" borderId="2" xfId="0" applyFont="1" applyFill="1" applyBorder="1" applyAlignment="1">
      <alignment vertical="top" wrapText="1"/>
    </xf>
    <xf numFmtId="0" fontId="13" fillId="6" borderId="3" xfId="0" applyFont="1" applyFill="1" applyBorder="1" applyAlignment="1">
      <alignment vertical="top" wrapText="1"/>
    </xf>
    <xf numFmtId="0" fontId="13" fillId="6" borderId="4" xfId="0" applyFont="1" applyFill="1" applyBorder="1" applyAlignment="1">
      <alignment vertical="top" wrapText="1"/>
    </xf>
    <xf numFmtId="0" fontId="4" fillId="5" borderId="2" xfId="0" applyFont="1" applyFill="1" applyBorder="1" applyAlignment="1">
      <alignment horizontal="center" vertical="top"/>
    </xf>
    <xf numFmtId="0" fontId="4" fillId="5" borderId="3" xfId="0" applyFont="1" applyFill="1" applyBorder="1" applyAlignment="1">
      <alignment horizontal="center" vertical="top"/>
    </xf>
    <xf numFmtId="0" fontId="4" fillId="5" borderId="4" xfId="0" applyFont="1" applyFill="1" applyBorder="1" applyAlignment="1">
      <alignment horizontal="center" vertical="top"/>
    </xf>
    <xf numFmtId="0" fontId="14" fillId="5" borderId="1"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49" fontId="4" fillId="5" borderId="2" xfId="0" quotePrefix="1" applyNumberFormat="1" applyFont="1" applyFill="1" applyBorder="1" applyAlignment="1" applyProtection="1">
      <alignment horizontal="left" vertical="top" wrapText="1"/>
    </xf>
    <xf numFmtId="49" fontId="4" fillId="5" borderId="3" xfId="0" applyNumberFormat="1" applyFont="1" applyFill="1" applyBorder="1" applyAlignment="1" applyProtection="1">
      <alignment horizontal="left" vertical="top"/>
    </xf>
    <xf numFmtId="49" fontId="4" fillId="5" borderId="4" xfId="0" applyNumberFormat="1" applyFont="1" applyFill="1" applyBorder="1" applyAlignment="1" applyProtection="1">
      <alignment horizontal="left" vertical="top"/>
    </xf>
    <xf numFmtId="0" fontId="4" fillId="5" borderId="1" xfId="0" applyFont="1" applyFill="1" applyBorder="1" applyAlignment="1">
      <alignment horizontal="left" vertical="top"/>
    </xf>
    <xf numFmtId="0" fontId="13" fillId="6" borderId="1" xfId="0" applyFont="1" applyFill="1" applyBorder="1" applyAlignment="1">
      <alignment horizontal="left" vertical="top"/>
    </xf>
    <xf numFmtId="0" fontId="12" fillId="5" borderId="2" xfId="0" applyFont="1" applyFill="1" applyBorder="1" applyAlignment="1">
      <alignment horizontal="left" vertical="top" wrapText="1"/>
    </xf>
    <xf numFmtId="0" fontId="12" fillId="5" borderId="3" xfId="0" applyFont="1" applyFill="1" applyBorder="1" applyAlignment="1">
      <alignment horizontal="left" vertical="top"/>
    </xf>
    <xf numFmtId="0" fontId="12" fillId="5" borderId="4" xfId="0" applyFont="1" applyFill="1" applyBorder="1" applyAlignment="1">
      <alignment horizontal="left" vertical="top"/>
    </xf>
    <xf numFmtId="0" fontId="4" fillId="5" borderId="7" xfId="0" applyFont="1" applyFill="1" applyBorder="1" applyAlignment="1">
      <alignment horizontal="center" vertical="center"/>
    </xf>
    <xf numFmtId="0" fontId="4" fillId="5" borderId="42"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37" fillId="5" borderId="2" xfId="0" applyFont="1" applyFill="1" applyBorder="1" applyAlignment="1">
      <alignment horizontal="left" vertical="top" wrapText="1"/>
    </xf>
    <xf numFmtId="0" fontId="11" fillId="5" borderId="3" xfId="0" applyFont="1" applyFill="1" applyBorder="1" applyAlignment="1">
      <alignment horizontal="left" vertical="top"/>
    </xf>
    <xf numFmtId="0" fontId="11" fillId="5" borderId="4" xfId="0" applyFont="1" applyFill="1" applyBorder="1" applyAlignment="1">
      <alignment horizontal="left" vertical="top"/>
    </xf>
    <xf numFmtId="0" fontId="8" fillId="5" borderId="2" xfId="0" applyFont="1" applyFill="1" applyBorder="1" applyAlignment="1" applyProtection="1">
      <alignment horizontal="center" vertical="center"/>
    </xf>
    <xf numFmtId="0" fontId="8" fillId="5" borderId="3" xfId="0" applyFont="1" applyFill="1" applyBorder="1" applyAlignment="1" applyProtection="1">
      <alignment horizontal="center" vertical="center"/>
    </xf>
    <xf numFmtId="0" fontId="8" fillId="5" borderId="4" xfId="0" applyFont="1" applyFill="1" applyBorder="1" applyAlignment="1" applyProtection="1">
      <alignment horizontal="center" vertical="center"/>
    </xf>
    <xf numFmtId="0" fontId="41" fillId="5" borderId="3" xfId="0" applyFont="1" applyFill="1" applyBorder="1" applyAlignment="1">
      <alignment horizontal="left" vertical="top"/>
    </xf>
    <xf numFmtId="0" fontId="41" fillId="5" borderId="4" xfId="0" applyFont="1" applyFill="1" applyBorder="1" applyAlignment="1">
      <alignment horizontal="left" vertical="top"/>
    </xf>
    <xf numFmtId="0" fontId="40" fillId="5" borderId="2" xfId="0" applyFont="1" applyFill="1" applyBorder="1" applyAlignment="1">
      <alignment horizontal="left" vertical="top" wrapText="1"/>
    </xf>
    <xf numFmtId="0" fontId="38" fillId="5" borderId="3" xfId="0" applyFont="1" applyFill="1" applyBorder="1" applyAlignment="1">
      <alignment horizontal="left" vertical="top"/>
    </xf>
    <xf numFmtId="0" fontId="38" fillId="5" borderId="4" xfId="0" applyFont="1" applyFill="1" applyBorder="1" applyAlignment="1">
      <alignment horizontal="left" vertical="top"/>
    </xf>
    <xf numFmtId="0" fontId="4" fillId="5" borderId="7" xfId="0" applyFont="1" applyFill="1" applyBorder="1" applyAlignment="1">
      <alignment vertical="top" wrapText="1"/>
    </xf>
    <xf numFmtId="0" fontId="4" fillId="5" borderId="42" xfId="0" applyFont="1" applyFill="1" applyBorder="1" applyAlignment="1">
      <alignment vertical="top" wrapText="1"/>
    </xf>
    <xf numFmtId="0" fontId="4" fillId="5" borderId="10" xfId="0" applyFont="1" applyFill="1" applyBorder="1" applyAlignment="1">
      <alignment vertical="top" wrapText="1"/>
    </xf>
    <xf numFmtId="0" fontId="4" fillId="5" borderId="9" xfId="0" applyFont="1" applyFill="1" applyBorder="1" applyAlignment="1">
      <alignment vertical="top" wrapText="1"/>
    </xf>
    <xf numFmtId="0" fontId="4" fillId="5" borderId="43" xfId="0" applyFont="1" applyFill="1" applyBorder="1" applyAlignment="1">
      <alignment vertical="top" wrapText="1"/>
    </xf>
    <xf numFmtId="0" fontId="4" fillId="5" borderId="12" xfId="0" applyFont="1" applyFill="1" applyBorder="1" applyAlignment="1">
      <alignment vertical="top" wrapText="1"/>
    </xf>
    <xf numFmtId="0" fontId="7" fillId="8" borderId="0" xfId="0" applyFont="1" applyFill="1" applyAlignment="1">
      <alignment horizontal="center" vertical="center"/>
    </xf>
    <xf numFmtId="0" fontId="4" fillId="5" borderId="7" xfId="0" applyFont="1" applyFill="1" applyBorder="1" applyAlignment="1">
      <alignment vertical="center"/>
    </xf>
    <xf numFmtId="0" fontId="4" fillId="5" borderId="42" xfId="0" applyFont="1" applyFill="1" applyBorder="1" applyAlignment="1">
      <alignment vertical="center"/>
    </xf>
    <xf numFmtId="0" fontId="4" fillId="5" borderId="10" xfId="0" applyFont="1" applyFill="1" applyBorder="1" applyAlignment="1">
      <alignment vertical="center"/>
    </xf>
    <xf numFmtId="0" fontId="4" fillId="5" borderId="1" xfId="0" applyFont="1" applyFill="1" applyBorder="1" applyAlignment="1">
      <alignment vertical="center"/>
    </xf>
    <xf numFmtId="0" fontId="4" fillId="5" borderId="7" xfId="0" applyFont="1" applyFill="1" applyBorder="1" applyAlignment="1">
      <alignment horizontal="left" vertical="center" wrapText="1"/>
    </xf>
    <xf numFmtId="0" fontId="19" fillId="19" borderId="1" xfId="0" applyFont="1" applyFill="1" applyBorder="1" applyAlignment="1">
      <alignment horizontal="left" vertical="top"/>
    </xf>
    <xf numFmtId="0" fontId="21" fillId="18" borderId="1" xfId="0" applyFont="1" applyFill="1" applyBorder="1" applyAlignment="1">
      <alignment horizontal="left" vertical="top" wrapText="1"/>
    </xf>
    <xf numFmtId="0" fontId="21" fillId="18" borderId="45" xfId="0" applyFont="1" applyFill="1" applyBorder="1" applyAlignment="1">
      <alignment horizontal="center" vertical="top"/>
    </xf>
    <xf numFmtId="0" fontId="23" fillId="20" borderId="0" xfId="0" applyFont="1" applyFill="1" applyBorder="1" applyAlignment="1">
      <alignment horizontal="center" vertical="center"/>
    </xf>
    <xf numFmtId="0" fontId="21" fillId="18" borderId="45" xfId="0" applyFont="1" applyFill="1" applyBorder="1" applyAlignment="1">
      <alignment horizontal="center" vertical="center"/>
    </xf>
    <xf numFmtId="0" fontId="19" fillId="19" borderId="45" xfId="0" applyFont="1" applyFill="1" applyBorder="1" applyAlignment="1">
      <alignment horizontal="center" vertical="top"/>
    </xf>
    <xf numFmtId="14" fontId="21" fillId="18" borderId="45" xfId="0" applyNumberFormat="1" applyFont="1" applyFill="1" applyBorder="1" applyAlignment="1">
      <alignment horizontal="center" vertical="top"/>
    </xf>
    <xf numFmtId="0" fontId="21" fillId="18" borderId="1" xfId="0" applyFont="1" applyFill="1" applyBorder="1" applyAlignment="1">
      <alignment horizontal="left" vertical="center"/>
    </xf>
    <xf numFmtId="0" fontId="25" fillId="18" borderId="1" xfId="0" applyFont="1" applyFill="1" applyBorder="1" applyAlignment="1">
      <alignment horizontal="left" vertical="top" wrapText="1"/>
    </xf>
    <xf numFmtId="0" fontId="21" fillId="18" borderId="1" xfId="0" applyFont="1" applyFill="1" applyBorder="1" applyAlignment="1">
      <alignment horizontal="left" vertical="top"/>
    </xf>
    <xf numFmtId="0" fontId="18" fillId="18" borderId="1" xfId="0" applyFont="1" applyFill="1" applyBorder="1" applyAlignment="1">
      <alignment horizontal="center" vertical="top"/>
    </xf>
    <xf numFmtId="0" fontId="22" fillId="18" borderId="1" xfId="0" applyFont="1" applyFill="1" applyBorder="1" applyAlignment="1">
      <alignment horizontal="left" vertical="top" wrapText="1"/>
    </xf>
    <xf numFmtId="0" fontId="21" fillId="21" borderId="1" xfId="0" applyFont="1" applyFill="1" applyBorder="1" applyAlignment="1">
      <alignment horizontal="left" vertical="top" wrapText="1"/>
    </xf>
    <xf numFmtId="0" fontId="27" fillId="0" borderId="2" xfId="0" applyFont="1" applyBorder="1" applyAlignment="1">
      <alignment horizontal="left"/>
    </xf>
    <xf numFmtId="0" fontId="27" fillId="0" borderId="3" xfId="0" applyFont="1" applyBorder="1" applyAlignment="1">
      <alignment horizontal="left"/>
    </xf>
    <xf numFmtId="0" fontId="27" fillId="0" borderId="4" xfId="0" applyFont="1" applyBorder="1" applyAlignment="1">
      <alignment horizontal="left"/>
    </xf>
    <xf numFmtId="0" fontId="24" fillId="18" borderId="1" xfId="0" applyFont="1" applyFill="1" applyBorder="1" applyAlignment="1">
      <alignment horizontal="left" vertical="top"/>
    </xf>
    <xf numFmtId="0" fontId="11" fillId="5" borderId="2" xfId="0" quotePrefix="1" applyFont="1" applyFill="1" applyBorder="1" applyAlignment="1">
      <alignment horizontal="left" vertical="top" wrapText="1"/>
    </xf>
    <xf numFmtId="0" fontId="11" fillId="5" borderId="2" xfId="0" applyFont="1" applyFill="1" applyBorder="1" applyAlignment="1">
      <alignment horizontal="left" vertical="top" wrapText="1"/>
    </xf>
    <xf numFmtId="0" fontId="13" fillId="6" borderId="1" xfId="0" applyFont="1" applyFill="1" applyBorder="1" applyAlignment="1">
      <alignment horizontal="left" vertical="top" wrapText="1"/>
    </xf>
    <xf numFmtId="0" fontId="4" fillId="5" borderId="1" xfId="0" applyFont="1" applyFill="1" applyBorder="1" applyAlignment="1">
      <alignment vertical="top" wrapText="1"/>
    </xf>
    <xf numFmtId="0" fontId="4" fillId="5" borderId="1" xfId="0" applyFont="1" applyFill="1" applyBorder="1" applyAlignment="1">
      <alignment horizontal="left" vertical="center" wrapText="1"/>
    </xf>
    <xf numFmtId="0" fontId="12" fillId="5" borderId="1" xfId="0" applyFont="1" applyFill="1" applyBorder="1" applyAlignment="1">
      <alignment horizontal="left" vertical="top" wrapText="1"/>
    </xf>
    <xf numFmtId="0" fontId="4" fillId="5" borderId="39" xfId="0" applyFont="1" applyFill="1" applyBorder="1" applyAlignment="1">
      <alignment horizontal="center" vertical="top" wrapText="1"/>
    </xf>
    <xf numFmtId="0" fontId="13" fillId="6" borderId="39" xfId="0" applyFont="1" applyFill="1" applyBorder="1" applyAlignment="1">
      <alignment horizontal="center" vertical="top" wrapText="1"/>
    </xf>
    <xf numFmtId="0" fontId="13" fillId="6" borderId="40" xfId="0" applyFont="1" applyFill="1" applyBorder="1" applyAlignment="1">
      <alignment horizontal="center" vertical="top" wrapText="1"/>
    </xf>
    <xf numFmtId="0" fontId="13" fillId="6" borderId="41" xfId="0" applyFont="1" applyFill="1" applyBorder="1" applyAlignment="1">
      <alignment horizontal="center" vertical="top" wrapText="1"/>
    </xf>
    <xf numFmtId="14" fontId="4" fillId="5" borderId="40" xfId="0" applyNumberFormat="1" applyFont="1" applyFill="1" applyBorder="1" applyAlignment="1">
      <alignment horizontal="center" vertical="top" wrapText="1"/>
    </xf>
    <xf numFmtId="14" fontId="4" fillId="5" borderId="41" xfId="0" applyNumberFormat="1" applyFont="1" applyFill="1" applyBorder="1" applyAlignment="1">
      <alignment horizontal="center" vertical="top" wrapText="1"/>
    </xf>
    <xf numFmtId="0" fontId="4" fillId="5" borderId="39" xfId="0" applyFont="1" applyFill="1" applyBorder="1" applyAlignment="1">
      <alignment horizontal="center" vertical="center" wrapText="1"/>
    </xf>
    <xf numFmtId="0" fontId="28" fillId="5" borderId="2" xfId="0" quotePrefix="1" applyFont="1" applyFill="1" applyBorder="1" applyAlignment="1">
      <alignment horizontal="left" vertical="top" wrapText="1"/>
    </xf>
    <xf numFmtId="0" fontId="4" fillId="5" borderId="7" xfId="0" applyFont="1" applyFill="1" applyBorder="1" applyAlignment="1">
      <alignment horizontal="left" vertical="top"/>
    </xf>
    <xf numFmtId="0" fontId="30" fillId="5" borderId="2" xfId="0" quotePrefix="1" applyFont="1" applyFill="1" applyBorder="1" applyAlignment="1">
      <alignment horizontal="left" vertical="top" wrapText="1"/>
    </xf>
    <xf numFmtId="49" fontId="4" fillId="5" borderId="2" xfId="0" quotePrefix="1" applyNumberFormat="1" applyFont="1" applyFill="1" applyBorder="1" applyAlignment="1">
      <alignment horizontal="left" vertical="top" wrapText="1"/>
    </xf>
    <xf numFmtId="49" fontId="4" fillId="5" borderId="3" xfId="0" applyNumberFormat="1" applyFont="1" applyFill="1" applyBorder="1" applyAlignment="1">
      <alignment horizontal="left" vertical="top"/>
    </xf>
    <xf numFmtId="49" fontId="4" fillId="5" borderId="4" xfId="0" applyNumberFormat="1" applyFont="1" applyFill="1" applyBorder="1" applyAlignment="1">
      <alignment horizontal="left" vertical="top"/>
    </xf>
    <xf numFmtId="0" fontId="35" fillId="5" borderId="2" xfId="0" quotePrefix="1" applyFont="1" applyFill="1" applyBorder="1" applyAlignment="1">
      <alignment horizontal="left" vertical="top" wrapText="1"/>
    </xf>
    <xf numFmtId="0" fontId="14" fillId="5" borderId="1" xfId="0" applyFont="1" applyFill="1" applyBorder="1" applyAlignment="1">
      <alignment horizontal="left" vertical="top"/>
    </xf>
    <xf numFmtId="0" fontId="4" fillId="5" borderId="40" xfId="0" applyFont="1" applyFill="1" applyBorder="1" applyAlignment="1">
      <alignment horizontal="center" vertical="top"/>
    </xf>
    <xf numFmtId="0" fontId="4" fillId="5" borderId="44" xfId="0" applyFont="1" applyFill="1" applyBorder="1" applyAlignment="1">
      <alignment horizontal="center" vertical="top"/>
    </xf>
    <xf numFmtId="0" fontId="4" fillId="5" borderId="41" xfId="0" applyFont="1" applyFill="1" applyBorder="1" applyAlignment="1">
      <alignment horizontal="center" vertical="top"/>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4" fillId="5" borderId="4" xfId="0" applyFont="1" applyFill="1" applyBorder="1" applyAlignment="1">
      <alignment horizontal="left" vertical="center" wrapText="1"/>
    </xf>
    <xf numFmtId="0" fontId="11" fillId="5" borderId="9" xfId="0" applyFont="1" applyFill="1" applyBorder="1" applyAlignment="1">
      <alignment horizontal="left" vertical="top" wrapText="1"/>
    </xf>
    <xf numFmtId="0" fontId="11" fillId="5" borderId="43" xfId="0" applyFont="1" applyFill="1" applyBorder="1" applyAlignment="1">
      <alignment horizontal="left" vertical="top" wrapText="1"/>
    </xf>
    <xf numFmtId="0" fontId="11" fillId="5" borderId="12" xfId="0" applyFont="1" applyFill="1" applyBorder="1" applyAlignment="1">
      <alignment horizontal="left" vertical="top" wrapText="1"/>
    </xf>
    <xf numFmtId="0" fontId="11" fillId="5" borderId="7" xfId="0" applyFont="1" applyFill="1" applyBorder="1" applyAlignment="1">
      <alignment horizontal="left" vertical="top" wrapText="1"/>
    </xf>
    <xf numFmtId="0" fontId="11" fillId="5" borderId="42" xfId="0" applyFont="1" applyFill="1" applyBorder="1" applyAlignment="1">
      <alignment horizontal="left" vertical="top"/>
    </xf>
    <xf numFmtId="0" fontId="11" fillId="5" borderId="10" xfId="0" applyFont="1" applyFill="1" applyBorder="1" applyAlignment="1">
      <alignment horizontal="left" vertical="top"/>
    </xf>
    <xf numFmtId="0" fontId="6" fillId="5" borderId="5" xfId="0" applyFont="1" applyFill="1" applyBorder="1" applyAlignment="1" applyProtection="1">
      <alignment horizontal="center" vertical="center"/>
      <protection locked="0"/>
    </xf>
    <xf numFmtId="0" fontId="6" fillId="5" borderId="6" xfId="0" applyFont="1" applyFill="1" applyBorder="1" applyAlignment="1" applyProtection="1">
      <alignment horizontal="center" vertical="center"/>
      <protection locked="0"/>
    </xf>
    <xf numFmtId="0" fontId="14" fillId="5" borderId="2" xfId="0" applyFont="1" applyFill="1" applyBorder="1" applyAlignment="1">
      <alignment horizontal="left" vertical="top" wrapText="1"/>
    </xf>
    <xf numFmtId="0" fontId="4" fillId="5" borderId="39" xfId="0" applyFont="1" applyFill="1" applyBorder="1" applyAlignment="1">
      <alignment horizontal="left" vertical="top"/>
    </xf>
    <xf numFmtId="17" fontId="4" fillId="5" borderId="39" xfId="0" applyNumberFormat="1" applyFont="1" applyFill="1" applyBorder="1" applyAlignment="1">
      <alignment horizontal="left" vertical="top"/>
    </xf>
    <xf numFmtId="14" fontId="4" fillId="5" borderId="39" xfId="0" applyNumberFormat="1" applyFont="1" applyFill="1" applyBorder="1" applyAlignment="1">
      <alignment horizontal="center" vertical="top"/>
    </xf>
    <xf numFmtId="0" fontId="13" fillId="6" borderId="2" xfId="0" applyFont="1" applyFill="1" applyBorder="1" applyAlignment="1">
      <alignment horizontal="center" vertical="top" wrapText="1"/>
    </xf>
    <xf numFmtId="0" fontId="13" fillId="6" borderId="3" xfId="0" applyFont="1" applyFill="1" applyBorder="1" applyAlignment="1">
      <alignment horizontal="center" vertical="top" wrapText="1"/>
    </xf>
    <xf numFmtId="0" fontId="13" fillId="6" borderId="4" xfId="0" applyFont="1" applyFill="1" applyBorder="1" applyAlignment="1">
      <alignment horizontal="center" vertical="top" wrapText="1"/>
    </xf>
    <xf numFmtId="0" fontId="4" fillId="5" borderId="40" xfId="0" applyFont="1" applyFill="1" applyBorder="1" applyAlignment="1">
      <alignment horizontal="left" vertical="top"/>
    </xf>
    <xf numFmtId="0" fontId="4" fillId="5" borderId="44" xfId="0" applyFont="1" applyFill="1" applyBorder="1" applyAlignment="1">
      <alignment horizontal="left" vertical="top"/>
    </xf>
    <xf numFmtId="0" fontId="4" fillId="5" borderId="41" xfId="0" applyFont="1" applyFill="1" applyBorder="1" applyAlignment="1">
      <alignment horizontal="left" vertical="top"/>
    </xf>
    <xf numFmtId="17" fontId="4" fillId="5" borderId="40" xfId="0" applyNumberFormat="1" applyFont="1" applyFill="1" applyBorder="1" applyAlignment="1">
      <alignment horizontal="left" vertical="top"/>
    </xf>
    <xf numFmtId="17" fontId="4" fillId="5" borderId="41" xfId="0" applyNumberFormat="1" applyFont="1" applyFill="1" applyBorder="1" applyAlignment="1">
      <alignment horizontal="left" vertical="top"/>
    </xf>
    <xf numFmtId="0" fontId="13" fillId="6" borderId="44" xfId="0" applyFont="1" applyFill="1" applyBorder="1" applyAlignment="1">
      <alignment horizontal="center" vertical="top"/>
    </xf>
    <xf numFmtId="0" fontId="6" fillId="5" borderId="14" xfId="0" applyFont="1" applyFill="1" applyBorder="1" applyAlignment="1" applyProtection="1">
      <alignment horizontal="center" vertical="center"/>
      <protection locked="0"/>
    </xf>
  </cellXfs>
  <cellStyles count="6">
    <cellStyle name="20 % - Accent4" xfId="1" builtinId="42"/>
    <cellStyle name="40 % - Accent6" xfId="3" builtinId="51"/>
    <cellStyle name="60 % - Accent4" xfId="2" builtinId="44"/>
    <cellStyle name="Accent2" xfId="5" builtinId="33"/>
    <cellStyle name="Lien hypertexte" xfId="4" builtinId="8"/>
    <cellStyle name="Normal" xfId="0" builtinId="0"/>
  </cellStyles>
  <dxfs count="0"/>
  <tableStyles count="0" defaultTableStyle="TableStyleMedium2" defaultPivotStyle="PivotStyleLight16"/>
  <colors>
    <mruColors>
      <color rgb="FFFF8080"/>
      <color rgb="FFA6D1D1"/>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69850</xdr:colOff>
      <xdr:row>1</xdr:row>
      <xdr:rowOff>38100</xdr:rowOff>
    </xdr:from>
    <xdr:ext cx="533400" cy="505619"/>
    <xdr:pic>
      <xdr:nvPicPr>
        <xdr:cNvPr id="2" name="Picture 1">
          <a:extLst>
            <a:ext uri="{FF2B5EF4-FFF2-40B4-BE49-F238E27FC236}">
              <a16:creationId xmlns:a16="http://schemas.microsoft.com/office/drawing/2014/main" xmlns="" id="{5A39366A-2D87-4601-99B2-643DDFC4AD4F}"/>
            </a:ext>
          </a:extLst>
        </xdr:cNvPr>
        <xdr:cNvPicPr>
          <a:picLocks noChangeAspect="1" noChangeArrowheads="1"/>
        </xdr:cNvPicPr>
      </xdr:nvPicPr>
      <xdr:blipFill>
        <a:blip xmlns:r="http://schemas.openxmlformats.org/officeDocument/2006/relationships" r:embed="rId1" cstate="print"/>
        <a:srcRect r="45454"/>
        <a:stretch>
          <a:fillRect/>
        </a:stretch>
      </xdr:blipFill>
      <xdr:spPr bwMode="auto">
        <a:xfrm>
          <a:off x="215900" y="228600"/>
          <a:ext cx="533400" cy="505619"/>
        </a:xfrm>
        <a:prstGeom prst="rect">
          <a:avLst/>
        </a:prstGeom>
        <a:noFill/>
        <a:ln w="9525">
          <a:noFill/>
          <a:miter lim="800000"/>
          <a:headEnd/>
          <a:tailEnd/>
        </a:ln>
      </xdr:spPr>
    </xdr:pic>
    <xdr:clientData/>
  </xdr:oneCellAnchor>
  <xdr:oneCellAnchor>
    <xdr:from>
      <xdr:col>11</xdr:col>
      <xdr:colOff>2089150</xdr:colOff>
      <xdr:row>1</xdr:row>
      <xdr:rowOff>69851</xdr:rowOff>
    </xdr:from>
    <xdr:ext cx="367844" cy="438150"/>
    <xdr:pic>
      <xdr:nvPicPr>
        <xdr:cNvPr id="3" name="Picture 2" descr="Résultat de recherche d'images pour &quot;iset réseau&quot;">
          <a:extLst>
            <a:ext uri="{FF2B5EF4-FFF2-40B4-BE49-F238E27FC236}">
              <a16:creationId xmlns:a16="http://schemas.microsoft.com/office/drawing/2014/main" xmlns="" id="{5CD8165A-B87C-41C3-BE41-6239965A23A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31200" y="260351"/>
          <a:ext cx="367844" cy="4381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2454731</xdr:colOff>
      <xdr:row>1</xdr:row>
      <xdr:rowOff>92906</xdr:rowOff>
    </xdr:from>
    <xdr:ext cx="835944" cy="376994"/>
    <xdr:pic>
      <xdr:nvPicPr>
        <xdr:cNvPr id="4" name="Picture 3" descr="Résultat de recherche d'images pour &quot;fed tic&quot;">
          <a:extLst>
            <a:ext uri="{FF2B5EF4-FFF2-40B4-BE49-F238E27FC236}">
              <a16:creationId xmlns:a16="http://schemas.microsoft.com/office/drawing/2014/main" xmlns="" id="{A9277AEE-763C-4B53-9FE7-302063AF91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96781" y="283406"/>
          <a:ext cx="835944" cy="37699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3204031</xdr:colOff>
      <xdr:row>1</xdr:row>
      <xdr:rowOff>35756</xdr:rowOff>
    </xdr:from>
    <xdr:ext cx="427794" cy="427794"/>
    <xdr:pic>
      <xdr:nvPicPr>
        <xdr:cNvPr id="5" name="Picture 4" descr="Résultat de recherche d'images pour &quot;tact tunisie&quot;">
          <a:extLst>
            <a:ext uri="{FF2B5EF4-FFF2-40B4-BE49-F238E27FC236}">
              <a16:creationId xmlns:a16="http://schemas.microsoft.com/office/drawing/2014/main" xmlns="" id="{B2D5CF0C-829C-44E0-AC6E-C1458344C99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446081" y="226256"/>
          <a:ext cx="427794" cy="42779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76026</xdr:colOff>
      <xdr:row>11</xdr:row>
      <xdr:rowOff>142144</xdr:rowOff>
    </xdr:from>
    <xdr:ext cx="26670" cy="0"/>
    <xdr:sp macro="" textlink="">
      <xdr:nvSpPr>
        <xdr:cNvPr id="2" name="Shape 13">
          <a:extLst>
            <a:ext uri="{FF2B5EF4-FFF2-40B4-BE49-F238E27FC236}">
              <a16:creationId xmlns:a16="http://schemas.microsoft.com/office/drawing/2014/main" xmlns="" id="{56265B76-59E6-4618-AC6C-7BC7A2A13AFF}"/>
            </a:ext>
          </a:extLst>
        </xdr:cNvPr>
        <xdr:cNvSpPr/>
      </xdr:nvSpPr>
      <xdr:spPr>
        <a:xfrm>
          <a:off x="20218226" y="63778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4</xdr:col>
      <xdr:colOff>76026</xdr:colOff>
      <xdr:row>13</xdr:row>
      <xdr:rowOff>142144</xdr:rowOff>
    </xdr:from>
    <xdr:ext cx="26670" cy="0"/>
    <xdr:sp macro="" textlink="">
      <xdr:nvSpPr>
        <xdr:cNvPr id="3" name="Shape 13">
          <a:extLst>
            <a:ext uri="{FF2B5EF4-FFF2-40B4-BE49-F238E27FC236}">
              <a16:creationId xmlns:a16="http://schemas.microsoft.com/office/drawing/2014/main" xmlns="" id="{6C922A33-D0D7-4BF0-B505-543BD7E11308}"/>
            </a:ext>
          </a:extLst>
        </xdr:cNvPr>
        <xdr:cNvSpPr/>
      </xdr:nvSpPr>
      <xdr:spPr>
        <a:xfrm>
          <a:off x="20218226" y="67461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76026</xdr:colOff>
      <xdr:row>10</xdr:row>
      <xdr:rowOff>142144</xdr:rowOff>
    </xdr:from>
    <xdr:ext cx="26670" cy="0"/>
    <xdr:sp macro="" textlink="">
      <xdr:nvSpPr>
        <xdr:cNvPr id="2" name="Shape 13">
          <a:extLst>
            <a:ext uri="{FF2B5EF4-FFF2-40B4-BE49-F238E27FC236}">
              <a16:creationId xmlns:a16="http://schemas.microsoft.com/office/drawing/2014/main" xmlns="" id="{93F08C1F-87F3-4458-976F-E3FF4F15990A}"/>
            </a:ext>
          </a:extLst>
        </xdr:cNvPr>
        <xdr:cNvSpPr/>
      </xdr:nvSpPr>
      <xdr:spPr>
        <a:xfrm>
          <a:off x="2920826" y="21741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12</xdr:row>
      <xdr:rowOff>142144</xdr:rowOff>
    </xdr:from>
    <xdr:ext cx="26670" cy="0"/>
    <xdr:sp macro="" textlink="">
      <xdr:nvSpPr>
        <xdr:cNvPr id="3" name="Shape 13">
          <a:extLst>
            <a:ext uri="{FF2B5EF4-FFF2-40B4-BE49-F238E27FC236}">
              <a16:creationId xmlns:a16="http://schemas.microsoft.com/office/drawing/2014/main" xmlns="" id="{15DF14D9-0A8F-41E6-A55F-A305047ED1DF}"/>
            </a:ext>
          </a:extLst>
        </xdr:cNvPr>
        <xdr:cNvSpPr/>
      </xdr:nvSpPr>
      <xdr:spPr>
        <a:xfrm>
          <a:off x="2920826" y="25424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10</xdr:row>
      <xdr:rowOff>142144</xdr:rowOff>
    </xdr:from>
    <xdr:ext cx="26670" cy="0"/>
    <xdr:sp macro="" textlink="">
      <xdr:nvSpPr>
        <xdr:cNvPr id="6" name="Shape 13">
          <a:extLst>
            <a:ext uri="{FF2B5EF4-FFF2-40B4-BE49-F238E27FC236}">
              <a16:creationId xmlns:a16="http://schemas.microsoft.com/office/drawing/2014/main" xmlns="" id="{D842B47D-B715-4245-AB76-0A676964CE90}"/>
            </a:ext>
          </a:extLst>
        </xdr:cNvPr>
        <xdr:cNvSpPr/>
      </xdr:nvSpPr>
      <xdr:spPr>
        <a:xfrm>
          <a:off x="2920826" y="218049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12</xdr:row>
      <xdr:rowOff>142144</xdr:rowOff>
    </xdr:from>
    <xdr:ext cx="26670" cy="0"/>
    <xdr:sp macro="" textlink="">
      <xdr:nvSpPr>
        <xdr:cNvPr id="7" name="Shape 13">
          <a:extLst>
            <a:ext uri="{FF2B5EF4-FFF2-40B4-BE49-F238E27FC236}">
              <a16:creationId xmlns:a16="http://schemas.microsoft.com/office/drawing/2014/main" xmlns="" id="{30AD047C-F20B-4740-A650-F293960A62F0}"/>
            </a:ext>
          </a:extLst>
        </xdr:cNvPr>
        <xdr:cNvSpPr/>
      </xdr:nvSpPr>
      <xdr:spPr>
        <a:xfrm>
          <a:off x="2920826" y="254879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76026</xdr:colOff>
      <xdr:row>10</xdr:row>
      <xdr:rowOff>142144</xdr:rowOff>
    </xdr:from>
    <xdr:ext cx="26670" cy="0"/>
    <xdr:sp macro="" textlink="">
      <xdr:nvSpPr>
        <xdr:cNvPr id="2" name="Shape 13">
          <a:extLst>
            <a:ext uri="{FF2B5EF4-FFF2-40B4-BE49-F238E27FC236}">
              <a16:creationId xmlns:a16="http://schemas.microsoft.com/office/drawing/2014/main" xmlns="" id="{104793E4-9730-4A32-A7D1-3F68E521796B}"/>
            </a:ext>
          </a:extLst>
        </xdr:cNvPr>
        <xdr:cNvSpPr/>
      </xdr:nvSpPr>
      <xdr:spPr>
        <a:xfrm>
          <a:off x="685626" y="19836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12</xdr:row>
      <xdr:rowOff>142144</xdr:rowOff>
    </xdr:from>
    <xdr:ext cx="26670" cy="0"/>
    <xdr:sp macro="" textlink="">
      <xdr:nvSpPr>
        <xdr:cNvPr id="3" name="Shape 13">
          <a:extLst>
            <a:ext uri="{FF2B5EF4-FFF2-40B4-BE49-F238E27FC236}">
              <a16:creationId xmlns:a16="http://schemas.microsoft.com/office/drawing/2014/main" xmlns="" id="{DF85442E-14FF-43DE-851B-96E9A0FB857A}"/>
            </a:ext>
          </a:extLst>
        </xdr:cNvPr>
        <xdr:cNvSpPr/>
      </xdr:nvSpPr>
      <xdr:spPr>
        <a:xfrm>
          <a:off x="685626" y="23519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10</xdr:row>
      <xdr:rowOff>142144</xdr:rowOff>
    </xdr:from>
    <xdr:ext cx="26670" cy="0"/>
    <xdr:sp macro="" textlink="">
      <xdr:nvSpPr>
        <xdr:cNvPr id="4" name="Shape 13">
          <a:extLst>
            <a:ext uri="{FF2B5EF4-FFF2-40B4-BE49-F238E27FC236}">
              <a16:creationId xmlns:a16="http://schemas.microsoft.com/office/drawing/2014/main" xmlns="" id="{4FAB94A0-673D-4580-9B1B-171DECF69042}"/>
            </a:ext>
          </a:extLst>
        </xdr:cNvPr>
        <xdr:cNvSpPr/>
      </xdr:nvSpPr>
      <xdr:spPr>
        <a:xfrm>
          <a:off x="685626" y="19836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12</xdr:row>
      <xdr:rowOff>142144</xdr:rowOff>
    </xdr:from>
    <xdr:ext cx="26670" cy="0"/>
    <xdr:sp macro="" textlink="">
      <xdr:nvSpPr>
        <xdr:cNvPr id="5" name="Shape 13">
          <a:extLst>
            <a:ext uri="{FF2B5EF4-FFF2-40B4-BE49-F238E27FC236}">
              <a16:creationId xmlns:a16="http://schemas.microsoft.com/office/drawing/2014/main" xmlns="" id="{601FDE23-0C85-4F8F-8464-301B668854A4}"/>
            </a:ext>
          </a:extLst>
        </xdr:cNvPr>
        <xdr:cNvSpPr/>
      </xdr:nvSpPr>
      <xdr:spPr>
        <a:xfrm>
          <a:off x="685626" y="23519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0</xdr:row>
      <xdr:rowOff>0</xdr:rowOff>
    </xdr:from>
    <xdr:ext cx="26670" cy="0"/>
    <xdr:sp macro="" textlink="">
      <xdr:nvSpPr>
        <xdr:cNvPr id="2" name="Shape 13">
          <a:extLst>
            <a:ext uri="{FF2B5EF4-FFF2-40B4-BE49-F238E27FC236}">
              <a16:creationId xmlns:a16="http://schemas.microsoft.com/office/drawing/2014/main" xmlns="" id="{B625D644-6A13-422D-B986-816A48F905A0}"/>
            </a:ext>
          </a:extLst>
        </xdr:cNvPr>
        <xdr:cNvSpPr/>
      </xdr:nvSpPr>
      <xdr:spPr>
        <a:xfrm>
          <a:off x="685626" y="19836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0</xdr:colOff>
      <xdr:row>0</xdr:row>
      <xdr:rowOff>0</xdr:rowOff>
    </xdr:from>
    <xdr:ext cx="26670" cy="0"/>
    <xdr:sp macro="" textlink="">
      <xdr:nvSpPr>
        <xdr:cNvPr id="3" name="Shape 13">
          <a:extLst>
            <a:ext uri="{FF2B5EF4-FFF2-40B4-BE49-F238E27FC236}">
              <a16:creationId xmlns:a16="http://schemas.microsoft.com/office/drawing/2014/main" xmlns="" id="{C8336EF4-ABC0-4A3F-ACF0-C6085E077562}"/>
            </a:ext>
          </a:extLst>
        </xdr:cNvPr>
        <xdr:cNvSpPr/>
      </xdr:nvSpPr>
      <xdr:spPr>
        <a:xfrm>
          <a:off x="685626" y="23519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0</xdr:colOff>
      <xdr:row>0</xdr:row>
      <xdr:rowOff>0</xdr:rowOff>
    </xdr:from>
    <xdr:ext cx="26670" cy="0"/>
    <xdr:sp macro="" textlink="">
      <xdr:nvSpPr>
        <xdr:cNvPr id="4" name="Shape 13">
          <a:extLst>
            <a:ext uri="{FF2B5EF4-FFF2-40B4-BE49-F238E27FC236}">
              <a16:creationId xmlns:a16="http://schemas.microsoft.com/office/drawing/2014/main" xmlns="" id="{D6F669A1-3F26-43D6-B017-70755C1B4191}"/>
            </a:ext>
          </a:extLst>
        </xdr:cNvPr>
        <xdr:cNvSpPr/>
      </xdr:nvSpPr>
      <xdr:spPr>
        <a:xfrm>
          <a:off x="685626" y="19836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0</xdr:colOff>
      <xdr:row>0</xdr:row>
      <xdr:rowOff>0</xdr:rowOff>
    </xdr:from>
    <xdr:ext cx="26670" cy="0"/>
    <xdr:sp macro="" textlink="">
      <xdr:nvSpPr>
        <xdr:cNvPr id="5" name="Shape 13">
          <a:extLst>
            <a:ext uri="{FF2B5EF4-FFF2-40B4-BE49-F238E27FC236}">
              <a16:creationId xmlns:a16="http://schemas.microsoft.com/office/drawing/2014/main" xmlns="" id="{308E305B-123E-4CB6-A50E-A50C1E398204}"/>
            </a:ext>
          </a:extLst>
        </xdr:cNvPr>
        <xdr:cNvSpPr/>
      </xdr:nvSpPr>
      <xdr:spPr>
        <a:xfrm>
          <a:off x="685626" y="23519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10</xdr:row>
      <xdr:rowOff>142144</xdr:rowOff>
    </xdr:from>
    <xdr:ext cx="26670" cy="0"/>
    <xdr:sp macro="" textlink="">
      <xdr:nvSpPr>
        <xdr:cNvPr id="10" name="Shape 13">
          <a:extLst>
            <a:ext uri="{FF2B5EF4-FFF2-40B4-BE49-F238E27FC236}">
              <a16:creationId xmlns:a16="http://schemas.microsoft.com/office/drawing/2014/main" xmlns="" id="{6FD95027-BC72-41FE-B29A-0462AA8CFF1E}"/>
            </a:ext>
          </a:extLst>
        </xdr:cNvPr>
        <xdr:cNvSpPr/>
      </xdr:nvSpPr>
      <xdr:spPr>
        <a:xfrm>
          <a:off x="685626" y="19836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12</xdr:row>
      <xdr:rowOff>142144</xdr:rowOff>
    </xdr:from>
    <xdr:ext cx="26670" cy="0"/>
    <xdr:sp macro="" textlink="">
      <xdr:nvSpPr>
        <xdr:cNvPr id="11" name="Shape 13">
          <a:extLst>
            <a:ext uri="{FF2B5EF4-FFF2-40B4-BE49-F238E27FC236}">
              <a16:creationId xmlns:a16="http://schemas.microsoft.com/office/drawing/2014/main" xmlns="" id="{A4DCF625-7D07-478D-8BA0-5A17AB5E8DD7}"/>
            </a:ext>
          </a:extLst>
        </xdr:cNvPr>
        <xdr:cNvSpPr/>
      </xdr:nvSpPr>
      <xdr:spPr>
        <a:xfrm>
          <a:off x="685626" y="23519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10</xdr:row>
      <xdr:rowOff>142144</xdr:rowOff>
    </xdr:from>
    <xdr:ext cx="26670" cy="0"/>
    <xdr:sp macro="" textlink="">
      <xdr:nvSpPr>
        <xdr:cNvPr id="12" name="Shape 13">
          <a:extLst>
            <a:ext uri="{FF2B5EF4-FFF2-40B4-BE49-F238E27FC236}">
              <a16:creationId xmlns:a16="http://schemas.microsoft.com/office/drawing/2014/main" xmlns="" id="{ACEAD3D3-7DDF-49DA-89DA-115B44823657}"/>
            </a:ext>
          </a:extLst>
        </xdr:cNvPr>
        <xdr:cNvSpPr/>
      </xdr:nvSpPr>
      <xdr:spPr>
        <a:xfrm>
          <a:off x="685626" y="19836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12</xdr:row>
      <xdr:rowOff>142144</xdr:rowOff>
    </xdr:from>
    <xdr:ext cx="26670" cy="0"/>
    <xdr:sp macro="" textlink="">
      <xdr:nvSpPr>
        <xdr:cNvPr id="13" name="Shape 13">
          <a:extLst>
            <a:ext uri="{FF2B5EF4-FFF2-40B4-BE49-F238E27FC236}">
              <a16:creationId xmlns:a16="http://schemas.microsoft.com/office/drawing/2014/main" xmlns="" id="{1061F8ED-D732-49BA-B093-21CE09A2FDC3}"/>
            </a:ext>
          </a:extLst>
        </xdr:cNvPr>
        <xdr:cNvSpPr/>
      </xdr:nvSpPr>
      <xdr:spPr>
        <a:xfrm>
          <a:off x="685626" y="23519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wsDr>
</file>

<file path=xl/theme/theme1.xml><?xml version="1.0" encoding="utf-8"?>
<a:theme xmlns:a="http://schemas.openxmlformats.org/drawingml/2006/main" name="Office Theme">
  <a:themeElements>
    <a:clrScheme name="Numu Consulting">
      <a:dk1>
        <a:srgbClr val="008080"/>
      </a:dk1>
      <a:lt1>
        <a:srgbClr val="FFFFFF"/>
      </a:lt1>
      <a:dk2>
        <a:srgbClr val="008080"/>
      </a:dk2>
      <a:lt2>
        <a:srgbClr val="FFFFFF"/>
      </a:lt2>
      <a:accent1>
        <a:srgbClr val="C8C8C8"/>
      </a:accent1>
      <a:accent2>
        <a:srgbClr val="6AB2B2"/>
      </a:accent2>
      <a:accent3>
        <a:srgbClr val="AAAAAA"/>
      </a:accent3>
      <a:accent4>
        <a:srgbClr val="008080"/>
      </a:accent4>
      <a:accent5>
        <a:srgbClr val="7D7D7D"/>
      </a:accent5>
      <a:accent6>
        <a:srgbClr val="1E6262"/>
      </a:accent6>
      <a:hlink>
        <a:srgbClr val="909090"/>
      </a:hlink>
      <a:folHlink>
        <a:srgbClr val="6A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7"/>
  <sheetViews>
    <sheetView tabSelected="1" topLeftCell="A4" workbookViewId="0">
      <selection activeCell="K28" sqref="K28"/>
    </sheetView>
  </sheetViews>
  <sheetFormatPr baseColWidth="10" defaultColWidth="8.85546875" defaultRowHeight="15"/>
  <cols>
    <col min="1" max="1" width="2.140625" style="1" customWidth="1"/>
    <col min="2" max="11" width="8.85546875" style="1"/>
    <col min="12" max="12" width="53" style="1" customWidth="1"/>
    <col min="13" max="16384" width="8.85546875" style="1"/>
  </cols>
  <sheetData>
    <row r="1" spans="2:12" ht="15.75" thickBot="1"/>
    <row r="2" spans="2:12" ht="14.45" customHeight="1">
      <c r="B2" s="146"/>
      <c r="C2" s="147"/>
      <c r="D2" s="147"/>
      <c r="E2" s="147"/>
      <c r="F2" s="147"/>
      <c r="G2" s="147"/>
      <c r="H2" s="147"/>
      <c r="I2" s="147"/>
      <c r="J2" s="147"/>
      <c r="K2" s="147"/>
      <c r="L2" s="148"/>
    </row>
    <row r="3" spans="2:12">
      <c r="B3" s="149"/>
      <c r="C3" s="150"/>
      <c r="D3" s="150"/>
      <c r="E3" s="150"/>
      <c r="F3" s="150"/>
      <c r="G3" s="150"/>
      <c r="H3" s="150"/>
      <c r="I3" s="150"/>
      <c r="J3" s="150"/>
      <c r="K3" s="150"/>
      <c r="L3" s="151"/>
    </row>
    <row r="4" spans="2:12" ht="18.75">
      <c r="B4" s="149"/>
      <c r="C4" s="150"/>
      <c r="D4" s="150"/>
      <c r="E4" s="202" t="s">
        <v>784</v>
      </c>
      <c r="F4" s="203"/>
      <c r="G4" s="203"/>
      <c r="H4" s="203"/>
      <c r="I4" s="150"/>
      <c r="J4" s="150"/>
      <c r="K4" s="150"/>
      <c r="L4" s="151"/>
    </row>
    <row r="5" spans="2:12" ht="15.75">
      <c r="B5" s="149"/>
      <c r="C5" s="150"/>
      <c r="D5" s="150"/>
      <c r="E5" s="204"/>
      <c r="F5" s="204"/>
      <c r="G5" s="209">
        <v>43282</v>
      </c>
      <c r="H5" s="209"/>
      <c r="I5" s="150"/>
      <c r="J5" s="150"/>
      <c r="K5" s="150"/>
      <c r="L5" s="151"/>
    </row>
    <row r="6" spans="2:12">
      <c r="B6" s="149"/>
      <c r="C6" s="150"/>
      <c r="D6" s="150"/>
      <c r="E6" s="150"/>
      <c r="F6" s="150"/>
      <c r="G6" s="150"/>
      <c r="H6" s="150"/>
      <c r="I6" s="150"/>
      <c r="J6" s="150"/>
      <c r="K6" s="150"/>
      <c r="L6" s="151"/>
    </row>
    <row r="7" spans="2:12" ht="15.75" thickBot="1">
      <c r="B7" s="152"/>
      <c r="C7" s="153"/>
      <c r="D7" s="153"/>
      <c r="E7" s="153"/>
      <c r="F7" s="153"/>
      <c r="G7" s="153"/>
      <c r="H7" s="153"/>
      <c r="I7" s="153"/>
      <c r="J7" s="153"/>
      <c r="K7" s="153"/>
      <c r="L7" s="154"/>
    </row>
    <row r="8" spans="2:12" ht="14.45" customHeight="1">
      <c r="B8" s="213" t="s">
        <v>724</v>
      </c>
      <c r="C8" s="214"/>
      <c r="D8" s="214"/>
      <c r="E8" s="214"/>
      <c r="F8" s="214"/>
      <c r="G8" s="214"/>
      <c r="H8" s="214"/>
      <c r="I8" s="214"/>
      <c r="J8" s="214"/>
      <c r="K8" s="214"/>
      <c r="L8" s="215"/>
    </row>
    <row r="9" spans="2:12">
      <c r="B9" s="216"/>
      <c r="C9" s="217"/>
      <c r="D9" s="217"/>
      <c r="E9" s="217"/>
      <c r="F9" s="217"/>
      <c r="G9" s="217"/>
      <c r="H9" s="217"/>
      <c r="I9" s="217"/>
      <c r="J9" s="217"/>
      <c r="K9" s="217"/>
      <c r="L9" s="218"/>
    </row>
    <row r="10" spans="2:12">
      <c r="B10" s="216"/>
      <c r="C10" s="217"/>
      <c r="D10" s="217"/>
      <c r="E10" s="217"/>
      <c r="F10" s="217"/>
      <c r="G10" s="217"/>
      <c r="H10" s="217"/>
      <c r="I10" s="217"/>
      <c r="J10" s="217"/>
      <c r="K10" s="217"/>
      <c r="L10" s="218"/>
    </row>
    <row r="11" spans="2:12">
      <c r="B11" s="216"/>
      <c r="C11" s="217"/>
      <c r="D11" s="217"/>
      <c r="E11" s="217"/>
      <c r="F11" s="217"/>
      <c r="G11" s="217"/>
      <c r="H11" s="217"/>
      <c r="I11" s="217"/>
      <c r="J11" s="217"/>
      <c r="K11" s="217"/>
      <c r="L11" s="218"/>
    </row>
    <row r="12" spans="2:12" ht="15.75" thickBot="1">
      <c r="B12" s="219"/>
      <c r="C12" s="220"/>
      <c r="D12" s="220"/>
      <c r="E12" s="220"/>
      <c r="F12" s="220"/>
      <c r="G12" s="220"/>
      <c r="H12" s="220"/>
      <c r="I12" s="220"/>
      <c r="J12" s="220"/>
      <c r="K12" s="220"/>
      <c r="L12" s="221"/>
    </row>
    <row r="13" spans="2:12" ht="15.75">
      <c r="B13" s="155"/>
      <c r="C13" s="156"/>
      <c r="D13" s="156"/>
      <c r="E13" s="156"/>
      <c r="F13" s="156"/>
      <c r="G13" s="156"/>
      <c r="H13" s="156"/>
      <c r="I13" s="156"/>
      <c r="J13" s="156"/>
      <c r="K13" s="156"/>
      <c r="L13" s="157"/>
    </row>
    <row r="14" spans="2:12" ht="14.1" customHeight="1">
      <c r="B14" s="222" t="s">
        <v>720</v>
      </c>
      <c r="C14" s="223"/>
      <c r="D14" s="223"/>
      <c r="E14" s="223"/>
      <c r="F14" s="223"/>
      <c r="G14" s="223"/>
      <c r="H14" s="223"/>
      <c r="I14" s="223"/>
      <c r="J14" s="223"/>
      <c r="K14" s="223"/>
      <c r="L14" s="224"/>
    </row>
    <row r="15" spans="2:12">
      <c r="B15" s="225" t="s">
        <v>725</v>
      </c>
      <c r="C15" s="226"/>
      <c r="D15" s="226"/>
      <c r="E15" s="226"/>
      <c r="F15" s="226"/>
      <c r="G15" s="226"/>
      <c r="H15" s="226"/>
      <c r="I15" s="226"/>
      <c r="J15" s="226"/>
      <c r="K15" s="226"/>
      <c r="L15" s="227"/>
    </row>
    <row r="16" spans="2:12">
      <c r="B16" s="158" t="s">
        <v>726</v>
      </c>
      <c r="C16" s="159"/>
      <c r="D16" s="159"/>
      <c r="E16" s="159"/>
      <c r="F16" s="159"/>
      <c r="G16" s="159"/>
      <c r="H16" s="159"/>
      <c r="I16" s="159"/>
      <c r="J16" s="159"/>
      <c r="K16" s="159"/>
      <c r="L16" s="160"/>
    </row>
    <row r="17" spans="2:12">
      <c r="B17" s="225" t="s">
        <v>727</v>
      </c>
      <c r="C17" s="226"/>
      <c r="D17" s="226"/>
      <c r="E17" s="226"/>
      <c r="F17" s="226"/>
      <c r="G17" s="226"/>
      <c r="H17" s="226"/>
      <c r="I17" s="226"/>
      <c r="J17" s="226"/>
      <c r="K17" s="226"/>
      <c r="L17" s="227"/>
    </row>
    <row r="18" spans="2:12">
      <c r="B18" s="158" t="s">
        <v>728</v>
      </c>
      <c r="C18" s="159"/>
      <c r="D18" s="159"/>
      <c r="E18" s="159"/>
      <c r="F18" s="159"/>
      <c r="G18" s="159"/>
      <c r="H18" s="159"/>
      <c r="I18" s="159"/>
      <c r="J18" s="159"/>
      <c r="K18" s="159"/>
      <c r="L18" s="160"/>
    </row>
    <row r="19" spans="2:12">
      <c r="B19" s="225" t="s">
        <v>729</v>
      </c>
      <c r="C19" s="226"/>
      <c r="D19" s="226"/>
      <c r="E19" s="226"/>
      <c r="F19" s="226"/>
      <c r="G19" s="226"/>
      <c r="H19" s="226"/>
      <c r="I19" s="226"/>
      <c r="J19" s="226"/>
      <c r="K19" s="226"/>
      <c r="L19" s="227"/>
    </row>
    <row r="20" spans="2:12">
      <c r="B20" s="158" t="s">
        <v>730</v>
      </c>
      <c r="C20" s="159"/>
      <c r="D20" s="159"/>
      <c r="E20" s="159"/>
      <c r="F20" s="159"/>
      <c r="G20" s="159"/>
      <c r="H20" s="159"/>
      <c r="I20" s="159"/>
      <c r="J20" s="159"/>
      <c r="K20" s="159"/>
      <c r="L20" s="160"/>
    </row>
    <row r="21" spans="2:12" ht="15.75" thickBot="1">
      <c r="B21" s="228" t="s">
        <v>731</v>
      </c>
      <c r="C21" s="229"/>
      <c r="D21" s="229"/>
      <c r="E21" s="229"/>
      <c r="F21" s="229"/>
      <c r="G21" s="229"/>
      <c r="H21" s="229"/>
      <c r="I21" s="229"/>
      <c r="J21" s="229"/>
      <c r="K21" s="229"/>
      <c r="L21" s="230"/>
    </row>
    <row r="22" spans="2:12">
      <c r="B22" s="153"/>
      <c r="C22" s="153"/>
      <c r="D22" s="153"/>
      <c r="E22" s="153"/>
      <c r="F22" s="153"/>
      <c r="G22" s="153"/>
      <c r="H22" s="153"/>
      <c r="I22" s="153"/>
      <c r="J22" s="153"/>
      <c r="K22" s="153"/>
      <c r="L22" s="153"/>
    </row>
    <row r="24" spans="2:12">
      <c r="B24" s="210" t="s">
        <v>721</v>
      </c>
      <c r="C24" s="210"/>
      <c r="D24" s="210"/>
    </row>
    <row r="25" spans="2:12">
      <c r="B25" s="211" t="s">
        <v>722</v>
      </c>
      <c r="C25" s="211"/>
      <c r="D25" s="211"/>
    </row>
    <row r="26" spans="2:12">
      <c r="B26" s="212" t="s">
        <v>723</v>
      </c>
      <c r="C26" s="212"/>
      <c r="D26" s="212"/>
    </row>
    <row r="27" spans="2:12">
      <c r="K27" s="1" t="s">
        <v>792</v>
      </c>
    </row>
  </sheetData>
  <mergeCells count="10">
    <mergeCell ref="G5:H5"/>
    <mergeCell ref="B24:D24"/>
    <mergeCell ref="B25:D25"/>
    <mergeCell ref="B26:D26"/>
    <mergeCell ref="B8:L12"/>
    <mergeCell ref="B14:L14"/>
    <mergeCell ref="B15:L15"/>
    <mergeCell ref="B17:L17"/>
    <mergeCell ref="B19:L19"/>
    <mergeCell ref="B21:L2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sheetPr>
  <dimension ref="B5:H31"/>
  <sheetViews>
    <sheetView topLeftCell="A10" workbookViewId="0"/>
  </sheetViews>
  <sheetFormatPr baseColWidth="10" defaultColWidth="8.85546875" defaultRowHeight="15"/>
  <cols>
    <col min="1" max="1" width="3.42578125" style="1" customWidth="1"/>
    <col min="2" max="2" width="8.85546875" style="1"/>
    <col min="3" max="3" width="21.140625" style="1" customWidth="1"/>
    <col min="4" max="4" width="17.85546875" style="1" bestFit="1" customWidth="1"/>
    <col min="5" max="5" width="23.140625" style="1" bestFit="1" customWidth="1"/>
    <col min="6" max="6" width="14.85546875" style="1" customWidth="1"/>
    <col min="7" max="7" width="24.140625" style="1" customWidth="1"/>
    <col min="8" max="8" width="26.140625" style="1" bestFit="1" customWidth="1"/>
    <col min="9" max="9" width="12.140625" style="1" bestFit="1" customWidth="1"/>
    <col min="10" max="16384" width="8.85546875" style="1"/>
  </cols>
  <sheetData>
    <row r="5" spans="2:8">
      <c r="B5" s="3" t="s">
        <v>1</v>
      </c>
      <c r="C5" s="22" t="s">
        <v>79</v>
      </c>
      <c r="D5" s="22"/>
      <c r="E5" s="22"/>
      <c r="F5" s="22"/>
      <c r="G5" s="22"/>
      <c r="H5" s="22"/>
    </row>
    <row r="6" spans="2:8">
      <c r="C6" s="10" t="s">
        <v>80</v>
      </c>
      <c r="D6" s="11"/>
      <c r="E6" s="11"/>
      <c r="F6" s="11" t="s">
        <v>0</v>
      </c>
      <c r="G6" s="12"/>
      <c r="H6" s="12"/>
    </row>
    <row r="7" spans="2:8">
      <c r="B7" s="231" t="s">
        <v>2</v>
      </c>
      <c r="C7" s="232" t="s">
        <v>3</v>
      </c>
      <c r="D7" s="232" t="s">
        <v>4</v>
      </c>
      <c r="E7" s="232" t="s">
        <v>5</v>
      </c>
      <c r="F7" s="9" t="s">
        <v>68</v>
      </c>
      <c r="G7" s="18"/>
      <c r="H7" s="18"/>
    </row>
    <row r="8" spans="2:8" ht="39" customHeight="1">
      <c r="B8" s="231"/>
      <c r="C8" s="233"/>
      <c r="D8" s="233"/>
      <c r="E8" s="233"/>
      <c r="F8" s="142" t="s">
        <v>712</v>
      </c>
      <c r="G8" s="142" t="s">
        <v>713</v>
      </c>
      <c r="H8" s="142" t="s">
        <v>714</v>
      </c>
    </row>
    <row r="9" spans="2:8">
      <c r="B9" s="6">
        <v>1</v>
      </c>
      <c r="C9" s="8" t="s">
        <v>122</v>
      </c>
      <c r="D9" s="8" t="s">
        <v>89</v>
      </c>
      <c r="E9" s="8" t="s">
        <v>88</v>
      </c>
      <c r="F9" s="7" t="s">
        <v>66</v>
      </c>
      <c r="G9" s="7" t="s">
        <v>66</v>
      </c>
      <c r="H9" s="7"/>
    </row>
    <row r="10" spans="2:8">
      <c r="B10" s="6">
        <v>2</v>
      </c>
      <c r="C10" s="8" t="s">
        <v>123</v>
      </c>
      <c r="D10" s="8" t="s">
        <v>125</v>
      </c>
      <c r="E10" s="8" t="s">
        <v>126</v>
      </c>
      <c r="F10" s="7" t="s">
        <v>66</v>
      </c>
      <c r="G10" s="7" t="s">
        <v>66</v>
      </c>
      <c r="H10" s="7"/>
    </row>
    <row r="11" spans="2:8">
      <c r="B11" s="6">
        <v>3</v>
      </c>
      <c r="C11" s="8" t="s">
        <v>128</v>
      </c>
      <c r="D11" s="8" t="s">
        <v>130</v>
      </c>
      <c r="E11" s="8" t="s">
        <v>129</v>
      </c>
      <c r="F11" s="7" t="s">
        <v>66</v>
      </c>
      <c r="G11" s="7" t="s">
        <v>66</v>
      </c>
      <c r="H11" s="7"/>
    </row>
    <row r="12" spans="2:8">
      <c r="B12" s="6">
        <v>4</v>
      </c>
      <c r="C12" s="8" t="s">
        <v>348</v>
      </c>
      <c r="D12" s="8" t="s">
        <v>89</v>
      </c>
      <c r="E12" s="145" t="s">
        <v>719</v>
      </c>
      <c r="F12" s="7"/>
      <c r="G12" s="7" t="s">
        <v>66</v>
      </c>
      <c r="H12" s="7"/>
    </row>
    <row r="13" spans="2:8">
      <c r="B13" s="6">
        <v>5</v>
      </c>
      <c r="C13" s="8" t="s">
        <v>349</v>
      </c>
      <c r="D13" s="8" t="s">
        <v>89</v>
      </c>
      <c r="E13" s="145" t="s">
        <v>719</v>
      </c>
      <c r="F13" s="7"/>
      <c r="G13" s="7" t="s">
        <v>66</v>
      </c>
      <c r="H13" s="7"/>
    </row>
    <row r="14" spans="2:8">
      <c r="B14" s="6">
        <v>6</v>
      </c>
      <c r="C14" s="8" t="s">
        <v>732</v>
      </c>
      <c r="D14" s="8" t="s">
        <v>89</v>
      </c>
      <c r="E14" s="145" t="s">
        <v>719</v>
      </c>
      <c r="F14" s="7"/>
      <c r="G14" s="7" t="s">
        <v>66</v>
      </c>
      <c r="H14" s="7"/>
    </row>
    <row r="15" spans="2:8">
      <c r="B15" s="6">
        <v>7</v>
      </c>
      <c r="C15" s="8" t="s">
        <v>350</v>
      </c>
      <c r="D15" s="8" t="s">
        <v>89</v>
      </c>
      <c r="E15" s="145" t="s">
        <v>719</v>
      </c>
      <c r="F15" s="7"/>
      <c r="G15" s="7" t="s">
        <v>66</v>
      </c>
      <c r="H15" s="7"/>
    </row>
    <row r="16" spans="2:8">
      <c r="B16" s="6">
        <v>8</v>
      </c>
      <c r="C16" s="8" t="s">
        <v>351</v>
      </c>
      <c r="D16" s="8" t="s">
        <v>89</v>
      </c>
      <c r="E16" s="145" t="s">
        <v>719</v>
      </c>
      <c r="F16" s="7"/>
      <c r="G16" s="7" t="s">
        <v>66</v>
      </c>
      <c r="H16" s="7"/>
    </row>
    <row r="17" spans="2:8">
      <c r="B17" s="6">
        <v>9</v>
      </c>
      <c r="C17" s="8" t="s">
        <v>352</v>
      </c>
      <c r="D17" s="8" t="s">
        <v>89</v>
      </c>
      <c r="E17" s="145" t="s">
        <v>719</v>
      </c>
      <c r="F17" s="7"/>
      <c r="G17" s="7" t="s">
        <v>66</v>
      </c>
      <c r="H17" s="7"/>
    </row>
    <row r="18" spans="2:8">
      <c r="B18" s="6">
        <v>10</v>
      </c>
      <c r="C18" s="8" t="s">
        <v>353</v>
      </c>
      <c r="D18" s="8" t="s">
        <v>89</v>
      </c>
      <c r="E18" s="145" t="s">
        <v>719</v>
      </c>
      <c r="F18" s="7"/>
      <c r="G18" s="7" t="s">
        <v>66</v>
      </c>
      <c r="H18" s="7"/>
    </row>
    <row r="19" spans="2:8">
      <c r="B19" s="6">
        <v>11</v>
      </c>
      <c r="C19" s="8" t="s">
        <v>354</v>
      </c>
      <c r="D19" s="8" t="s">
        <v>89</v>
      </c>
      <c r="E19" s="145" t="s">
        <v>719</v>
      </c>
      <c r="F19" s="7"/>
      <c r="G19" s="7" t="s">
        <v>66</v>
      </c>
      <c r="H19" s="7"/>
    </row>
    <row r="20" spans="2:8">
      <c r="B20" s="6">
        <v>12</v>
      </c>
      <c r="C20" s="8" t="s">
        <v>81</v>
      </c>
      <c r="D20" s="8" t="s">
        <v>89</v>
      </c>
      <c r="E20" s="8" t="s">
        <v>90</v>
      </c>
      <c r="F20" s="7" t="s">
        <v>66</v>
      </c>
      <c r="G20" s="2"/>
      <c r="H20" s="7" t="s">
        <v>66</v>
      </c>
    </row>
    <row r="21" spans="2:8">
      <c r="B21" s="6">
        <v>13</v>
      </c>
      <c r="C21" s="8" t="s">
        <v>82</v>
      </c>
      <c r="D21" s="8" t="s">
        <v>91</v>
      </c>
      <c r="E21" s="8" t="s">
        <v>90</v>
      </c>
      <c r="F21" s="7" t="s">
        <v>66</v>
      </c>
      <c r="G21" s="2"/>
      <c r="H21" s="7" t="s">
        <v>66</v>
      </c>
    </row>
    <row r="22" spans="2:8">
      <c r="B22" s="6">
        <v>14</v>
      </c>
      <c r="C22" s="8" t="s">
        <v>83</v>
      </c>
      <c r="D22" s="8" t="s">
        <v>92</v>
      </c>
      <c r="E22" s="8" t="s">
        <v>90</v>
      </c>
      <c r="F22" s="7" t="s">
        <v>66</v>
      </c>
      <c r="G22" s="2"/>
      <c r="H22" s="7" t="s">
        <v>66</v>
      </c>
    </row>
    <row r="23" spans="2:8">
      <c r="B23" s="6">
        <v>15</v>
      </c>
      <c r="C23" s="8" t="s">
        <v>84</v>
      </c>
      <c r="D23" s="8" t="s">
        <v>93</v>
      </c>
      <c r="E23" s="8" t="s">
        <v>90</v>
      </c>
      <c r="F23" s="7" t="s">
        <v>66</v>
      </c>
      <c r="G23" s="2"/>
      <c r="H23" s="7" t="s">
        <v>66</v>
      </c>
    </row>
    <row r="24" spans="2:8">
      <c r="B24" s="6">
        <v>16</v>
      </c>
      <c r="C24" s="8" t="s">
        <v>85</v>
      </c>
      <c r="D24" s="8" t="s">
        <v>94</v>
      </c>
      <c r="E24" s="8" t="s">
        <v>95</v>
      </c>
      <c r="F24" s="7" t="s">
        <v>66</v>
      </c>
      <c r="G24" s="2"/>
      <c r="H24" s="7" t="s">
        <v>66</v>
      </c>
    </row>
    <row r="25" spans="2:8">
      <c r="B25" s="6">
        <v>17</v>
      </c>
      <c r="C25" s="8" t="s">
        <v>86</v>
      </c>
      <c r="D25" s="8" t="s">
        <v>94</v>
      </c>
      <c r="E25" s="8" t="s">
        <v>96</v>
      </c>
      <c r="F25" s="7" t="s">
        <v>66</v>
      </c>
      <c r="G25" s="2"/>
      <c r="H25" s="7" t="s">
        <v>66</v>
      </c>
    </row>
    <row r="26" spans="2:8">
      <c r="B26" s="6">
        <v>18</v>
      </c>
      <c r="C26" s="8" t="s">
        <v>98</v>
      </c>
      <c r="D26" s="8" t="s">
        <v>97</v>
      </c>
      <c r="E26" s="8" t="s">
        <v>90</v>
      </c>
      <c r="F26" s="7" t="s">
        <v>66</v>
      </c>
      <c r="G26" s="2"/>
      <c r="H26" s="7" t="s">
        <v>66</v>
      </c>
    </row>
    <row r="27" spans="2:8">
      <c r="B27" s="6">
        <v>19</v>
      </c>
      <c r="C27" s="8" t="s">
        <v>87</v>
      </c>
      <c r="D27" s="8" t="s">
        <v>99</v>
      </c>
      <c r="E27" s="8" t="s">
        <v>90</v>
      </c>
      <c r="F27" s="7" t="s">
        <v>66</v>
      </c>
      <c r="G27" s="2"/>
      <c r="H27" s="7" t="s">
        <v>66</v>
      </c>
    </row>
    <row r="28" spans="2:8">
      <c r="B28" s="6">
        <v>20</v>
      </c>
      <c r="C28" s="8" t="s">
        <v>124</v>
      </c>
      <c r="D28" s="8" t="s">
        <v>89</v>
      </c>
      <c r="E28" s="8" t="s">
        <v>127</v>
      </c>
      <c r="F28" s="7" t="s">
        <v>66</v>
      </c>
      <c r="G28" s="2"/>
      <c r="H28" s="7" t="s">
        <v>66</v>
      </c>
    </row>
    <row r="29" spans="2:8">
      <c r="B29" s="6">
        <v>21</v>
      </c>
      <c r="C29" s="8" t="s">
        <v>643</v>
      </c>
      <c r="D29" s="8" t="s">
        <v>717</v>
      </c>
      <c r="E29" s="8" t="s">
        <v>718</v>
      </c>
      <c r="F29" s="2"/>
      <c r="G29" s="2"/>
      <c r="H29" s="7" t="s">
        <v>680</v>
      </c>
    </row>
    <row r="30" spans="2:8">
      <c r="B30" s="6">
        <v>22</v>
      </c>
      <c r="C30" s="8" t="s">
        <v>715</v>
      </c>
      <c r="D30" s="145" t="s">
        <v>89</v>
      </c>
      <c r="E30" s="145" t="s">
        <v>719</v>
      </c>
      <c r="F30" s="2"/>
      <c r="G30" s="2"/>
      <c r="H30" s="7" t="s">
        <v>680</v>
      </c>
    </row>
    <row r="31" spans="2:8">
      <c r="B31" s="6">
        <v>23</v>
      </c>
      <c r="C31" s="8" t="s">
        <v>735</v>
      </c>
      <c r="D31" s="145" t="s">
        <v>89</v>
      </c>
      <c r="E31" s="145" t="s">
        <v>127</v>
      </c>
      <c r="F31" s="2"/>
      <c r="G31" s="2"/>
      <c r="H31" s="7" t="s">
        <v>680</v>
      </c>
    </row>
  </sheetData>
  <mergeCells count="4">
    <mergeCell ref="B7:B8"/>
    <mergeCell ref="C7:C8"/>
    <mergeCell ref="D7:D8"/>
    <mergeCell ref="E7:E8"/>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1"/>
  </sheetPr>
  <dimension ref="B2:F14"/>
  <sheetViews>
    <sheetView topLeftCell="B1" zoomScale="80" zoomScaleNormal="80" workbookViewId="0">
      <selection activeCell="C2" sqref="C2"/>
    </sheetView>
  </sheetViews>
  <sheetFormatPr baseColWidth="10" defaultColWidth="8.85546875" defaultRowHeight="15"/>
  <cols>
    <col min="1" max="1" width="8.85546875" style="1"/>
    <col min="2" max="2" width="15" style="1" customWidth="1"/>
    <col min="3" max="3" width="32" style="1" customWidth="1"/>
    <col min="4" max="4" width="59.85546875" style="1" customWidth="1"/>
    <col min="5" max="5" width="20.5703125" style="1" customWidth="1"/>
    <col min="6" max="6" width="26.140625" style="1" customWidth="1"/>
    <col min="7" max="7" width="20.85546875" style="1" bestFit="1" customWidth="1"/>
    <col min="8" max="16384" width="8.85546875" style="1"/>
  </cols>
  <sheetData>
    <row r="2" spans="2:6">
      <c r="B2" s="3" t="s">
        <v>1</v>
      </c>
      <c r="C2" s="22" t="s">
        <v>79</v>
      </c>
    </row>
    <row r="4" spans="2:6" ht="15.75">
      <c r="B4" s="23" t="s">
        <v>2</v>
      </c>
      <c r="C4" s="23" t="s">
        <v>131</v>
      </c>
      <c r="D4" s="23" t="s">
        <v>6</v>
      </c>
      <c r="E4" s="23" t="s">
        <v>72</v>
      </c>
      <c r="F4" s="23" t="s">
        <v>69</v>
      </c>
    </row>
    <row r="5" spans="2:6" ht="88.5" customHeight="1">
      <c r="B5" s="14">
        <v>1</v>
      </c>
      <c r="C5" s="4" t="s">
        <v>134</v>
      </c>
      <c r="D5" s="20" t="s">
        <v>138</v>
      </c>
      <c r="E5" s="24" t="s">
        <v>71</v>
      </c>
      <c r="F5" s="26" t="s">
        <v>141</v>
      </c>
    </row>
    <row r="6" spans="2:6" ht="64.5" customHeight="1">
      <c r="B6" s="14">
        <v>2</v>
      </c>
      <c r="C6" s="4" t="s">
        <v>140</v>
      </c>
      <c r="D6" s="20" t="s">
        <v>139</v>
      </c>
      <c r="E6" s="24" t="s">
        <v>71</v>
      </c>
      <c r="F6" s="21" t="s">
        <v>70</v>
      </c>
    </row>
    <row r="7" spans="2:6" ht="64.5" customHeight="1">
      <c r="B7" s="14">
        <v>3</v>
      </c>
      <c r="C7" s="5" t="s">
        <v>102</v>
      </c>
      <c r="D7" s="20" t="s">
        <v>103</v>
      </c>
      <c r="E7" s="26" t="s">
        <v>137</v>
      </c>
      <c r="F7" s="21" t="s">
        <v>70</v>
      </c>
    </row>
    <row r="8" spans="2:6" ht="64.5" customHeight="1">
      <c r="B8" s="14">
        <v>4</v>
      </c>
      <c r="C8" s="4" t="s">
        <v>100</v>
      </c>
      <c r="D8" s="20" t="s">
        <v>101</v>
      </c>
      <c r="E8" s="24" t="s">
        <v>71</v>
      </c>
      <c r="F8" s="21" t="s">
        <v>70</v>
      </c>
    </row>
    <row r="9" spans="2:6" ht="64.5" customHeight="1">
      <c r="B9" s="14">
        <v>5</v>
      </c>
      <c r="C9" s="20" t="s">
        <v>135</v>
      </c>
      <c r="D9" s="20" t="s">
        <v>142</v>
      </c>
      <c r="E9" s="26" t="s">
        <v>71</v>
      </c>
      <c r="F9" s="21" t="s">
        <v>143</v>
      </c>
    </row>
    <row r="10" spans="2:6" ht="64.5" customHeight="1">
      <c r="B10" s="14">
        <v>6</v>
      </c>
      <c r="C10" s="20" t="s">
        <v>136</v>
      </c>
      <c r="D10" s="20" t="s">
        <v>144</v>
      </c>
      <c r="E10" s="24" t="s">
        <v>71</v>
      </c>
      <c r="F10" s="21" t="s">
        <v>145</v>
      </c>
    </row>
    <row r="12" spans="2:6">
      <c r="B12" s="25" t="s">
        <v>73</v>
      </c>
    </row>
    <row r="14" spans="2:6">
      <c r="B14" s="39" t="s">
        <v>121</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1"/>
  </sheetPr>
  <dimension ref="B2:C52"/>
  <sheetViews>
    <sheetView topLeftCell="A34" workbookViewId="0">
      <selection activeCell="C53" sqref="C53"/>
    </sheetView>
  </sheetViews>
  <sheetFormatPr baseColWidth="10" defaultColWidth="8.85546875" defaultRowHeight="15"/>
  <cols>
    <col min="1" max="2" width="8.85546875" style="1"/>
    <col min="3" max="3" width="54.85546875" style="1" customWidth="1"/>
    <col min="4" max="16384" width="8.85546875" style="1"/>
  </cols>
  <sheetData>
    <row r="2" spans="2:3">
      <c r="B2" s="3" t="s">
        <v>1</v>
      </c>
      <c r="C2" s="22" t="s">
        <v>79</v>
      </c>
    </row>
    <row r="4" spans="2:3">
      <c r="B4" s="16" t="s">
        <v>2</v>
      </c>
      <c r="C4" s="16" t="s">
        <v>17</v>
      </c>
    </row>
    <row r="5" spans="2:3">
      <c r="B5" s="38">
        <v>1</v>
      </c>
      <c r="C5" s="13" t="s">
        <v>7</v>
      </c>
    </row>
    <row r="6" spans="2:3">
      <c r="B6" s="38">
        <v>2</v>
      </c>
      <c r="C6" s="13" t="s">
        <v>146</v>
      </c>
    </row>
    <row r="7" spans="2:3">
      <c r="B7" s="38">
        <v>3</v>
      </c>
      <c r="C7" s="13" t="s">
        <v>8</v>
      </c>
    </row>
    <row r="8" spans="2:3">
      <c r="B8" s="38">
        <v>4</v>
      </c>
      <c r="C8" s="13" t="s">
        <v>147</v>
      </c>
    </row>
    <row r="9" spans="2:3">
      <c r="B9" s="38">
        <v>5</v>
      </c>
      <c r="C9" s="13" t="s">
        <v>9</v>
      </c>
    </row>
    <row r="10" spans="2:3">
      <c r="B10" s="38">
        <v>6</v>
      </c>
      <c r="C10" s="13" t="s">
        <v>148</v>
      </c>
    </row>
    <row r="11" spans="2:3">
      <c r="B11" s="38">
        <v>7</v>
      </c>
      <c r="C11" s="13" t="s">
        <v>149</v>
      </c>
    </row>
    <row r="12" spans="2:3">
      <c r="B12" s="38">
        <v>8</v>
      </c>
      <c r="C12" s="13" t="s">
        <v>150</v>
      </c>
    </row>
    <row r="13" spans="2:3">
      <c r="B13" s="38">
        <v>9</v>
      </c>
      <c r="C13" s="13" t="s">
        <v>151</v>
      </c>
    </row>
    <row r="14" spans="2:3">
      <c r="B14" s="38">
        <v>10</v>
      </c>
      <c r="C14" s="13" t="s">
        <v>152</v>
      </c>
    </row>
    <row r="15" spans="2:3">
      <c r="B15" s="38">
        <v>11</v>
      </c>
      <c r="C15" s="13" t="s">
        <v>153</v>
      </c>
    </row>
    <row r="16" spans="2:3">
      <c r="B16" s="38">
        <v>12</v>
      </c>
      <c r="C16" s="13" t="s">
        <v>154</v>
      </c>
    </row>
    <row r="17" spans="2:3">
      <c r="B17" s="38">
        <v>13</v>
      </c>
      <c r="C17" s="13" t="s">
        <v>155</v>
      </c>
    </row>
    <row r="18" spans="2:3">
      <c r="B18" s="38">
        <v>14</v>
      </c>
      <c r="C18" s="13" t="s">
        <v>166</v>
      </c>
    </row>
    <row r="19" spans="2:3">
      <c r="B19" s="38">
        <v>15</v>
      </c>
      <c r="C19" s="13" t="s">
        <v>156</v>
      </c>
    </row>
    <row r="20" spans="2:3">
      <c r="B20" s="38">
        <v>16</v>
      </c>
      <c r="C20" s="13" t="s">
        <v>157</v>
      </c>
    </row>
    <row r="21" spans="2:3">
      <c r="B21" s="38">
        <v>17</v>
      </c>
      <c r="C21" s="13" t="s">
        <v>10</v>
      </c>
    </row>
    <row r="22" spans="2:3">
      <c r="B22" s="38">
        <v>18</v>
      </c>
      <c r="C22" s="13" t="s">
        <v>158</v>
      </c>
    </row>
    <row r="23" spans="2:3">
      <c r="B23" s="38">
        <v>19</v>
      </c>
      <c r="C23" s="13" t="s">
        <v>159</v>
      </c>
    </row>
    <row r="24" spans="2:3">
      <c r="B24" s="38">
        <v>20</v>
      </c>
      <c r="C24" s="13" t="s">
        <v>106</v>
      </c>
    </row>
    <row r="25" spans="2:3">
      <c r="B25" s="38">
        <v>21</v>
      </c>
      <c r="C25" s="13" t="s">
        <v>11</v>
      </c>
    </row>
    <row r="26" spans="2:3">
      <c r="B26" s="38">
        <v>22</v>
      </c>
      <c r="C26" s="13" t="s">
        <v>160</v>
      </c>
    </row>
    <row r="27" spans="2:3">
      <c r="B27" s="38">
        <v>23</v>
      </c>
      <c r="C27" s="13" t="s">
        <v>12</v>
      </c>
    </row>
    <row r="28" spans="2:3">
      <c r="B28" s="38">
        <v>24</v>
      </c>
      <c r="C28" s="13" t="s">
        <v>161</v>
      </c>
    </row>
    <row r="29" spans="2:3">
      <c r="B29" s="38">
        <v>25</v>
      </c>
      <c r="C29" s="13" t="s">
        <v>162</v>
      </c>
    </row>
    <row r="30" spans="2:3">
      <c r="B30" s="38">
        <v>26</v>
      </c>
      <c r="C30" s="13" t="s">
        <v>167</v>
      </c>
    </row>
    <row r="31" spans="2:3">
      <c r="B31" s="38">
        <v>27</v>
      </c>
      <c r="C31" s="13" t="s">
        <v>105</v>
      </c>
    </row>
    <row r="32" spans="2:3">
      <c r="B32" s="38">
        <v>28</v>
      </c>
      <c r="C32" s="13" t="s">
        <v>168</v>
      </c>
    </row>
    <row r="33" spans="2:3">
      <c r="B33" s="38">
        <v>29</v>
      </c>
      <c r="C33" s="13" t="s">
        <v>169</v>
      </c>
    </row>
    <row r="34" spans="2:3">
      <c r="B34" s="38">
        <v>30</v>
      </c>
      <c r="C34" s="13" t="s">
        <v>104</v>
      </c>
    </row>
    <row r="35" spans="2:3">
      <c r="B35" s="38">
        <v>31</v>
      </c>
      <c r="C35" s="13" t="s">
        <v>164</v>
      </c>
    </row>
    <row r="36" spans="2:3">
      <c r="B36" s="38">
        <v>32</v>
      </c>
      <c r="C36" s="13" t="s">
        <v>165</v>
      </c>
    </row>
    <row r="37" spans="2:3">
      <c r="B37" s="15" t="s">
        <v>2</v>
      </c>
      <c r="C37" s="15" t="s">
        <v>18</v>
      </c>
    </row>
    <row r="38" spans="2:3">
      <c r="B38" s="19">
        <v>1</v>
      </c>
      <c r="C38" s="161" t="s">
        <v>10</v>
      </c>
    </row>
    <row r="39" spans="2:3">
      <c r="B39" s="38">
        <v>2</v>
      </c>
      <c r="C39" s="161" t="s">
        <v>172</v>
      </c>
    </row>
    <row r="40" spans="2:3">
      <c r="B40" s="38">
        <v>3</v>
      </c>
      <c r="C40" s="161" t="s">
        <v>173</v>
      </c>
    </row>
    <row r="41" spans="2:3">
      <c r="B41" s="38">
        <v>4</v>
      </c>
      <c r="C41" s="161" t="s">
        <v>15</v>
      </c>
    </row>
    <row r="42" spans="2:3">
      <c r="B42" s="38">
        <v>5</v>
      </c>
      <c r="C42" s="161" t="s">
        <v>175</v>
      </c>
    </row>
    <row r="43" spans="2:3">
      <c r="B43" s="38">
        <v>6</v>
      </c>
      <c r="C43" s="161" t="s">
        <v>14</v>
      </c>
    </row>
    <row r="44" spans="2:3">
      <c r="B44" s="38">
        <v>7</v>
      </c>
      <c r="C44" s="161" t="s">
        <v>13</v>
      </c>
    </row>
    <row r="45" spans="2:3">
      <c r="B45" s="38">
        <v>8</v>
      </c>
      <c r="C45" s="161" t="s">
        <v>16</v>
      </c>
    </row>
    <row r="46" spans="2:3">
      <c r="B46" s="38">
        <v>9</v>
      </c>
      <c r="C46" s="13" t="s">
        <v>170</v>
      </c>
    </row>
    <row r="47" spans="2:3">
      <c r="B47" s="38">
        <v>10</v>
      </c>
      <c r="C47" s="13" t="s">
        <v>174</v>
      </c>
    </row>
    <row r="48" spans="2:3">
      <c r="B48" s="38">
        <v>11</v>
      </c>
      <c r="C48" s="13" t="s">
        <v>108</v>
      </c>
    </row>
    <row r="49" spans="2:3">
      <c r="B49" s="38">
        <v>12</v>
      </c>
      <c r="C49" s="13" t="s">
        <v>107</v>
      </c>
    </row>
    <row r="50" spans="2:3">
      <c r="B50" s="38">
        <v>13</v>
      </c>
      <c r="C50" s="13" t="s">
        <v>171</v>
      </c>
    </row>
    <row r="52" spans="2:3">
      <c r="B52" s="16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1"/>
  </sheetPr>
  <dimension ref="C2:Q55"/>
  <sheetViews>
    <sheetView topLeftCell="D1" zoomScale="90" zoomScaleNormal="90" workbookViewId="0">
      <selection activeCell="G43" sqref="G43"/>
    </sheetView>
  </sheetViews>
  <sheetFormatPr baseColWidth="10" defaultColWidth="8.85546875" defaultRowHeight="15"/>
  <cols>
    <col min="1" max="2" width="8.85546875" style="1"/>
    <col min="3" max="3" width="10.42578125" style="1" customWidth="1"/>
    <col min="4" max="4" width="12.85546875" style="1" bestFit="1" customWidth="1"/>
    <col min="5" max="5" width="38.5703125" style="1" bestFit="1" customWidth="1"/>
    <col min="6" max="6" width="14.140625" style="1" customWidth="1"/>
    <col min="7" max="7" width="49.140625" style="1" customWidth="1"/>
    <col min="8" max="8" width="13.140625" style="1" customWidth="1"/>
    <col min="9" max="12" width="8.85546875" style="1"/>
    <col min="13" max="13" width="8.85546875" style="188"/>
    <col min="14" max="16384" width="8.85546875" style="1"/>
  </cols>
  <sheetData>
    <row r="2" spans="3:17">
      <c r="C2" s="3" t="s">
        <v>1</v>
      </c>
      <c r="D2" s="274" t="s">
        <v>79</v>
      </c>
      <c r="E2" s="275"/>
      <c r="F2" s="275"/>
      <c r="G2" s="275"/>
      <c r="H2" s="275"/>
      <c r="I2" s="275"/>
      <c r="J2" s="275"/>
      <c r="K2" s="275"/>
      <c r="L2" s="275"/>
      <c r="M2" s="275"/>
      <c r="N2" s="275"/>
      <c r="O2" s="275"/>
      <c r="P2" s="275"/>
      <c r="Q2" s="275"/>
    </row>
    <row r="4" spans="3:17">
      <c r="C4" s="276" t="s">
        <v>74</v>
      </c>
      <c r="D4" s="134" t="s">
        <v>20</v>
      </c>
      <c r="E4" s="134"/>
      <c r="F4" s="134"/>
      <c r="G4" s="134" t="s">
        <v>19</v>
      </c>
      <c r="H4" s="183" t="s">
        <v>768</v>
      </c>
      <c r="I4" s="183"/>
      <c r="J4" s="183"/>
      <c r="K4" s="183"/>
      <c r="L4" s="183" t="s">
        <v>769</v>
      </c>
      <c r="M4" s="187"/>
      <c r="N4" s="183" t="s">
        <v>770</v>
      </c>
      <c r="O4" s="183"/>
      <c r="P4" s="183" t="s">
        <v>771</v>
      </c>
      <c r="Q4" s="183"/>
    </row>
    <row r="5" spans="3:17">
      <c r="C5" s="277"/>
      <c r="D5" s="279" t="s">
        <v>27</v>
      </c>
      <c r="E5" s="279" t="s">
        <v>21</v>
      </c>
      <c r="F5" s="279" t="s">
        <v>22</v>
      </c>
      <c r="G5" s="279" t="s">
        <v>21</v>
      </c>
      <c r="H5" s="280" t="s">
        <v>772</v>
      </c>
      <c r="I5" s="280"/>
      <c r="J5" s="280"/>
      <c r="K5" s="280"/>
      <c r="L5" s="184" t="s">
        <v>773</v>
      </c>
      <c r="M5" s="272" t="s">
        <v>774</v>
      </c>
      <c r="N5" s="184" t="s">
        <v>773</v>
      </c>
      <c r="O5" s="272" t="s">
        <v>774</v>
      </c>
      <c r="P5" s="184" t="s">
        <v>775</v>
      </c>
      <c r="Q5" s="184" t="s">
        <v>586</v>
      </c>
    </row>
    <row r="6" spans="3:17" ht="29.25" thickBot="1">
      <c r="C6" s="278"/>
      <c r="D6" s="279"/>
      <c r="E6" s="279"/>
      <c r="F6" s="279"/>
      <c r="G6" s="279"/>
      <c r="H6" s="185" t="s">
        <v>776</v>
      </c>
      <c r="I6" s="185" t="s">
        <v>679</v>
      </c>
      <c r="J6" s="185" t="s">
        <v>286</v>
      </c>
      <c r="K6" s="185" t="s">
        <v>681</v>
      </c>
      <c r="L6" s="186" t="s">
        <v>777</v>
      </c>
      <c r="M6" s="273"/>
      <c r="N6" s="186" t="s">
        <v>777</v>
      </c>
      <c r="O6" s="273"/>
      <c r="P6" s="185" t="s">
        <v>778</v>
      </c>
      <c r="Q6" s="185"/>
    </row>
    <row r="7" spans="3:17" ht="14.45" customHeight="1">
      <c r="C7" s="240" t="s">
        <v>75</v>
      </c>
      <c r="D7" s="245" t="s">
        <v>28</v>
      </c>
      <c r="E7" s="243" t="s">
        <v>182</v>
      </c>
      <c r="F7" s="268">
        <f>SUM(H7:H8)</f>
        <v>42</v>
      </c>
      <c r="G7" s="199" t="s">
        <v>176</v>
      </c>
      <c r="H7" s="163">
        <v>21</v>
      </c>
      <c r="I7" s="17">
        <v>1</v>
      </c>
      <c r="J7" s="17">
        <v>0.5</v>
      </c>
      <c r="K7" s="17">
        <v>0</v>
      </c>
      <c r="L7" s="17">
        <v>2</v>
      </c>
      <c r="M7" s="234">
        <v>4</v>
      </c>
      <c r="N7" s="17">
        <v>2</v>
      </c>
      <c r="O7" s="234">
        <v>4</v>
      </c>
      <c r="P7" s="190" t="s">
        <v>680</v>
      </c>
      <c r="Q7" s="17"/>
    </row>
    <row r="8" spans="3:17" ht="14.45" customHeight="1">
      <c r="C8" s="241"/>
      <c r="D8" s="246"/>
      <c r="E8" s="244"/>
      <c r="F8" s="271"/>
      <c r="G8" s="200" t="s">
        <v>177</v>
      </c>
      <c r="H8" s="163">
        <v>21</v>
      </c>
      <c r="I8" s="17">
        <v>0</v>
      </c>
      <c r="J8" s="17">
        <v>0</v>
      </c>
      <c r="K8" s="17">
        <v>1.5</v>
      </c>
      <c r="L8" s="17">
        <v>2</v>
      </c>
      <c r="M8" s="236"/>
      <c r="N8" s="17">
        <v>2</v>
      </c>
      <c r="O8" s="236"/>
      <c r="P8" s="190" t="s">
        <v>680</v>
      </c>
      <c r="Q8" s="17"/>
    </row>
    <row r="9" spans="3:17" ht="14.45" customHeight="1">
      <c r="C9" s="241"/>
      <c r="D9" s="251" t="s">
        <v>28</v>
      </c>
      <c r="E9" s="255" t="s">
        <v>23</v>
      </c>
      <c r="F9" s="263">
        <f t="shared" ref="F9" si="0">SUM(H9:H10)</f>
        <v>63</v>
      </c>
      <c r="G9" s="200" t="s">
        <v>23</v>
      </c>
      <c r="H9" s="163">
        <v>42</v>
      </c>
      <c r="I9" s="17">
        <v>2</v>
      </c>
      <c r="J9" s="17">
        <v>1</v>
      </c>
      <c r="K9" s="17">
        <v>0</v>
      </c>
      <c r="L9" s="17">
        <v>3</v>
      </c>
      <c r="M9" s="234">
        <v>5</v>
      </c>
      <c r="N9" s="17">
        <v>3</v>
      </c>
      <c r="O9" s="234">
        <v>5</v>
      </c>
      <c r="P9" s="190" t="s">
        <v>680</v>
      </c>
      <c r="Q9" s="17"/>
    </row>
    <row r="10" spans="3:17" ht="14.45" customHeight="1">
      <c r="C10" s="241"/>
      <c r="D10" s="246"/>
      <c r="E10" s="244"/>
      <c r="F10" s="271"/>
      <c r="G10" s="200" t="s">
        <v>109</v>
      </c>
      <c r="H10" s="163">
        <v>21</v>
      </c>
      <c r="I10" s="17">
        <v>0</v>
      </c>
      <c r="J10" s="17">
        <v>0</v>
      </c>
      <c r="K10" s="17">
        <v>1.5</v>
      </c>
      <c r="L10" s="17">
        <v>2</v>
      </c>
      <c r="M10" s="236"/>
      <c r="N10" s="17">
        <v>2</v>
      </c>
      <c r="O10" s="236"/>
      <c r="P10" s="190" t="s">
        <v>680</v>
      </c>
      <c r="Q10" s="17"/>
    </row>
    <row r="11" spans="3:17" ht="14.45" customHeight="1">
      <c r="C11" s="241"/>
      <c r="D11" s="247" t="s">
        <v>28</v>
      </c>
      <c r="E11" s="255" t="s">
        <v>24</v>
      </c>
      <c r="F11" s="263">
        <f t="shared" ref="F11" si="1">SUM(H11:H12)</f>
        <v>84</v>
      </c>
      <c r="G11" s="200" t="s">
        <v>24</v>
      </c>
      <c r="H11" s="163">
        <v>42</v>
      </c>
      <c r="I11" s="17">
        <v>2</v>
      </c>
      <c r="J11" s="17">
        <v>1</v>
      </c>
      <c r="K11" s="17">
        <v>0</v>
      </c>
      <c r="L11" s="17">
        <v>3</v>
      </c>
      <c r="M11" s="234">
        <v>6</v>
      </c>
      <c r="N11" s="17">
        <v>3</v>
      </c>
      <c r="O11" s="234">
        <v>6</v>
      </c>
      <c r="P11" s="190" t="s">
        <v>680</v>
      </c>
      <c r="Q11" s="17"/>
    </row>
    <row r="12" spans="3:17" ht="14.45" customHeight="1">
      <c r="C12" s="241"/>
      <c r="D12" s="247"/>
      <c r="E12" s="244"/>
      <c r="F12" s="271"/>
      <c r="G12" s="200" t="s">
        <v>110</v>
      </c>
      <c r="H12" s="163">
        <v>42</v>
      </c>
      <c r="I12" s="17">
        <v>0</v>
      </c>
      <c r="J12" s="17">
        <v>0</v>
      </c>
      <c r="K12" s="17">
        <v>3</v>
      </c>
      <c r="L12" s="17">
        <v>3</v>
      </c>
      <c r="M12" s="236"/>
      <c r="N12" s="17">
        <v>3</v>
      </c>
      <c r="O12" s="236"/>
      <c r="P12" s="190" t="s">
        <v>680</v>
      </c>
      <c r="Q12" s="17"/>
    </row>
    <row r="13" spans="3:17" ht="14.45" customHeight="1">
      <c r="C13" s="241"/>
      <c r="D13" s="246" t="s">
        <v>28</v>
      </c>
      <c r="E13" s="255" t="s">
        <v>183</v>
      </c>
      <c r="F13" s="260">
        <f>SUM(H13:H15)</f>
        <v>84</v>
      </c>
      <c r="G13" s="200" t="s">
        <v>178</v>
      </c>
      <c r="H13" s="163">
        <v>21</v>
      </c>
      <c r="I13" s="17">
        <v>1</v>
      </c>
      <c r="J13" s="17">
        <v>0.5</v>
      </c>
      <c r="K13" s="17">
        <v>0</v>
      </c>
      <c r="L13" s="17">
        <v>2</v>
      </c>
      <c r="M13" s="234">
        <v>7</v>
      </c>
      <c r="N13" s="17">
        <v>2</v>
      </c>
      <c r="O13" s="234">
        <v>7</v>
      </c>
      <c r="P13" s="190" t="s">
        <v>680</v>
      </c>
      <c r="Q13" s="17"/>
    </row>
    <row r="14" spans="3:17" ht="14.45" customHeight="1">
      <c r="C14" s="241"/>
      <c r="D14" s="246"/>
      <c r="E14" s="270"/>
      <c r="F14" s="260"/>
      <c r="G14" s="200" t="s">
        <v>179</v>
      </c>
      <c r="H14" s="163">
        <v>21</v>
      </c>
      <c r="I14" s="17">
        <v>0</v>
      </c>
      <c r="J14" s="17">
        <v>0</v>
      </c>
      <c r="K14" s="17">
        <v>1.5</v>
      </c>
      <c r="L14" s="17">
        <v>2</v>
      </c>
      <c r="M14" s="235"/>
      <c r="N14" s="17">
        <v>2</v>
      </c>
      <c r="O14" s="235"/>
      <c r="P14" s="190" t="s">
        <v>680</v>
      </c>
      <c r="Q14" s="17"/>
    </row>
    <row r="15" spans="3:17" ht="14.45" customHeight="1">
      <c r="C15" s="241"/>
      <c r="D15" s="252"/>
      <c r="E15" s="244"/>
      <c r="F15" s="260"/>
      <c r="G15" s="200" t="s">
        <v>180</v>
      </c>
      <c r="H15" s="163">
        <v>42</v>
      </c>
      <c r="I15" s="17">
        <v>0</v>
      </c>
      <c r="J15" s="17">
        <v>0</v>
      </c>
      <c r="K15" s="17">
        <v>3</v>
      </c>
      <c r="L15" s="17">
        <v>3</v>
      </c>
      <c r="M15" s="236"/>
      <c r="N15" s="17">
        <v>3</v>
      </c>
      <c r="O15" s="236"/>
      <c r="P15" s="190" t="s">
        <v>680</v>
      </c>
      <c r="Q15" s="17"/>
    </row>
    <row r="16" spans="3:17" ht="14.45" customHeight="1">
      <c r="C16" s="241"/>
      <c r="D16" s="247" t="s">
        <v>29</v>
      </c>
      <c r="E16" s="255" t="s">
        <v>111</v>
      </c>
      <c r="F16" s="260">
        <f>SUM(H16:H17)</f>
        <v>63</v>
      </c>
      <c r="G16" s="198" t="s">
        <v>716</v>
      </c>
      <c r="H16" s="163">
        <v>21</v>
      </c>
      <c r="I16" s="17">
        <v>1</v>
      </c>
      <c r="J16" s="17">
        <v>0.5</v>
      </c>
      <c r="K16" s="17">
        <v>0</v>
      </c>
      <c r="L16" s="17">
        <v>2</v>
      </c>
      <c r="M16" s="234">
        <v>4</v>
      </c>
      <c r="N16" s="17">
        <v>2</v>
      </c>
      <c r="O16" s="234">
        <v>4</v>
      </c>
      <c r="P16" s="190" t="s">
        <v>680</v>
      </c>
      <c r="Q16" s="190"/>
    </row>
    <row r="17" spans="3:17" ht="14.45" customHeight="1">
      <c r="C17" s="241"/>
      <c r="D17" s="247"/>
      <c r="E17" s="244"/>
      <c r="F17" s="260"/>
      <c r="G17" s="201" t="s">
        <v>65</v>
      </c>
      <c r="H17" s="165">
        <v>42</v>
      </c>
      <c r="I17" s="17">
        <v>1</v>
      </c>
      <c r="J17" s="17">
        <v>2</v>
      </c>
      <c r="K17" s="17">
        <v>0</v>
      </c>
      <c r="L17" s="17">
        <v>2</v>
      </c>
      <c r="M17" s="236"/>
      <c r="N17" s="17">
        <v>2</v>
      </c>
      <c r="O17" s="236"/>
      <c r="P17" s="190" t="s">
        <v>680</v>
      </c>
      <c r="Q17" s="190"/>
    </row>
    <row r="18" spans="3:17" ht="14.45" customHeight="1" thickBot="1">
      <c r="C18" s="241"/>
      <c r="D18" s="246" t="s">
        <v>30</v>
      </c>
      <c r="E18" s="255" t="s">
        <v>112</v>
      </c>
      <c r="F18" s="260">
        <f>SUM(H18:H19)</f>
        <v>42</v>
      </c>
      <c r="G18" s="164" t="s">
        <v>733</v>
      </c>
      <c r="H18" s="169">
        <v>42</v>
      </c>
      <c r="I18" s="190" t="s">
        <v>779</v>
      </c>
      <c r="J18" s="190" t="s">
        <v>779</v>
      </c>
      <c r="K18" s="190" t="s">
        <v>779</v>
      </c>
      <c r="L18" s="17">
        <v>2</v>
      </c>
      <c r="M18" s="234">
        <v>4</v>
      </c>
      <c r="N18" s="17">
        <v>2</v>
      </c>
      <c r="O18" s="234">
        <v>4</v>
      </c>
      <c r="P18" s="190" t="s">
        <v>680</v>
      </c>
      <c r="Q18" s="17"/>
    </row>
    <row r="19" spans="3:17" ht="14.45" customHeight="1" thickBot="1">
      <c r="C19" s="242"/>
      <c r="D19" s="248"/>
      <c r="E19" s="256"/>
      <c r="F19" s="269"/>
      <c r="G19" s="164" t="s">
        <v>733</v>
      </c>
      <c r="H19" s="170"/>
      <c r="I19" s="190" t="s">
        <v>779</v>
      </c>
      <c r="J19" s="190" t="s">
        <v>779</v>
      </c>
      <c r="K19" s="190" t="s">
        <v>779</v>
      </c>
      <c r="L19" s="17">
        <v>2</v>
      </c>
      <c r="M19" s="236"/>
      <c r="N19" s="17">
        <v>2</v>
      </c>
      <c r="O19" s="236"/>
      <c r="P19" s="190" t="s">
        <v>680</v>
      </c>
      <c r="Q19" s="17"/>
    </row>
    <row r="20" spans="3:17" ht="14.45" customHeight="1" thickBot="1">
      <c r="C20" s="29"/>
      <c r="D20" s="27" t="s">
        <v>25</v>
      </c>
      <c r="E20" s="27"/>
      <c r="F20" s="30">
        <f>SUM(F7:F19)</f>
        <v>378</v>
      </c>
      <c r="G20" s="28" t="s">
        <v>25</v>
      </c>
      <c r="H20" s="168">
        <f>SUM(H7:H19)</f>
        <v>378</v>
      </c>
      <c r="I20" s="168">
        <f>SUM(I7:I19)+3</f>
        <v>11</v>
      </c>
      <c r="J20" s="168">
        <f t="shared" ref="J20:K20" si="2">SUM(J7:J19)</f>
        <v>5.5</v>
      </c>
      <c r="K20" s="168">
        <f t="shared" si="2"/>
        <v>10.5</v>
      </c>
      <c r="L20" s="168">
        <f>SUM(L7:L19)</f>
        <v>30</v>
      </c>
      <c r="M20" s="168">
        <f t="shared" ref="M20:O20" si="3">SUM(M7:M19)</f>
        <v>30</v>
      </c>
      <c r="N20" s="168">
        <f t="shared" si="3"/>
        <v>30</v>
      </c>
      <c r="O20" s="168">
        <f t="shared" si="3"/>
        <v>30</v>
      </c>
      <c r="P20" s="168"/>
      <c r="Q20" s="168"/>
    </row>
    <row r="21" spans="3:17" ht="14.45" customHeight="1">
      <c r="C21" s="240" t="s">
        <v>76</v>
      </c>
      <c r="D21" s="250" t="s">
        <v>28</v>
      </c>
      <c r="E21" s="243" t="s">
        <v>193</v>
      </c>
      <c r="F21" s="268">
        <f>SUM(H21:H22)</f>
        <v>63</v>
      </c>
      <c r="G21" s="196" t="s">
        <v>184</v>
      </c>
      <c r="H21" s="163">
        <v>42</v>
      </c>
      <c r="I21" s="17">
        <v>0</v>
      </c>
      <c r="J21" s="17">
        <v>0</v>
      </c>
      <c r="K21" s="17">
        <v>3</v>
      </c>
      <c r="L21" s="17">
        <v>2</v>
      </c>
      <c r="M21" s="237">
        <v>4</v>
      </c>
      <c r="N21" s="17">
        <v>2</v>
      </c>
      <c r="O21" s="237">
        <v>4</v>
      </c>
      <c r="P21" s="190" t="s">
        <v>680</v>
      </c>
      <c r="Q21" s="17"/>
    </row>
    <row r="22" spans="3:17" ht="14.45" customHeight="1">
      <c r="C22" s="241"/>
      <c r="D22" s="247"/>
      <c r="E22" s="244"/>
      <c r="F22" s="258"/>
      <c r="G22" s="197" t="s">
        <v>185</v>
      </c>
      <c r="H22" s="163">
        <v>21</v>
      </c>
      <c r="I22" s="17">
        <v>1</v>
      </c>
      <c r="J22" s="17">
        <v>0.5</v>
      </c>
      <c r="K22" s="17">
        <v>0</v>
      </c>
      <c r="L22" s="17">
        <v>2</v>
      </c>
      <c r="M22" s="238"/>
      <c r="N22" s="17">
        <v>2</v>
      </c>
      <c r="O22" s="238"/>
      <c r="P22" s="190" t="s">
        <v>680</v>
      </c>
      <c r="Q22" s="17"/>
    </row>
    <row r="23" spans="3:17" ht="14.45" customHeight="1">
      <c r="C23" s="241"/>
      <c r="D23" s="252" t="s">
        <v>28</v>
      </c>
      <c r="E23" s="255" t="s">
        <v>194</v>
      </c>
      <c r="F23" s="257">
        <f>SUM(H23:H24)</f>
        <v>63</v>
      </c>
      <c r="G23" s="197" t="s">
        <v>113</v>
      </c>
      <c r="H23" s="163">
        <v>21</v>
      </c>
      <c r="I23" s="17">
        <v>1</v>
      </c>
      <c r="J23" s="17">
        <v>0.5</v>
      </c>
      <c r="K23" s="17">
        <v>0</v>
      </c>
      <c r="L23" s="17">
        <v>3</v>
      </c>
      <c r="M23" s="234">
        <v>6</v>
      </c>
      <c r="N23" s="17">
        <v>3</v>
      </c>
      <c r="O23" s="234">
        <v>6</v>
      </c>
      <c r="P23" s="190" t="s">
        <v>680</v>
      </c>
      <c r="Q23" s="17"/>
    </row>
    <row r="24" spans="3:17" ht="14.45" customHeight="1">
      <c r="C24" s="241"/>
      <c r="D24" s="247"/>
      <c r="E24" s="244"/>
      <c r="F24" s="258"/>
      <c r="G24" s="197" t="s">
        <v>186</v>
      </c>
      <c r="H24" s="163">
        <v>42</v>
      </c>
      <c r="I24" s="17">
        <v>0</v>
      </c>
      <c r="J24" s="17">
        <v>0</v>
      </c>
      <c r="K24" s="17">
        <v>3</v>
      </c>
      <c r="L24" s="17">
        <v>3</v>
      </c>
      <c r="M24" s="236"/>
      <c r="N24" s="17">
        <v>3</v>
      </c>
      <c r="O24" s="236"/>
      <c r="P24" s="190" t="s">
        <v>680</v>
      </c>
      <c r="Q24" s="17"/>
    </row>
    <row r="25" spans="3:17" ht="14.45" customHeight="1">
      <c r="C25" s="241"/>
      <c r="D25" s="247" t="s">
        <v>28</v>
      </c>
      <c r="E25" s="259" t="s">
        <v>195</v>
      </c>
      <c r="F25" s="260">
        <f>SUM(H25:H27)</f>
        <v>63</v>
      </c>
      <c r="G25" s="197" t="s">
        <v>187</v>
      </c>
      <c r="H25" s="163">
        <v>21</v>
      </c>
      <c r="I25" s="17">
        <v>0</v>
      </c>
      <c r="J25" s="17">
        <v>0</v>
      </c>
      <c r="K25" s="17">
        <v>1.5</v>
      </c>
      <c r="L25" s="17">
        <v>2</v>
      </c>
      <c r="M25" s="234">
        <v>6</v>
      </c>
      <c r="N25" s="17">
        <v>2</v>
      </c>
      <c r="O25" s="234">
        <v>6</v>
      </c>
      <c r="P25" s="190" t="s">
        <v>680</v>
      </c>
      <c r="Q25" s="17"/>
    </row>
    <row r="26" spans="3:17" ht="14.45" customHeight="1">
      <c r="C26" s="241"/>
      <c r="D26" s="247"/>
      <c r="E26" s="259"/>
      <c r="F26" s="260"/>
      <c r="G26" s="197" t="s">
        <v>456</v>
      </c>
      <c r="H26" s="163">
        <v>21</v>
      </c>
      <c r="I26" s="17">
        <v>1</v>
      </c>
      <c r="J26" s="17">
        <v>0.5</v>
      </c>
      <c r="K26" s="17">
        <v>0</v>
      </c>
      <c r="L26" s="17">
        <v>2</v>
      </c>
      <c r="M26" s="235"/>
      <c r="N26" s="17">
        <v>2</v>
      </c>
      <c r="O26" s="235"/>
      <c r="P26" s="190" t="s">
        <v>680</v>
      </c>
      <c r="Q26" s="17"/>
    </row>
    <row r="27" spans="3:17" ht="14.45" customHeight="1">
      <c r="C27" s="241"/>
      <c r="D27" s="247"/>
      <c r="E27" s="259"/>
      <c r="F27" s="260"/>
      <c r="G27" s="197" t="s">
        <v>465</v>
      </c>
      <c r="H27" s="163">
        <v>21</v>
      </c>
      <c r="I27" s="17">
        <v>0</v>
      </c>
      <c r="J27" s="17">
        <v>0</v>
      </c>
      <c r="K27" s="17">
        <v>1.5</v>
      </c>
      <c r="L27" s="17">
        <v>2</v>
      </c>
      <c r="M27" s="236"/>
      <c r="N27" s="17">
        <v>2</v>
      </c>
      <c r="O27" s="236"/>
      <c r="P27" s="190" t="s">
        <v>680</v>
      </c>
      <c r="Q27" s="17"/>
    </row>
    <row r="28" spans="3:17" ht="14.45" customHeight="1">
      <c r="C28" s="241"/>
      <c r="D28" s="246" t="s">
        <v>198</v>
      </c>
      <c r="E28" s="259" t="s">
        <v>196</v>
      </c>
      <c r="F28" s="260">
        <f>SUM(H28:H30)</f>
        <v>63</v>
      </c>
      <c r="G28" s="197" t="s">
        <v>763</v>
      </c>
      <c r="H28" s="163">
        <v>21</v>
      </c>
      <c r="I28" s="17">
        <v>0</v>
      </c>
      <c r="J28" s="17">
        <v>0</v>
      </c>
      <c r="K28" s="17">
        <v>1.5</v>
      </c>
      <c r="L28" s="17">
        <v>2</v>
      </c>
      <c r="M28" s="237">
        <v>6</v>
      </c>
      <c r="N28" s="17">
        <v>2</v>
      </c>
      <c r="O28" s="237">
        <v>6</v>
      </c>
      <c r="P28" s="190" t="s">
        <v>680</v>
      </c>
      <c r="Q28" s="17"/>
    </row>
    <row r="29" spans="3:17" ht="14.45" customHeight="1">
      <c r="C29" s="241"/>
      <c r="D29" s="246"/>
      <c r="E29" s="259"/>
      <c r="F29" s="261"/>
      <c r="G29" s="197" t="s">
        <v>764</v>
      </c>
      <c r="H29" s="163">
        <v>21</v>
      </c>
      <c r="I29" s="17">
        <v>1</v>
      </c>
      <c r="J29" s="17">
        <v>0.5</v>
      </c>
      <c r="K29" s="17">
        <v>0</v>
      </c>
      <c r="L29" s="17">
        <v>2</v>
      </c>
      <c r="M29" s="239"/>
      <c r="N29" s="17">
        <v>2</v>
      </c>
      <c r="O29" s="239"/>
      <c r="P29" s="190" t="s">
        <v>680</v>
      </c>
      <c r="Q29" s="17"/>
    </row>
    <row r="30" spans="3:17" ht="14.45" customHeight="1">
      <c r="C30" s="241"/>
      <c r="D30" s="252"/>
      <c r="E30" s="259"/>
      <c r="F30" s="261"/>
      <c r="G30" s="197" t="s">
        <v>192</v>
      </c>
      <c r="H30" s="163">
        <v>21</v>
      </c>
      <c r="I30" s="17">
        <v>0</v>
      </c>
      <c r="J30" s="17">
        <v>0</v>
      </c>
      <c r="K30" s="17">
        <v>1.5</v>
      </c>
      <c r="L30" s="17">
        <v>2</v>
      </c>
      <c r="M30" s="238"/>
      <c r="N30" s="17">
        <v>2</v>
      </c>
      <c r="O30" s="238"/>
      <c r="P30" s="190" t="s">
        <v>680</v>
      </c>
      <c r="Q30" s="17"/>
    </row>
    <row r="31" spans="3:17" ht="14.45" customHeight="1">
      <c r="C31" s="241"/>
      <c r="D31" s="247" t="s">
        <v>197</v>
      </c>
      <c r="E31" s="255" t="s">
        <v>114</v>
      </c>
      <c r="F31" s="260">
        <f>SUM(H31:H32)</f>
        <v>63</v>
      </c>
      <c r="G31" s="198" t="s">
        <v>181</v>
      </c>
      <c r="H31" s="163">
        <v>21</v>
      </c>
      <c r="I31" s="17">
        <v>1</v>
      </c>
      <c r="J31" s="17">
        <v>0.5</v>
      </c>
      <c r="K31" s="17">
        <v>0</v>
      </c>
      <c r="L31" s="17">
        <v>2</v>
      </c>
      <c r="M31" s="234">
        <v>4</v>
      </c>
      <c r="N31" s="17">
        <v>2</v>
      </c>
      <c r="O31" s="234">
        <v>4</v>
      </c>
      <c r="P31" s="190" t="s">
        <v>680</v>
      </c>
      <c r="Q31" s="190"/>
    </row>
    <row r="32" spans="3:17" ht="14.45" customHeight="1">
      <c r="C32" s="241"/>
      <c r="D32" s="247"/>
      <c r="E32" s="244"/>
      <c r="F32" s="260"/>
      <c r="G32" s="198" t="s">
        <v>64</v>
      </c>
      <c r="H32" s="165">
        <v>42</v>
      </c>
      <c r="I32" s="17">
        <v>1</v>
      </c>
      <c r="J32" s="17">
        <v>2</v>
      </c>
      <c r="K32" s="17">
        <v>0</v>
      </c>
      <c r="L32" s="17">
        <v>2</v>
      </c>
      <c r="M32" s="236"/>
      <c r="N32" s="17">
        <v>2</v>
      </c>
      <c r="O32" s="236"/>
      <c r="P32" s="190" t="s">
        <v>680</v>
      </c>
      <c r="Q32" s="190"/>
    </row>
    <row r="33" spans="3:17" ht="14.45" customHeight="1" thickBot="1">
      <c r="C33" s="241"/>
      <c r="D33" s="246" t="s">
        <v>30</v>
      </c>
      <c r="E33" s="255" t="s">
        <v>112</v>
      </c>
      <c r="F33" s="263">
        <f>SUM(H33:H34)</f>
        <v>42</v>
      </c>
      <c r="G33" s="164" t="s">
        <v>733</v>
      </c>
      <c r="H33" s="165">
        <v>42</v>
      </c>
      <c r="I33" s="190" t="s">
        <v>779</v>
      </c>
      <c r="J33" s="190" t="s">
        <v>779</v>
      </c>
      <c r="K33" s="190" t="s">
        <v>779</v>
      </c>
      <c r="L33" s="17">
        <v>2</v>
      </c>
      <c r="M33" s="234">
        <v>4</v>
      </c>
      <c r="N33" s="17">
        <v>2</v>
      </c>
      <c r="O33" s="234">
        <v>4</v>
      </c>
      <c r="P33" s="190" t="s">
        <v>680</v>
      </c>
      <c r="Q33" s="17"/>
    </row>
    <row r="34" spans="3:17" ht="14.45" customHeight="1" thickBot="1">
      <c r="C34" s="242"/>
      <c r="D34" s="248"/>
      <c r="E34" s="256"/>
      <c r="F34" s="264"/>
      <c r="G34" s="164" t="s">
        <v>733</v>
      </c>
      <c r="H34" s="167"/>
      <c r="I34" s="190" t="s">
        <v>779</v>
      </c>
      <c r="J34" s="190" t="s">
        <v>779</v>
      </c>
      <c r="K34" s="190" t="s">
        <v>779</v>
      </c>
      <c r="L34" s="17">
        <v>2</v>
      </c>
      <c r="M34" s="236"/>
      <c r="N34" s="17">
        <v>2</v>
      </c>
      <c r="O34" s="236"/>
      <c r="P34" s="190" t="s">
        <v>680</v>
      </c>
      <c r="Q34" s="17"/>
    </row>
    <row r="35" spans="3:17" ht="14.45" customHeight="1" thickBot="1">
      <c r="C35" s="46"/>
      <c r="D35" s="43" t="s">
        <v>25</v>
      </c>
      <c r="E35" s="43"/>
      <c r="F35" s="45">
        <f>SUM(F21:F34)</f>
        <v>357</v>
      </c>
      <c r="G35" s="47" t="s">
        <v>25</v>
      </c>
      <c r="H35" s="166">
        <f>SUM(H21:H34)</f>
        <v>357</v>
      </c>
      <c r="I35" s="191">
        <f>SUM(I21:I34)+3</f>
        <v>9</v>
      </c>
      <c r="J35" s="191">
        <f t="shared" ref="J35:K35" si="4">SUM(J21:J34)</f>
        <v>4.5</v>
      </c>
      <c r="K35" s="191">
        <f t="shared" si="4"/>
        <v>12</v>
      </c>
      <c r="L35" s="166">
        <f>SUM(L21:L34)</f>
        <v>30</v>
      </c>
      <c r="M35" s="166">
        <f t="shared" ref="M35:O35" si="5">SUM(M21:M34)</f>
        <v>30</v>
      </c>
      <c r="N35" s="166">
        <f t="shared" si="5"/>
        <v>30</v>
      </c>
      <c r="O35" s="166">
        <f t="shared" si="5"/>
        <v>30</v>
      </c>
      <c r="P35" s="166"/>
      <c r="Q35" s="166"/>
    </row>
    <row r="36" spans="3:17" ht="14.45" customHeight="1">
      <c r="C36" s="240" t="s">
        <v>77</v>
      </c>
      <c r="D36" s="245" t="s">
        <v>28</v>
      </c>
      <c r="E36" s="478" t="s">
        <v>199</v>
      </c>
      <c r="F36" s="268">
        <f>SUM(H36:H37)</f>
        <v>42</v>
      </c>
      <c r="G36" s="193" t="s">
        <v>199</v>
      </c>
      <c r="H36" s="163">
        <v>21</v>
      </c>
      <c r="I36" s="17">
        <v>1</v>
      </c>
      <c r="J36" s="17">
        <v>0.5</v>
      </c>
      <c r="K36" s="17">
        <v>0</v>
      </c>
      <c r="L36" s="17">
        <v>2</v>
      </c>
      <c r="M36" s="234">
        <v>4</v>
      </c>
      <c r="N36" s="17">
        <v>2</v>
      </c>
      <c r="O36" s="234">
        <v>4</v>
      </c>
      <c r="P36" s="190" t="s">
        <v>680</v>
      </c>
      <c r="Q36" s="17"/>
    </row>
    <row r="37" spans="3:17" ht="14.45" customHeight="1" thickBot="1">
      <c r="C37" s="241"/>
      <c r="D37" s="248"/>
      <c r="E37" s="464"/>
      <c r="F37" s="258"/>
      <c r="G37" s="194" t="s">
        <v>200</v>
      </c>
      <c r="H37" s="163">
        <v>21</v>
      </c>
      <c r="I37" s="17">
        <v>0</v>
      </c>
      <c r="J37" s="17">
        <v>0</v>
      </c>
      <c r="K37" s="17">
        <v>1.5</v>
      </c>
      <c r="L37" s="17">
        <v>2</v>
      </c>
      <c r="M37" s="236"/>
      <c r="N37" s="17">
        <v>2</v>
      </c>
      <c r="O37" s="236"/>
      <c r="P37" s="190" t="s">
        <v>680</v>
      </c>
      <c r="Q37" s="17"/>
    </row>
    <row r="38" spans="3:17" ht="14.45" customHeight="1">
      <c r="C38" s="241"/>
      <c r="D38" s="245" t="s">
        <v>28</v>
      </c>
      <c r="E38" s="478" t="s">
        <v>787</v>
      </c>
      <c r="F38" s="263">
        <f>SUM(H38:H39)</f>
        <v>63</v>
      </c>
      <c r="G38" s="194" t="s">
        <v>201</v>
      </c>
      <c r="H38" s="163">
        <v>21</v>
      </c>
      <c r="I38" s="17">
        <v>0</v>
      </c>
      <c r="J38" s="17">
        <v>0</v>
      </c>
      <c r="K38" s="17">
        <v>1.5</v>
      </c>
      <c r="L38" s="17">
        <v>2</v>
      </c>
      <c r="M38" s="234">
        <v>5</v>
      </c>
      <c r="N38" s="17">
        <v>2</v>
      </c>
      <c r="O38" s="234">
        <v>5</v>
      </c>
      <c r="P38" s="190" t="s">
        <v>680</v>
      </c>
      <c r="Q38" s="17"/>
    </row>
    <row r="39" spans="3:17" ht="14.45" customHeight="1">
      <c r="C39" s="241"/>
      <c r="D39" s="252"/>
      <c r="E39" s="464"/>
      <c r="F39" s="258"/>
      <c r="G39" s="194" t="s">
        <v>202</v>
      </c>
      <c r="H39" s="163">
        <v>42</v>
      </c>
      <c r="I39" s="17">
        <v>0</v>
      </c>
      <c r="J39" s="17">
        <v>0</v>
      </c>
      <c r="K39" s="17">
        <v>3</v>
      </c>
      <c r="L39" s="17">
        <v>3</v>
      </c>
      <c r="M39" s="236"/>
      <c r="N39" s="17">
        <v>3</v>
      </c>
      <c r="O39" s="236"/>
      <c r="P39" s="190" t="s">
        <v>680</v>
      </c>
      <c r="Q39" s="17"/>
    </row>
    <row r="40" spans="3:17" ht="14.45" customHeight="1">
      <c r="C40" s="241"/>
      <c r="D40" s="247" t="s">
        <v>28</v>
      </c>
      <c r="E40" s="267" t="s">
        <v>211</v>
      </c>
      <c r="F40" s="265">
        <f>SUM(H40:H41)</f>
        <v>63</v>
      </c>
      <c r="G40" s="195" t="s">
        <v>790</v>
      </c>
      <c r="H40" s="163">
        <v>42</v>
      </c>
      <c r="I40" s="17">
        <v>2</v>
      </c>
      <c r="J40" s="17">
        <v>1</v>
      </c>
      <c r="K40" s="17">
        <v>0</v>
      </c>
      <c r="L40" s="17">
        <v>3</v>
      </c>
      <c r="M40" s="234">
        <v>6</v>
      </c>
      <c r="N40" s="17">
        <v>3</v>
      </c>
      <c r="O40" s="234">
        <v>6</v>
      </c>
      <c r="P40" s="190" t="s">
        <v>680</v>
      </c>
      <c r="Q40" s="17"/>
    </row>
    <row r="41" spans="3:17" ht="14.45" customHeight="1">
      <c r="C41" s="241"/>
      <c r="D41" s="247"/>
      <c r="E41" s="267"/>
      <c r="F41" s="262"/>
      <c r="G41" s="195" t="s">
        <v>204</v>
      </c>
      <c r="H41" s="163">
        <v>21</v>
      </c>
      <c r="I41" s="17">
        <v>0</v>
      </c>
      <c r="J41" s="17">
        <v>0</v>
      </c>
      <c r="K41" s="17">
        <v>1.5</v>
      </c>
      <c r="L41" s="17">
        <v>3</v>
      </c>
      <c r="M41" s="236"/>
      <c r="N41" s="17">
        <v>3</v>
      </c>
      <c r="O41" s="236"/>
      <c r="P41" s="190" t="s">
        <v>680</v>
      </c>
      <c r="Q41" s="17"/>
    </row>
    <row r="42" spans="3:17" ht="14.45" customHeight="1">
      <c r="C42" s="241"/>
      <c r="D42" s="247" t="s">
        <v>28</v>
      </c>
      <c r="E42" s="267" t="s">
        <v>212</v>
      </c>
      <c r="F42" s="253">
        <f>SUM(H42:H44)</f>
        <v>84</v>
      </c>
      <c r="G42" s="195" t="s">
        <v>205</v>
      </c>
      <c r="H42" s="163">
        <v>21</v>
      </c>
      <c r="I42" s="17">
        <v>0</v>
      </c>
      <c r="J42" s="17">
        <v>0</v>
      </c>
      <c r="K42" s="17">
        <v>1.5</v>
      </c>
      <c r="L42" s="17">
        <v>2</v>
      </c>
      <c r="M42" s="234">
        <v>7</v>
      </c>
      <c r="N42" s="17">
        <v>2</v>
      </c>
      <c r="O42" s="234">
        <v>7</v>
      </c>
      <c r="P42" s="190" t="s">
        <v>680</v>
      </c>
      <c r="Q42" s="17"/>
    </row>
    <row r="43" spans="3:17" ht="14.45" customHeight="1">
      <c r="C43" s="241"/>
      <c r="D43" s="247"/>
      <c r="E43" s="267"/>
      <c r="F43" s="265"/>
      <c r="G43" s="195" t="s">
        <v>206</v>
      </c>
      <c r="H43" s="163">
        <v>21</v>
      </c>
      <c r="I43" s="17">
        <v>1</v>
      </c>
      <c r="J43" s="17">
        <v>0.5</v>
      </c>
      <c r="K43" s="17">
        <v>0</v>
      </c>
      <c r="L43" s="17">
        <v>2</v>
      </c>
      <c r="M43" s="235"/>
      <c r="N43" s="17">
        <v>2</v>
      </c>
      <c r="O43" s="235"/>
      <c r="P43" s="190" t="s">
        <v>680</v>
      </c>
      <c r="Q43" s="17"/>
    </row>
    <row r="44" spans="3:17" ht="14.45" customHeight="1">
      <c r="C44" s="241"/>
      <c r="D44" s="247"/>
      <c r="E44" s="267"/>
      <c r="F44" s="266"/>
      <c r="G44" s="195" t="s">
        <v>761</v>
      </c>
      <c r="H44" s="163">
        <v>42</v>
      </c>
      <c r="I44" s="17">
        <v>0</v>
      </c>
      <c r="J44" s="17">
        <v>0</v>
      </c>
      <c r="K44" s="17">
        <v>3</v>
      </c>
      <c r="L44" s="17">
        <v>3</v>
      </c>
      <c r="M44" s="236"/>
      <c r="N44" s="17">
        <v>3</v>
      </c>
      <c r="O44" s="236"/>
      <c r="P44" s="190" t="s">
        <v>680</v>
      </c>
      <c r="Q44" s="17"/>
    </row>
    <row r="45" spans="3:17" ht="14.45" customHeight="1">
      <c r="C45" s="241"/>
      <c r="D45" s="247" t="s">
        <v>197</v>
      </c>
      <c r="E45" s="255" t="s">
        <v>209</v>
      </c>
      <c r="F45" s="253">
        <f>SUM(H45:H46)</f>
        <v>63</v>
      </c>
      <c r="G45" s="195" t="s">
        <v>736</v>
      </c>
      <c r="H45" s="163">
        <v>21</v>
      </c>
      <c r="I45" s="17">
        <v>1</v>
      </c>
      <c r="J45" s="17">
        <v>0.5</v>
      </c>
      <c r="K45" s="17">
        <v>0</v>
      </c>
      <c r="L45" s="17">
        <v>2</v>
      </c>
      <c r="M45" s="234">
        <v>4</v>
      </c>
      <c r="N45" s="17">
        <v>2</v>
      </c>
      <c r="O45" s="234">
        <v>4</v>
      </c>
      <c r="P45" s="190" t="s">
        <v>680</v>
      </c>
      <c r="Q45" s="190"/>
    </row>
    <row r="46" spans="3:17" ht="14.45" customHeight="1">
      <c r="C46" s="241"/>
      <c r="D46" s="247"/>
      <c r="E46" s="244"/>
      <c r="F46" s="262"/>
      <c r="G46" s="195" t="s">
        <v>208</v>
      </c>
      <c r="H46" s="163">
        <v>42</v>
      </c>
      <c r="I46" s="17">
        <v>1</v>
      </c>
      <c r="J46" s="17">
        <v>2</v>
      </c>
      <c r="K46" s="17">
        <v>0</v>
      </c>
      <c r="L46" s="17">
        <v>2</v>
      </c>
      <c r="M46" s="236"/>
      <c r="N46" s="17">
        <v>2</v>
      </c>
      <c r="O46" s="236"/>
      <c r="P46" s="190" t="s">
        <v>680</v>
      </c>
      <c r="Q46" s="190"/>
    </row>
    <row r="47" spans="3:17" ht="14.45" customHeight="1">
      <c r="C47" s="241"/>
      <c r="D47" s="247" t="s">
        <v>30</v>
      </c>
      <c r="E47" s="255" t="s">
        <v>112</v>
      </c>
      <c r="F47" s="253">
        <f>SUM(H47:H48)</f>
        <v>42</v>
      </c>
      <c r="G47" s="41" t="s">
        <v>733</v>
      </c>
      <c r="H47" s="165">
        <v>42</v>
      </c>
      <c r="I47" s="190" t="s">
        <v>779</v>
      </c>
      <c r="J47" s="190" t="s">
        <v>779</v>
      </c>
      <c r="K47" s="190" t="s">
        <v>779</v>
      </c>
      <c r="L47" s="17">
        <v>2</v>
      </c>
      <c r="M47" s="234">
        <v>4</v>
      </c>
      <c r="N47" s="17">
        <v>2</v>
      </c>
      <c r="O47" s="234">
        <v>4</v>
      </c>
      <c r="P47" s="190" t="s">
        <v>680</v>
      </c>
      <c r="Q47" s="17"/>
    </row>
    <row r="48" spans="3:17" ht="14.45" customHeight="1" thickBot="1">
      <c r="C48" s="242"/>
      <c r="D48" s="249"/>
      <c r="E48" s="256"/>
      <c r="F48" s="254"/>
      <c r="G48" s="51" t="s">
        <v>733</v>
      </c>
      <c r="H48" s="167"/>
      <c r="I48" s="190" t="s">
        <v>779</v>
      </c>
      <c r="J48" s="190" t="s">
        <v>779</v>
      </c>
      <c r="K48" s="190" t="s">
        <v>779</v>
      </c>
      <c r="L48" s="17">
        <v>2</v>
      </c>
      <c r="M48" s="236"/>
      <c r="N48" s="17">
        <v>2</v>
      </c>
      <c r="O48" s="236"/>
      <c r="P48" s="190" t="s">
        <v>680</v>
      </c>
      <c r="Q48" s="17"/>
    </row>
    <row r="49" spans="3:17" ht="14.45" customHeight="1" thickBot="1">
      <c r="C49" s="48"/>
      <c r="D49" s="44" t="s">
        <v>25</v>
      </c>
      <c r="E49" s="44"/>
      <c r="F49" s="49">
        <f>SUM(F36:F48)</f>
        <v>357</v>
      </c>
      <c r="G49" s="50" t="s">
        <v>25</v>
      </c>
      <c r="H49" s="189">
        <f t="shared" ref="H49" si="6">SUM(H36:H48)</f>
        <v>357</v>
      </c>
      <c r="I49" s="189">
        <f>SUM(I36:I48)+3</f>
        <v>9</v>
      </c>
      <c r="J49" s="189">
        <f t="shared" ref="J49:K49" si="7">SUM(J36:J48)</f>
        <v>4.5</v>
      </c>
      <c r="K49" s="189">
        <f t="shared" si="7"/>
        <v>12</v>
      </c>
      <c r="L49" s="189">
        <f>SUM(L36:L48)</f>
        <v>30</v>
      </c>
      <c r="M49" s="189">
        <f t="shared" ref="M49:O49" si="8">SUM(M36:M48)</f>
        <v>30</v>
      </c>
      <c r="N49" s="189">
        <f t="shared" si="8"/>
        <v>30</v>
      </c>
      <c r="O49" s="189">
        <f t="shared" si="8"/>
        <v>30</v>
      </c>
      <c r="P49" s="189"/>
      <c r="Q49" s="189"/>
    </row>
    <row r="50" spans="3:17" ht="15.75" thickBot="1">
      <c r="C50" s="31"/>
      <c r="D50" s="32" t="s">
        <v>26</v>
      </c>
      <c r="E50" s="32"/>
      <c r="F50" s="33">
        <f>F49+F35+F20</f>
        <v>1092</v>
      </c>
      <c r="G50" s="34"/>
      <c r="H50" s="34">
        <f>H49+H35+H20</f>
        <v>1092</v>
      </c>
      <c r="I50" s="34"/>
      <c r="J50" s="34"/>
      <c r="K50" s="34"/>
      <c r="L50" s="34"/>
      <c r="M50" s="34"/>
      <c r="N50" s="34"/>
      <c r="O50" s="34"/>
      <c r="P50" s="34"/>
      <c r="Q50" s="34"/>
    </row>
    <row r="51" spans="3:17">
      <c r="C51" s="150"/>
      <c r="D51" s="205"/>
      <c r="E51" s="205"/>
      <c r="F51" s="206"/>
      <c r="G51" s="207"/>
      <c r="H51" s="207"/>
      <c r="I51" s="207"/>
      <c r="J51" s="207"/>
      <c r="K51" s="207"/>
      <c r="L51" s="207"/>
      <c r="M51" s="207"/>
      <c r="N51" s="207"/>
      <c r="O51" s="207"/>
      <c r="P51" s="207"/>
      <c r="Q51" s="207"/>
    </row>
    <row r="52" spans="3:17" ht="45">
      <c r="H52" s="208" t="s">
        <v>785</v>
      </c>
      <c r="I52" s="208" t="s">
        <v>786</v>
      </c>
    </row>
    <row r="53" spans="3:17">
      <c r="G53" s="208" t="s">
        <v>780</v>
      </c>
      <c r="H53" s="208">
        <f>H20/14</f>
        <v>27</v>
      </c>
      <c r="I53" s="208">
        <f>SUM(I20:K20)</f>
        <v>27</v>
      </c>
    </row>
    <row r="54" spans="3:17">
      <c r="G54" s="208" t="s">
        <v>781</v>
      </c>
      <c r="H54" s="208">
        <f>H35/14</f>
        <v>25.5</v>
      </c>
      <c r="I54" s="208">
        <f>SUM(I35:K35)</f>
        <v>25.5</v>
      </c>
    </row>
    <row r="55" spans="3:17">
      <c r="G55" s="208" t="s">
        <v>782</v>
      </c>
      <c r="H55" s="208">
        <f>H49/14</f>
        <v>25.5</v>
      </c>
      <c r="I55" s="208">
        <f>SUM(I49:K49)</f>
        <v>25.5</v>
      </c>
    </row>
  </sheetData>
  <mergeCells count="102">
    <mergeCell ref="D36:D37"/>
    <mergeCell ref="D38:D39"/>
    <mergeCell ref="M5:M6"/>
    <mergeCell ref="O5:O6"/>
    <mergeCell ref="D2:Q2"/>
    <mergeCell ref="C4:C6"/>
    <mergeCell ref="D5:D6"/>
    <mergeCell ref="E5:E6"/>
    <mergeCell ref="F5:F6"/>
    <mergeCell ref="G5:G6"/>
    <mergeCell ref="H5:K5"/>
    <mergeCell ref="D28:D30"/>
    <mergeCell ref="D31:D32"/>
    <mergeCell ref="F7:F8"/>
    <mergeCell ref="D21:D22"/>
    <mergeCell ref="D18:D19"/>
    <mergeCell ref="E9:E10"/>
    <mergeCell ref="E11:E12"/>
    <mergeCell ref="F9:F10"/>
    <mergeCell ref="F11:F12"/>
    <mergeCell ref="D11:D12"/>
    <mergeCell ref="D13:D15"/>
    <mergeCell ref="F42:F44"/>
    <mergeCell ref="E40:E41"/>
    <mergeCell ref="E42:E44"/>
    <mergeCell ref="F13:F15"/>
    <mergeCell ref="F21:F22"/>
    <mergeCell ref="E16:E17"/>
    <mergeCell ref="E18:E19"/>
    <mergeCell ref="F16:F17"/>
    <mergeCell ref="F18:F19"/>
    <mergeCell ref="E13:E15"/>
    <mergeCell ref="E36:E37"/>
    <mergeCell ref="F36:F37"/>
    <mergeCell ref="F38:F39"/>
    <mergeCell ref="E38:E39"/>
    <mergeCell ref="F47:F48"/>
    <mergeCell ref="E47:E48"/>
    <mergeCell ref="E45:E46"/>
    <mergeCell ref="E33:E34"/>
    <mergeCell ref="E23:E24"/>
    <mergeCell ref="E31:E32"/>
    <mergeCell ref="F23:F24"/>
    <mergeCell ref="E25:E27"/>
    <mergeCell ref="F25:F27"/>
    <mergeCell ref="E28:E30"/>
    <mergeCell ref="F28:F30"/>
    <mergeCell ref="F45:F46"/>
    <mergeCell ref="F33:F34"/>
    <mergeCell ref="F31:F32"/>
    <mergeCell ref="F40:F41"/>
    <mergeCell ref="C7:C19"/>
    <mergeCell ref="C21:C34"/>
    <mergeCell ref="C36:C48"/>
    <mergeCell ref="E7:E8"/>
    <mergeCell ref="D7:D8"/>
    <mergeCell ref="D16:D17"/>
    <mergeCell ref="E21:E22"/>
    <mergeCell ref="D33:D34"/>
    <mergeCell ref="D47:D48"/>
    <mergeCell ref="D40:D41"/>
    <mergeCell ref="D42:D44"/>
    <mergeCell ref="D45:D46"/>
    <mergeCell ref="D9:D10"/>
    <mergeCell ref="D23:D24"/>
    <mergeCell ref="D25:D27"/>
    <mergeCell ref="M18:M19"/>
    <mergeCell ref="O7:O8"/>
    <mergeCell ref="O9:O10"/>
    <mergeCell ref="O11:O12"/>
    <mergeCell ref="O13:O15"/>
    <mergeCell ref="O16:O17"/>
    <mergeCell ref="O18:O19"/>
    <mergeCell ref="M7:M8"/>
    <mergeCell ref="M9:M10"/>
    <mergeCell ref="M11:M12"/>
    <mergeCell ref="M13:M15"/>
    <mergeCell ref="M16:M17"/>
    <mergeCell ref="M33:M34"/>
    <mergeCell ref="O21:O22"/>
    <mergeCell ref="O23:O24"/>
    <mergeCell ref="O25:O27"/>
    <mergeCell ref="O28:O30"/>
    <mergeCell ref="O31:O32"/>
    <mergeCell ref="O33:O34"/>
    <mergeCell ref="M21:M22"/>
    <mergeCell ref="M23:M24"/>
    <mergeCell ref="M25:M27"/>
    <mergeCell ref="M28:M30"/>
    <mergeCell ref="M31:M32"/>
    <mergeCell ref="M40:M41"/>
    <mergeCell ref="M42:M44"/>
    <mergeCell ref="M45:M46"/>
    <mergeCell ref="M47:M48"/>
    <mergeCell ref="M36:M37"/>
    <mergeCell ref="M38:M39"/>
    <mergeCell ref="O40:O41"/>
    <mergeCell ref="O42:O44"/>
    <mergeCell ref="O45:O46"/>
    <mergeCell ref="O47:O48"/>
    <mergeCell ref="O36:O37"/>
    <mergeCell ref="O38:O39"/>
  </mergeCells>
  <conditionalFormatting sqref="E36">
    <cfRule type="colorScale" priority="3">
      <colorScale>
        <cfvo type="num" val="0"/>
        <cfvo type="num" val="0"/>
        <color rgb="FFFF0000"/>
        <color rgb="FF00B050"/>
      </colorScale>
    </cfRule>
  </conditionalFormatting>
  <conditionalFormatting sqref="E42">
    <cfRule type="colorScale" priority="2">
      <colorScale>
        <cfvo type="num" val="0"/>
        <cfvo type="num" val="0"/>
        <color rgb="FFFF0000"/>
        <color rgb="FF00B050"/>
      </colorScale>
    </cfRule>
  </conditionalFormatting>
  <conditionalFormatting sqref="E38">
    <cfRule type="colorScale" priority="1">
      <colorScale>
        <cfvo type="num" val="0"/>
        <cfvo type="num" val="0"/>
        <color rgb="FFFF0000"/>
        <color rgb="FF00B050"/>
      </colorScale>
    </cfRule>
  </conditionalFormatting>
  <hyperlinks>
    <hyperlink ref="G7" location="'Admin. systèmes &amp; services'!A1" display="Administration Systèmes et Services"/>
    <hyperlink ref="G8" location="'Atelier Admin. syst. &amp; services'!A1" display="Atelier Administration Systèmes et Services"/>
    <hyperlink ref="G9" location="'Base de données'!A1" display="Bases de Données"/>
    <hyperlink ref="G10" location="'Atelier base de données'!A1" display="Atelier Bases de Données"/>
    <hyperlink ref="G11" location="'Programmation objet'!A1" display="Programmation Objet"/>
    <hyperlink ref="G12" location="'Atelier programmation objet'!A1" display="Atelier de Programmation Objet"/>
    <hyperlink ref="G13" location="'Développement FR coté client'!A1" display="Développement Framework Coté Client"/>
    <hyperlink ref="G14" location="'Atelier dév FR coté client'!A1" display="Atelier Développement Framework Coté Client"/>
    <hyperlink ref="G15" location="'AT traitement données multiméd.'!A1" display="Atelier Trait. de Données Multimédias"/>
    <hyperlink ref="G16" location="'High Tech english'!A1" display="High tech english "/>
    <hyperlink ref="G17" location="'Communication en entreprise'!A1" display="Communication en entreprise"/>
    <hyperlink ref="G21" location="'AT design &amp; inté pour le web'!A1" display="Atelier Design et Integration pour le Web"/>
    <hyperlink ref="G22" location="'Sécurité des applications web'!A1" display="Sécurité des applications web"/>
    <hyperlink ref="G23" location="'Développement coté serveur'!A1" display="Développement Coté Serveur"/>
    <hyperlink ref="G24" location="'Atelier dév coté serveur'!A1" display="Atelier Développement Coté Serveur"/>
    <hyperlink ref="G25" location="'Atelier SGBD'!A1" display="Atelier SGBD"/>
    <hyperlink ref="G26" location="'Programmation objet avancée'!A1" display="Programmation Objet avancée"/>
    <hyperlink ref="G27" location="'Atelier prog objet avancée'!A1" display="Atelier Programmation Objet avancée"/>
    <hyperlink ref="G28" location="'Atelier outil d''animation 3D'!A1" display="Atelier outil d'animation 3D"/>
    <hyperlink ref="G29" location="'Programmation graphique 2D-3D'!A1" display="Programmation Graphique 2D-3D"/>
    <hyperlink ref="G30" location="'Atelier prog graphique 2D'!A1" display="Atelier Programmation Graphique 2D"/>
    <hyperlink ref="G31" location="'Busniess English'!A1" display="Business english"/>
    <hyperlink ref="G32" location="'Etude &amp; mgmt de prjts innovants'!A1" display="Etude et management de projets innovants"/>
    <hyperlink ref="G36" location="'Développement Mobile'!A1" display="Développement Mobile"/>
    <hyperlink ref="G37" location="'Atelier dév mobile'!A1" display="Atelier Développement Mobile"/>
    <hyperlink ref="G38" location="'Atelier SOA'!A1" display="Atelier SOA"/>
    <hyperlink ref="G39" location="'Atelier framework coté serveur'!A1" display="Atelier Framework Côté Serveur"/>
    <hyperlink ref="G40" location="'Conception OO &amp; méthodes agiles'!A1" display="Conception Orientée Objet Et méthodes agiles"/>
    <hyperlink ref="G41" location="'Atelier projet d''intégration'!A1" display="Atelier Projet d'intégration"/>
    <hyperlink ref="G42" location="'Atelier Réalite VIR et AUG'!A1" display="Atelier Réalité virtuelle et augmentée"/>
    <hyperlink ref="G43" location="'Réalite AUG et VIR'!A1" display="Réalité augmentée et programmation 3D"/>
    <hyperlink ref="G44" location="'Atelier prog multimédia 3D'!A1" display="Atelier programmation multimédia 3D"/>
    <hyperlink ref="G45" location="TOEIC!A1" display="Preparing TOEIC"/>
    <hyperlink ref="G46" location="TRE!A1" display="Technique de Recherche d’emploi et Marketing de soi"/>
  </hyperlink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1"/>
  </sheetPr>
  <dimension ref="B1:AW25"/>
  <sheetViews>
    <sheetView topLeftCell="B1" zoomScale="60" zoomScaleNormal="60" workbookViewId="0">
      <selection activeCell="AD4" sqref="AD4:AD7"/>
    </sheetView>
  </sheetViews>
  <sheetFormatPr baseColWidth="10" defaultColWidth="8.85546875" defaultRowHeight="15"/>
  <cols>
    <col min="1" max="1" width="8.85546875" style="1"/>
    <col min="2" max="29" width="8.85546875" style="36"/>
    <col min="30" max="30" width="33.140625" style="1" customWidth="1"/>
    <col min="31" max="31" width="21.85546875" style="1" customWidth="1"/>
    <col min="32" max="48" width="8.85546875" style="1"/>
    <col min="49" max="49" width="10.85546875" style="1" customWidth="1"/>
    <col min="50" max="16384" width="8.85546875" style="1"/>
  </cols>
  <sheetData>
    <row r="1" spans="2:49">
      <c r="B1" s="1"/>
      <c r="C1" s="1"/>
      <c r="D1" s="1"/>
      <c r="E1" s="1"/>
      <c r="F1" s="1"/>
      <c r="G1" s="1"/>
      <c r="H1" s="1"/>
      <c r="I1" s="1"/>
      <c r="J1" s="1"/>
      <c r="K1" s="1"/>
      <c r="L1" s="1"/>
      <c r="M1" s="1"/>
      <c r="N1" s="1"/>
      <c r="O1" s="1"/>
      <c r="P1" s="1"/>
      <c r="Q1" s="1"/>
      <c r="R1" s="1"/>
      <c r="S1" s="1"/>
      <c r="T1" s="1"/>
      <c r="U1" s="1"/>
      <c r="V1" s="1"/>
      <c r="W1" s="1"/>
      <c r="X1" s="1"/>
      <c r="Y1" s="1"/>
      <c r="Z1" s="1"/>
      <c r="AA1" s="1"/>
      <c r="AB1" s="1"/>
      <c r="AC1" s="1"/>
    </row>
    <row r="2" spans="2:49">
      <c r="B2" s="3" t="s">
        <v>1</v>
      </c>
      <c r="C2" s="274" t="s">
        <v>79</v>
      </c>
      <c r="D2" s="275"/>
      <c r="E2" s="275"/>
      <c r="F2" s="275"/>
      <c r="G2" s="1"/>
      <c r="H2" s="1"/>
      <c r="I2" s="1"/>
      <c r="J2" s="1"/>
      <c r="K2" s="1"/>
      <c r="L2" s="1"/>
      <c r="M2" s="1"/>
      <c r="N2" s="1"/>
      <c r="O2" s="1"/>
      <c r="P2" s="1"/>
      <c r="Q2" s="1"/>
      <c r="R2" s="1"/>
      <c r="S2" s="1"/>
      <c r="T2" s="1"/>
      <c r="U2" s="1"/>
      <c r="V2" s="1"/>
      <c r="W2" s="1"/>
      <c r="X2" s="1"/>
      <c r="Y2" s="1"/>
      <c r="Z2" s="1"/>
      <c r="AA2" s="1"/>
      <c r="AB2" s="1"/>
      <c r="AC2" s="1"/>
    </row>
    <row r="3" spans="2:49">
      <c r="B3" s="1"/>
      <c r="C3" s="1"/>
      <c r="D3" s="1"/>
      <c r="E3" s="1"/>
      <c r="F3" s="1"/>
      <c r="G3" s="1"/>
      <c r="H3" s="1"/>
      <c r="I3" s="1"/>
      <c r="J3" s="1"/>
      <c r="K3" s="1"/>
      <c r="L3" s="1"/>
      <c r="M3" s="1"/>
      <c r="N3" s="1"/>
      <c r="O3" s="1"/>
      <c r="P3" s="1"/>
      <c r="Q3" s="1"/>
      <c r="R3" s="1"/>
      <c r="S3" s="1"/>
      <c r="T3" s="1"/>
      <c r="U3" s="1"/>
      <c r="V3" s="1"/>
      <c r="W3" s="1"/>
      <c r="X3" s="1"/>
      <c r="Y3" s="1"/>
      <c r="Z3" s="1"/>
      <c r="AA3" s="1"/>
      <c r="AB3" s="1"/>
      <c r="AC3" s="1"/>
    </row>
    <row r="4" spans="2:49" ht="27" customHeight="1">
      <c r="B4" s="282" t="s">
        <v>132</v>
      </c>
      <c r="C4" s="282"/>
      <c r="D4" s="282"/>
      <c r="E4" s="282"/>
      <c r="F4" s="282"/>
      <c r="G4" s="282"/>
      <c r="H4" s="282"/>
      <c r="I4" s="282"/>
      <c r="J4" s="282"/>
      <c r="K4" s="282"/>
      <c r="L4" s="282"/>
      <c r="M4" s="282"/>
      <c r="N4" s="282"/>
      <c r="O4" s="282"/>
      <c r="P4" s="282"/>
      <c r="Q4" s="282"/>
      <c r="R4" s="282"/>
      <c r="S4" s="282"/>
      <c r="T4" s="282"/>
      <c r="U4" s="282"/>
      <c r="V4" s="282"/>
      <c r="W4" s="282"/>
      <c r="X4" s="282"/>
      <c r="Y4" s="282"/>
      <c r="Z4" s="282"/>
      <c r="AA4" s="282"/>
      <c r="AB4" s="282"/>
      <c r="AC4" s="282"/>
      <c r="AD4" s="284" t="s">
        <v>133</v>
      </c>
      <c r="AE4" s="285" t="s">
        <v>31</v>
      </c>
      <c r="AF4" s="286" t="s">
        <v>32</v>
      </c>
      <c r="AG4" s="286"/>
      <c r="AH4" s="286"/>
      <c r="AI4" s="286"/>
      <c r="AJ4" s="286"/>
      <c r="AK4" s="286"/>
      <c r="AL4" s="286"/>
      <c r="AM4" s="286"/>
      <c r="AN4" s="286"/>
      <c r="AO4" s="286"/>
      <c r="AP4" s="286"/>
      <c r="AQ4" s="286"/>
      <c r="AR4" s="286"/>
      <c r="AS4" s="286"/>
      <c r="AT4" s="286"/>
      <c r="AU4" s="286"/>
      <c r="AV4" s="286"/>
      <c r="AW4" s="286"/>
    </row>
    <row r="5" spans="2:49">
      <c r="B5" s="281" t="s">
        <v>33</v>
      </c>
      <c r="C5" s="281"/>
      <c r="D5" s="281"/>
      <c r="E5" s="281"/>
      <c r="F5" s="281"/>
      <c r="G5" s="281"/>
      <c r="H5" s="281"/>
      <c r="I5" s="281"/>
      <c r="J5" s="281"/>
      <c r="K5" s="281" t="s">
        <v>34</v>
      </c>
      <c r="L5" s="281"/>
      <c r="M5" s="281"/>
      <c r="N5" s="281"/>
      <c r="O5" s="281"/>
      <c r="P5" s="281"/>
      <c r="Q5" s="281"/>
      <c r="R5" s="281"/>
      <c r="S5" s="281"/>
      <c r="T5" s="281"/>
      <c r="U5" s="281" t="s">
        <v>35</v>
      </c>
      <c r="V5" s="281"/>
      <c r="W5" s="281"/>
      <c r="X5" s="281"/>
      <c r="Y5" s="281"/>
      <c r="Z5" s="281"/>
      <c r="AA5" s="281"/>
      <c r="AB5" s="281"/>
      <c r="AC5" s="281"/>
      <c r="AD5" s="284"/>
      <c r="AE5" s="285"/>
      <c r="AF5" s="287" t="s">
        <v>36</v>
      </c>
      <c r="AG5" s="287"/>
      <c r="AH5" s="287"/>
      <c r="AI5" s="287"/>
      <c r="AJ5" s="287"/>
      <c r="AK5" s="287"/>
      <c r="AL5" s="287"/>
      <c r="AM5" s="287"/>
      <c r="AN5" s="287"/>
      <c r="AO5" s="287" t="s">
        <v>37</v>
      </c>
      <c r="AP5" s="287"/>
      <c r="AQ5" s="287"/>
      <c r="AR5" s="287"/>
      <c r="AS5" s="287"/>
      <c r="AT5" s="287"/>
      <c r="AU5" s="287"/>
      <c r="AV5" s="287"/>
      <c r="AW5" s="287"/>
    </row>
    <row r="6" spans="2:49" ht="47.1" customHeight="1">
      <c r="B6" s="281" t="s">
        <v>182</v>
      </c>
      <c r="C6" s="281"/>
      <c r="D6" s="281" t="s">
        <v>23</v>
      </c>
      <c r="E6" s="281"/>
      <c r="F6" s="281" t="s">
        <v>24</v>
      </c>
      <c r="G6" s="281"/>
      <c r="H6" s="281" t="s">
        <v>183</v>
      </c>
      <c r="I6" s="281"/>
      <c r="J6" s="281"/>
      <c r="K6" s="281" t="s">
        <v>193</v>
      </c>
      <c r="L6" s="281"/>
      <c r="M6" s="281" t="s">
        <v>194</v>
      </c>
      <c r="N6" s="281"/>
      <c r="O6" s="281" t="s">
        <v>195</v>
      </c>
      <c r="P6" s="281"/>
      <c r="Q6" s="281"/>
      <c r="R6" s="281" t="s">
        <v>196</v>
      </c>
      <c r="S6" s="281"/>
      <c r="T6" s="281"/>
      <c r="U6" s="281" t="s">
        <v>210</v>
      </c>
      <c r="V6" s="281"/>
      <c r="W6" s="281"/>
      <c r="X6" s="281"/>
      <c r="Y6" s="281" t="s">
        <v>211</v>
      </c>
      <c r="Z6" s="281"/>
      <c r="AA6" s="281" t="s">
        <v>212</v>
      </c>
      <c r="AB6" s="281"/>
      <c r="AC6" s="281"/>
      <c r="AD6" s="284"/>
      <c r="AE6" s="285"/>
      <c r="AF6" s="283" t="s">
        <v>38</v>
      </c>
      <c r="AG6" s="283"/>
      <c r="AH6" s="283" t="s">
        <v>39</v>
      </c>
      <c r="AI6" s="283"/>
      <c r="AJ6" s="287" t="s">
        <v>40</v>
      </c>
      <c r="AK6" s="287"/>
      <c r="AL6" s="287"/>
      <c r="AM6" s="283" t="s">
        <v>41</v>
      </c>
      <c r="AN6" s="283"/>
      <c r="AO6" s="283" t="s">
        <v>42</v>
      </c>
      <c r="AP6" s="283"/>
      <c r="AQ6" s="287" t="s">
        <v>43</v>
      </c>
      <c r="AR6" s="287"/>
      <c r="AS6" s="283" t="s">
        <v>44</v>
      </c>
      <c r="AT6" s="283"/>
      <c r="AU6" s="283" t="s">
        <v>45</v>
      </c>
      <c r="AV6" s="283"/>
      <c r="AW6" s="178" t="s">
        <v>115</v>
      </c>
    </row>
    <row r="7" spans="2:49" ht="111.95" customHeight="1">
      <c r="B7" s="171" t="s">
        <v>213</v>
      </c>
      <c r="C7" s="171" t="s">
        <v>214</v>
      </c>
      <c r="D7" s="171" t="s">
        <v>215</v>
      </c>
      <c r="E7" s="171" t="s">
        <v>116</v>
      </c>
      <c r="F7" s="171" t="s">
        <v>216</v>
      </c>
      <c r="G7" s="171" t="s">
        <v>117</v>
      </c>
      <c r="H7" s="171" t="s">
        <v>217</v>
      </c>
      <c r="I7" s="171" t="s">
        <v>218</v>
      </c>
      <c r="J7" s="171" t="s">
        <v>219</v>
      </c>
      <c r="K7" s="171" t="s">
        <v>220</v>
      </c>
      <c r="L7" s="171" t="s">
        <v>221</v>
      </c>
      <c r="M7" s="171" t="s">
        <v>222</v>
      </c>
      <c r="N7" s="171" t="s">
        <v>223</v>
      </c>
      <c r="O7" s="171" t="s">
        <v>224</v>
      </c>
      <c r="P7" s="171" t="s">
        <v>765</v>
      </c>
      <c r="Q7" s="171" t="s">
        <v>766</v>
      </c>
      <c r="R7" s="171" t="s">
        <v>225</v>
      </c>
      <c r="S7" s="171" t="s">
        <v>767</v>
      </c>
      <c r="T7" s="171" t="s">
        <v>226</v>
      </c>
      <c r="U7" s="171" t="s">
        <v>227</v>
      </c>
      <c r="V7" s="171" t="s">
        <v>228</v>
      </c>
      <c r="W7" s="171" t="s">
        <v>229</v>
      </c>
      <c r="X7" s="171" t="s">
        <v>230</v>
      </c>
      <c r="Y7" s="171" t="s">
        <v>231</v>
      </c>
      <c r="Z7" s="171" t="s">
        <v>232</v>
      </c>
      <c r="AA7" s="171" t="s">
        <v>233</v>
      </c>
      <c r="AB7" s="171" t="s">
        <v>234</v>
      </c>
      <c r="AC7" s="171" t="s">
        <v>235</v>
      </c>
      <c r="AD7" s="284"/>
      <c r="AE7" s="285"/>
      <c r="AF7" s="172" t="s">
        <v>46</v>
      </c>
      <c r="AG7" s="172" t="s">
        <v>47</v>
      </c>
      <c r="AH7" s="172" t="s">
        <v>48</v>
      </c>
      <c r="AI7" s="172" t="s">
        <v>49</v>
      </c>
      <c r="AJ7" s="172" t="s">
        <v>50</v>
      </c>
      <c r="AK7" s="172" t="s">
        <v>51</v>
      </c>
      <c r="AL7" s="172" t="s">
        <v>52</v>
      </c>
      <c r="AM7" s="172" t="s">
        <v>53</v>
      </c>
      <c r="AN7" s="172" t="s">
        <v>54</v>
      </c>
      <c r="AO7" s="172" t="s">
        <v>55</v>
      </c>
      <c r="AP7" s="172" t="s">
        <v>56</v>
      </c>
      <c r="AQ7" s="172" t="s">
        <v>57</v>
      </c>
      <c r="AR7" s="172" t="s">
        <v>58</v>
      </c>
      <c r="AS7" s="172" t="s">
        <v>59</v>
      </c>
      <c r="AT7" s="172" t="s">
        <v>60</v>
      </c>
      <c r="AU7" s="172" t="s">
        <v>61</v>
      </c>
      <c r="AV7" s="172" t="s">
        <v>62</v>
      </c>
      <c r="AW7" s="172" t="s">
        <v>63</v>
      </c>
    </row>
    <row r="8" spans="2:49">
      <c r="B8" s="173" t="s">
        <v>66</v>
      </c>
      <c r="C8" s="173"/>
      <c r="D8" s="173"/>
      <c r="E8" s="173"/>
      <c r="F8" s="173"/>
      <c r="G8" s="173"/>
      <c r="H8" s="173"/>
      <c r="I8" s="173"/>
      <c r="J8" s="173"/>
      <c r="K8" s="173"/>
      <c r="L8" s="173"/>
      <c r="M8" s="173"/>
      <c r="N8" s="173"/>
      <c r="O8" s="173"/>
      <c r="P8" s="173"/>
      <c r="Q8" s="173"/>
      <c r="R8" s="173"/>
      <c r="S8" s="173"/>
      <c r="T8" s="173"/>
      <c r="U8" s="173"/>
      <c r="V8" s="173"/>
      <c r="W8" s="173"/>
      <c r="X8" s="173"/>
      <c r="Y8" s="173"/>
      <c r="Z8" s="173"/>
      <c r="AA8" s="173"/>
      <c r="AB8" s="173"/>
      <c r="AC8" s="173"/>
      <c r="AD8" s="174" t="s">
        <v>236</v>
      </c>
      <c r="AE8" s="175" t="s">
        <v>67</v>
      </c>
      <c r="AF8" s="173"/>
      <c r="AG8" s="173"/>
      <c r="AH8" s="173"/>
      <c r="AI8" s="173"/>
      <c r="AJ8" s="173"/>
      <c r="AK8" s="173"/>
      <c r="AL8" s="173"/>
      <c r="AM8" s="173"/>
      <c r="AN8" s="173"/>
      <c r="AO8" s="173"/>
      <c r="AP8" s="173"/>
      <c r="AQ8" s="173" t="s">
        <v>66</v>
      </c>
      <c r="AR8" s="173" t="s">
        <v>66</v>
      </c>
      <c r="AS8" s="173"/>
      <c r="AT8" s="173"/>
      <c r="AU8" s="173"/>
      <c r="AV8" s="173"/>
      <c r="AW8" s="173"/>
    </row>
    <row r="9" spans="2:49">
      <c r="B9" s="173"/>
      <c r="C9" s="173" t="s">
        <v>66</v>
      </c>
      <c r="D9" s="173"/>
      <c r="E9" s="173"/>
      <c r="F9" s="173"/>
      <c r="G9" s="173"/>
      <c r="H9" s="173"/>
      <c r="I9" s="173"/>
      <c r="J9" s="173"/>
      <c r="K9" s="173"/>
      <c r="L9" s="173"/>
      <c r="M9" s="173"/>
      <c r="N9" s="173"/>
      <c r="O9" s="173"/>
      <c r="P9" s="173"/>
      <c r="Q9" s="173"/>
      <c r="R9" s="173"/>
      <c r="S9" s="173"/>
      <c r="T9" s="173"/>
      <c r="U9" s="173"/>
      <c r="V9" s="173"/>
      <c r="W9" s="173"/>
      <c r="X9" s="173"/>
      <c r="Y9" s="173"/>
      <c r="Z9" s="173"/>
      <c r="AA9" s="173"/>
      <c r="AB9" s="173"/>
      <c r="AC9" s="173"/>
      <c r="AD9" s="174" t="s">
        <v>118</v>
      </c>
      <c r="AE9" s="175" t="s">
        <v>67</v>
      </c>
      <c r="AF9" s="173"/>
      <c r="AG9" s="173"/>
      <c r="AH9" s="173"/>
      <c r="AI9" s="173"/>
      <c r="AJ9" s="173"/>
      <c r="AK9" s="173"/>
      <c r="AL9" s="173"/>
      <c r="AM9" s="173"/>
      <c r="AN9" s="173"/>
      <c r="AO9" s="173"/>
      <c r="AP9" s="173"/>
      <c r="AQ9" s="173"/>
      <c r="AR9" s="173"/>
      <c r="AS9" s="173"/>
      <c r="AT9" s="173"/>
      <c r="AU9" s="173"/>
      <c r="AV9" s="173"/>
      <c r="AW9" s="173" t="s">
        <v>66</v>
      </c>
    </row>
    <row r="10" spans="2:49">
      <c r="B10" s="173"/>
      <c r="C10" s="173"/>
      <c r="D10" s="173" t="s">
        <v>66</v>
      </c>
      <c r="E10" s="173" t="s">
        <v>66</v>
      </c>
      <c r="F10" s="173" t="s">
        <v>66</v>
      </c>
      <c r="G10" s="173" t="s">
        <v>66</v>
      </c>
      <c r="H10" s="173" t="s">
        <v>66</v>
      </c>
      <c r="I10" s="173" t="s">
        <v>66</v>
      </c>
      <c r="J10" s="173"/>
      <c r="K10" s="173"/>
      <c r="L10" s="173"/>
      <c r="M10" s="173"/>
      <c r="N10" s="173" t="s">
        <v>66</v>
      </c>
      <c r="O10" s="173"/>
      <c r="P10" s="173"/>
      <c r="Q10" s="173"/>
      <c r="R10" s="173"/>
      <c r="S10" s="173"/>
      <c r="T10" s="173"/>
      <c r="U10" s="173"/>
      <c r="V10" s="173"/>
      <c r="W10" s="173" t="s">
        <v>66</v>
      </c>
      <c r="X10" s="173"/>
      <c r="Y10" s="173"/>
      <c r="Z10" s="173"/>
      <c r="AA10" s="173"/>
      <c r="AB10" s="173"/>
      <c r="AC10" s="173"/>
      <c r="AD10" s="174" t="s">
        <v>237</v>
      </c>
      <c r="AE10" s="175" t="s">
        <v>67</v>
      </c>
      <c r="AF10" s="173" t="s">
        <v>66</v>
      </c>
      <c r="AG10" s="173" t="s">
        <v>66</v>
      </c>
      <c r="AH10" s="173" t="s">
        <v>66</v>
      </c>
      <c r="AI10" s="173" t="s">
        <v>66</v>
      </c>
      <c r="AJ10" s="173"/>
      <c r="AK10" s="173" t="s">
        <v>66</v>
      </c>
      <c r="AL10" s="173" t="s">
        <v>66</v>
      </c>
      <c r="AM10" s="173"/>
      <c r="AN10" s="173"/>
      <c r="AO10" s="173" t="s">
        <v>66</v>
      </c>
      <c r="AP10" s="173" t="s">
        <v>66</v>
      </c>
      <c r="AQ10" s="173"/>
      <c r="AR10" s="173"/>
      <c r="AS10" s="173" t="s">
        <v>66</v>
      </c>
      <c r="AT10" s="173" t="s">
        <v>66</v>
      </c>
      <c r="AU10" s="173" t="s">
        <v>66</v>
      </c>
      <c r="AV10" s="173" t="s">
        <v>66</v>
      </c>
      <c r="AW10" s="173"/>
    </row>
    <row r="11" spans="2:49" ht="15.95" customHeight="1">
      <c r="B11" s="173"/>
      <c r="C11" s="173"/>
      <c r="D11" s="173" t="s">
        <v>66</v>
      </c>
      <c r="E11" s="173" t="s">
        <v>66</v>
      </c>
      <c r="F11" s="173" t="s">
        <v>66</v>
      </c>
      <c r="G11" s="173" t="s">
        <v>66</v>
      </c>
      <c r="H11" s="173"/>
      <c r="I11" s="173"/>
      <c r="J11" s="173"/>
      <c r="K11" s="173"/>
      <c r="L11" s="173"/>
      <c r="M11" s="173"/>
      <c r="N11" s="173" t="s">
        <v>66</v>
      </c>
      <c r="O11" s="173" t="s">
        <v>66</v>
      </c>
      <c r="P11" s="173"/>
      <c r="Q11" s="173"/>
      <c r="R11" s="173"/>
      <c r="S11" s="173"/>
      <c r="T11" s="173"/>
      <c r="U11" s="173"/>
      <c r="V11" s="173"/>
      <c r="W11" s="173"/>
      <c r="X11" s="173"/>
      <c r="Y11" s="173"/>
      <c r="Z11" s="173"/>
      <c r="AA11" s="173"/>
      <c r="AB11" s="173"/>
      <c r="AC11" s="173"/>
      <c r="AD11" s="174" t="s">
        <v>119</v>
      </c>
      <c r="AE11" s="175" t="s">
        <v>67</v>
      </c>
      <c r="AF11" s="173"/>
      <c r="AG11" s="173"/>
      <c r="AH11" s="173" t="s">
        <v>66</v>
      </c>
      <c r="AI11" s="173" t="s">
        <v>66</v>
      </c>
      <c r="AJ11" s="173"/>
      <c r="AK11" s="173"/>
      <c r="AL11" s="173"/>
      <c r="AM11" s="173"/>
      <c r="AN11" s="173"/>
      <c r="AO11" s="173"/>
      <c r="AP11" s="173"/>
      <c r="AQ11" s="173"/>
      <c r="AR11" s="173"/>
      <c r="AS11" s="173" t="s">
        <v>66</v>
      </c>
      <c r="AT11" s="173" t="s">
        <v>66</v>
      </c>
      <c r="AU11" s="173" t="s">
        <v>66</v>
      </c>
      <c r="AV11" s="173" t="s">
        <v>66</v>
      </c>
      <c r="AW11" s="173"/>
    </row>
    <row r="12" spans="2:49" ht="14.45" customHeight="1">
      <c r="B12" s="173"/>
      <c r="C12" s="173"/>
      <c r="D12" s="173"/>
      <c r="E12" s="173"/>
      <c r="F12" s="173"/>
      <c r="G12" s="173"/>
      <c r="H12" s="173"/>
      <c r="I12" s="173"/>
      <c r="J12" s="173"/>
      <c r="K12" s="173"/>
      <c r="L12" s="173" t="s">
        <v>66</v>
      </c>
      <c r="M12" s="173"/>
      <c r="N12" s="173"/>
      <c r="O12" s="173"/>
      <c r="P12" s="173"/>
      <c r="Q12" s="173"/>
      <c r="R12" s="173"/>
      <c r="S12" s="173"/>
      <c r="T12" s="173"/>
      <c r="U12" s="173"/>
      <c r="V12" s="173"/>
      <c r="W12" s="173"/>
      <c r="X12" s="173"/>
      <c r="Y12" s="173"/>
      <c r="Z12" s="173"/>
      <c r="AA12" s="173"/>
      <c r="AB12" s="173"/>
      <c r="AC12" s="173"/>
      <c r="AD12" s="174" t="s">
        <v>120</v>
      </c>
      <c r="AE12" s="175" t="s">
        <v>67</v>
      </c>
      <c r="AF12" s="173"/>
      <c r="AG12" s="173"/>
      <c r="AH12" s="173"/>
      <c r="AI12" s="173"/>
      <c r="AJ12" s="173"/>
      <c r="AK12" s="173"/>
      <c r="AL12" s="173"/>
      <c r="AM12" s="173" t="s">
        <v>66</v>
      </c>
      <c r="AN12" s="173" t="s">
        <v>66</v>
      </c>
      <c r="AO12" s="173"/>
      <c r="AP12" s="173"/>
      <c r="AQ12" s="173"/>
      <c r="AR12" s="173"/>
      <c r="AS12" s="173"/>
      <c r="AT12" s="173"/>
      <c r="AU12" s="173" t="s">
        <v>66</v>
      </c>
      <c r="AV12" s="173" t="s">
        <v>66</v>
      </c>
      <c r="AW12" s="173"/>
    </row>
    <row r="13" spans="2:49">
      <c r="B13" s="173"/>
      <c r="C13" s="173"/>
      <c r="D13" s="173"/>
      <c r="E13" s="173"/>
      <c r="F13" s="173"/>
      <c r="G13" s="173"/>
      <c r="H13" s="173"/>
      <c r="I13" s="173"/>
      <c r="J13" s="173"/>
      <c r="K13" s="173"/>
      <c r="L13" s="173"/>
      <c r="M13" s="173"/>
      <c r="N13" s="173" t="s">
        <v>66</v>
      </c>
      <c r="O13" s="173"/>
      <c r="P13" s="173"/>
      <c r="Q13" s="173"/>
      <c r="R13" s="173"/>
      <c r="S13" s="173"/>
      <c r="T13" s="173"/>
      <c r="U13" s="173"/>
      <c r="V13" s="173"/>
      <c r="W13" s="173" t="s">
        <v>66</v>
      </c>
      <c r="X13" s="173"/>
      <c r="Y13" s="173"/>
      <c r="Z13" s="173"/>
      <c r="AA13" s="173" t="s">
        <v>66</v>
      </c>
      <c r="AB13" s="173" t="s">
        <v>66</v>
      </c>
      <c r="AC13" s="173" t="s">
        <v>66</v>
      </c>
      <c r="AD13" s="174" t="s">
        <v>238</v>
      </c>
      <c r="AE13" s="176" t="s">
        <v>33</v>
      </c>
      <c r="AF13" s="173"/>
      <c r="AG13" s="173"/>
      <c r="AH13" s="173"/>
      <c r="AI13" s="173"/>
      <c r="AJ13" s="173"/>
      <c r="AK13" s="173"/>
      <c r="AL13" s="173"/>
      <c r="AM13" s="173"/>
      <c r="AN13" s="173"/>
      <c r="AO13" s="173"/>
      <c r="AP13" s="173"/>
      <c r="AQ13" s="173"/>
      <c r="AR13" s="173"/>
      <c r="AS13" s="173"/>
      <c r="AT13" s="173"/>
      <c r="AU13" s="173"/>
      <c r="AV13" s="173"/>
      <c r="AW13" s="173"/>
    </row>
    <row r="14" spans="2:49">
      <c r="B14" s="173"/>
      <c r="C14" s="173"/>
      <c r="D14" s="173"/>
      <c r="E14" s="173"/>
      <c r="F14" s="173"/>
      <c r="G14" s="173"/>
      <c r="H14" s="173"/>
      <c r="I14" s="173" t="s">
        <v>66</v>
      </c>
      <c r="J14" s="173"/>
      <c r="K14" s="173" t="s">
        <v>66</v>
      </c>
      <c r="L14" s="173"/>
      <c r="M14" s="173"/>
      <c r="N14" s="173"/>
      <c r="O14" s="173"/>
      <c r="P14" s="173"/>
      <c r="Q14" s="173"/>
      <c r="R14" s="173"/>
      <c r="S14" s="173"/>
      <c r="T14" s="173"/>
      <c r="U14" s="173"/>
      <c r="V14" s="173"/>
      <c r="W14" s="173"/>
      <c r="X14" s="173"/>
      <c r="Y14" s="173"/>
      <c r="Z14" s="173"/>
      <c r="AA14" s="173"/>
      <c r="AB14" s="173"/>
      <c r="AC14" s="173"/>
      <c r="AD14" s="174" t="s">
        <v>239</v>
      </c>
      <c r="AE14" s="175" t="s">
        <v>67</v>
      </c>
      <c r="AF14" s="173"/>
      <c r="AG14" s="173"/>
      <c r="AH14" s="173"/>
      <c r="AI14" s="173"/>
      <c r="AJ14" s="173"/>
      <c r="AK14" s="173"/>
      <c r="AL14" s="173"/>
      <c r="AM14" s="173"/>
      <c r="AN14" s="173"/>
      <c r="AO14" s="173"/>
      <c r="AP14" s="173"/>
      <c r="AQ14" s="173"/>
      <c r="AR14" s="173"/>
      <c r="AS14" s="173"/>
      <c r="AT14" s="173"/>
      <c r="AU14" s="173" t="s">
        <v>66</v>
      </c>
      <c r="AV14" s="173" t="s">
        <v>66</v>
      </c>
      <c r="AW14" s="173"/>
    </row>
    <row r="15" spans="2:49">
      <c r="B15" s="173"/>
      <c r="C15" s="173"/>
      <c r="D15" s="173"/>
      <c r="E15" s="173"/>
      <c r="F15" s="173"/>
      <c r="G15" s="173"/>
      <c r="H15" s="173"/>
      <c r="I15" s="173" t="s">
        <v>66</v>
      </c>
      <c r="J15" s="173"/>
      <c r="K15" s="173" t="s">
        <v>66</v>
      </c>
      <c r="L15" s="173"/>
      <c r="M15" s="173"/>
      <c r="N15" s="173"/>
      <c r="O15" s="173"/>
      <c r="P15" s="173"/>
      <c r="Q15" s="173"/>
      <c r="R15" s="173"/>
      <c r="S15" s="173"/>
      <c r="T15" s="173"/>
      <c r="U15" s="173"/>
      <c r="V15" s="173"/>
      <c r="W15" s="173"/>
      <c r="X15" s="173" t="s">
        <v>66</v>
      </c>
      <c r="Y15" s="173"/>
      <c r="Z15" s="173"/>
      <c r="AA15" s="173"/>
      <c r="AB15" s="173"/>
      <c r="AC15" s="173"/>
      <c r="AD15" s="174" t="s">
        <v>240</v>
      </c>
      <c r="AE15" s="175" t="s">
        <v>67</v>
      </c>
      <c r="AF15" s="173"/>
      <c r="AG15" s="173"/>
      <c r="AH15" s="173"/>
      <c r="AI15" s="173"/>
      <c r="AJ15" s="173"/>
      <c r="AK15" s="173"/>
      <c r="AL15" s="173"/>
      <c r="AM15" s="173" t="s">
        <v>66</v>
      </c>
      <c r="AN15" s="173" t="s">
        <v>66</v>
      </c>
      <c r="AO15" s="173"/>
      <c r="AP15" s="173"/>
      <c r="AQ15" s="173"/>
      <c r="AR15" s="173"/>
      <c r="AS15" s="173"/>
      <c r="AT15" s="173"/>
      <c r="AU15" s="173" t="s">
        <v>66</v>
      </c>
      <c r="AV15" s="173" t="s">
        <v>66</v>
      </c>
      <c r="AW15" s="173"/>
    </row>
    <row r="16" spans="2:49">
      <c r="B16" s="173"/>
      <c r="C16" s="173"/>
      <c r="D16" s="173"/>
      <c r="E16" s="173"/>
      <c r="F16" s="173"/>
      <c r="G16" s="173"/>
      <c r="H16" s="173"/>
      <c r="I16" s="173"/>
      <c r="J16" s="173"/>
      <c r="K16" s="173" t="s">
        <v>66</v>
      </c>
      <c r="L16" s="173"/>
      <c r="M16" s="173"/>
      <c r="N16" s="173"/>
      <c r="O16" s="173"/>
      <c r="P16" s="173"/>
      <c r="Q16" s="173"/>
      <c r="R16" s="173"/>
      <c r="S16" s="173"/>
      <c r="T16" s="173"/>
      <c r="U16" s="173"/>
      <c r="V16" s="173"/>
      <c r="W16" s="173"/>
      <c r="X16" s="173" t="s">
        <v>66</v>
      </c>
      <c r="Y16" s="173"/>
      <c r="Z16" s="173"/>
      <c r="AA16" s="173"/>
      <c r="AB16" s="173"/>
      <c r="AC16" s="173"/>
      <c r="AD16" s="174" t="s">
        <v>241</v>
      </c>
      <c r="AE16" s="175" t="s">
        <v>67</v>
      </c>
      <c r="AF16" s="173"/>
      <c r="AG16" s="173"/>
      <c r="AH16" s="173"/>
      <c r="AI16" s="173"/>
      <c r="AJ16" s="173"/>
      <c r="AK16" s="173"/>
      <c r="AL16" s="173"/>
      <c r="AM16" s="173" t="s">
        <v>66</v>
      </c>
      <c r="AN16" s="173" t="s">
        <v>66</v>
      </c>
      <c r="AO16" s="173"/>
      <c r="AP16" s="173"/>
      <c r="AQ16" s="173"/>
      <c r="AR16" s="173"/>
      <c r="AS16" s="173"/>
      <c r="AT16" s="173"/>
      <c r="AU16" s="173" t="s">
        <v>66</v>
      </c>
      <c r="AV16" s="173" t="s">
        <v>66</v>
      </c>
      <c r="AW16" s="173"/>
    </row>
    <row r="17" spans="2:49" ht="15.95" customHeight="1">
      <c r="B17" s="173"/>
      <c r="C17" s="173"/>
      <c r="D17" s="173"/>
      <c r="E17" s="173"/>
      <c r="F17" s="173"/>
      <c r="G17" s="173"/>
      <c r="H17" s="173"/>
      <c r="I17" s="173"/>
      <c r="J17" s="173"/>
      <c r="K17" s="173" t="s">
        <v>66</v>
      </c>
      <c r="L17" s="173"/>
      <c r="M17" s="173"/>
      <c r="N17" s="173"/>
      <c r="O17" s="173"/>
      <c r="P17" s="173"/>
      <c r="Q17" s="173"/>
      <c r="R17" s="173"/>
      <c r="S17" s="173"/>
      <c r="T17" s="173"/>
      <c r="U17" s="173"/>
      <c r="V17" s="173"/>
      <c r="W17" s="173"/>
      <c r="X17" s="173"/>
      <c r="Y17" s="173"/>
      <c r="Z17" s="173"/>
      <c r="AA17" s="173"/>
      <c r="AB17" s="173"/>
      <c r="AC17" s="173"/>
      <c r="AD17" s="174" t="s">
        <v>242</v>
      </c>
      <c r="AE17" s="175" t="s">
        <v>33</v>
      </c>
      <c r="AF17" s="173"/>
      <c r="AG17" s="173"/>
      <c r="AH17" s="173"/>
      <c r="AI17" s="173"/>
      <c r="AJ17" s="173"/>
      <c r="AK17" s="173"/>
      <c r="AL17" s="173"/>
      <c r="AM17" s="173"/>
      <c r="AN17" s="173"/>
      <c r="AO17" s="173"/>
      <c r="AP17" s="173"/>
      <c r="AQ17" s="173"/>
      <c r="AR17" s="173"/>
      <c r="AS17" s="173"/>
      <c r="AT17" s="173"/>
      <c r="AU17" s="173"/>
      <c r="AV17" s="173"/>
      <c r="AW17" s="173"/>
    </row>
    <row r="18" spans="2:49" ht="16.5" customHeight="1">
      <c r="B18" s="173"/>
      <c r="C18" s="173"/>
      <c r="D18" s="173"/>
      <c r="E18" s="173"/>
      <c r="F18" s="173"/>
      <c r="G18" s="173"/>
      <c r="H18" s="173"/>
      <c r="I18" s="173"/>
      <c r="J18" s="173"/>
      <c r="K18" s="173"/>
      <c r="L18" s="173" t="s">
        <v>66</v>
      </c>
      <c r="M18" s="173"/>
      <c r="N18" s="173" t="s">
        <v>66</v>
      </c>
      <c r="O18" s="173" t="s">
        <v>66</v>
      </c>
      <c r="P18" s="173"/>
      <c r="Q18" s="173"/>
      <c r="R18" s="173"/>
      <c r="S18" s="173"/>
      <c r="T18" s="173"/>
      <c r="U18" s="173" t="s">
        <v>66</v>
      </c>
      <c r="V18" s="173" t="s">
        <v>66</v>
      </c>
      <c r="W18" s="173"/>
      <c r="X18" s="173" t="s">
        <v>66</v>
      </c>
      <c r="Y18" s="173"/>
      <c r="Z18" s="173"/>
      <c r="AA18" s="173"/>
      <c r="AB18" s="173"/>
      <c r="AC18" s="173"/>
      <c r="AD18" s="174" t="s">
        <v>243</v>
      </c>
      <c r="AE18" s="175" t="s">
        <v>33</v>
      </c>
      <c r="AF18" s="173"/>
      <c r="AG18" s="173"/>
      <c r="AH18" s="173"/>
      <c r="AI18" s="173"/>
      <c r="AJ18" s="173"/>
      <c r="AK18" s="173"/>
      <c r="AL18" s="173"/>
      <c r="AM18" s="173"/>
      <c r="AN18" s="173"/>
      <c r="AO18" s="173"/>
      <c r="AP18" s="173"/>
      <c r="AQ18" s="173"/>
      <c r="AR18" s="173"/>
      <c r="AS18" s="173"/>
      <c r="AT18" s="173"/>
      <c r="AU18" s="173"/>
      <c r="AV18" s="173"/>
      <c r="AW18" s="173"/>
    </row>
    <row r="19" spans="2:49">
      <c r="B19" s="173"/>
      <c r="C19" s="173"/>
      <c r="D19" s="173"/>
      <c r="E19" s="173"/>
      <c r="F19" s="173"/>
      <c r="G19" s="173"/>
      <c r="H19" s="173"/>
      <c r="I19" s="173"/>
      <c r="J19" s="173"/>
      <c r="K19" s="173"/>
      <c r="L19" s="173"/>
      <c r="M19" s="173"/>
      <c r="N19" s="173" t="s">
        <v>66</v>
      </c>
      <c r="O19" s="173"/>
      <c r="P19" s="173" t="s">
        <v>66</v>
      </c>
      <c r="Q19" s="173" t="s">
        <v>66</v>
      </c>
      <c r="R19" s="173"/>
      <c r="S19" s="173"/>
      <c r="T19" s="173"/>
      <c r="U19" s="173" t="s">
        <v>66</v>
      </c>
      <c r="V19" s="173" t="s">
        <v>66</v>
      </c>
      <c r="W19" s="173" t="s">
        <v>66</v>
      </c>
      <c r="X19" s="173"/>
      <c r="Y19" s="173" t="s">
        <v>66</v>
      </c>
      <c r="Z19" s="173"/>
      <c r="AA19" s="173"/>
      <c r="AB19" s="173"/>
      <c r="AC19" s="173"/>
      <c r="AD19" s="174" t="s">
        <v>244</v>
      </c>
      <c r="AE19" s="175" t="s">
        <v>33</v>
      </c>
      <c r="AF19" s="173"/>
      <c r="AG19" s="173"/>
      <c r="AH19" s="173"/>
      <c r="AI19" s="173"/>
      <c r="AJ19" s="173"/>
      <c r="AK19" s="173"/>
      <c r="AL19" s="173"/>
      <c r="AM19" s="173"/>
      <c r="AN19" s="173"/>
      <c r="AO19" s="173"/>
      <c r="AP19" s="173"/>
      <c r="AQ19" s="173"/>
      <c r="AR19" s="173"/>
      <c r="AS19" s="173"/>
      <c r="AT19" s="173"/>
      <c r="AU19" s="173"/>
      <c r="AV19" s="173"/>
      <c r="AW19" s="173"/>
    </row>
    <row r="20" spans="2:49" ht="30.95" customHeight="1">
      <c r="B20" s="173"/>
      <c r="C20" s="173"/>
      <c r="D20" s="173"/>
      <c r="E20" s="173"/>
      <c r="F20" s="173"/>
      <c r="G20" s="173"/>
      <c r="H20" s="173"/>
      <c r="I20" s="173"/>
      <c r="J20" s="173"/>
      <c r="K20" s="173"/>
      <c r="L20" s="173"/>
      <c r="M20" s="173"/>
      <c r="N20" s="173"/>
      <c r="O20" s="173"/>
      <c r="P20" s="173" t="s">
        <v>66</v>
      </c>
      <c r="Q20" s="173" t="s">
        <v>66</v>
      </c>
      <c r="R20" s="173"/>
      <c r="S20" s="173"/>
      <c r="T20" s="173"/>
      <c r="U20" s="173"/>
      <c r="V20" s="173"/>
      <c r="W20" s="173"/>
      <c r="X20" s="173"/>
      <c r="Y20" s="173"/>
      <c r="Z20" s="173"/>
      <c r="AA20" s="173"/>
      <c r="AB20" s="173"/>
      <c r="AC20" s="173"/>
      <c r="AD20" s="174" t="s">
        <v>245</v>
      </c>
      <c r="AE20" s="176" t="s">
        <v>251</v>
      </c>
      <c r="AF20" s="173"/>
      <c r="AG20" s="173"/>
      <c r="AH20" s="173"/>
      <c r="AI20" s="173"/>
      <c r="AJ20" s="173"/>
      <c r="AK20" s="173"/>
      <c r="AL20" s="173"/>
      <c r="AM20" s="173"/>
      <c r="AN20" s="173"/>
      <c r="AO20" s="173"/>
      <c r="AP20" s="173"/>
      <c r="AQ20" s="173"/>
      <c r="AR20" s="173"/>
      <c r="AS20" s="173"/>
      <c r="AT20" s="173"/>
      <c r="AU20" s="173"/>
      <c r="AV20" s="173"/>
      <c r="AW20" s="173"/>
    </row>
    <row r="21" spans="2:49">
      <c r="B21" s="8"/>
      <c r="C21" s="8"/>
      <c r="D21" s="8"/>
      <c r="E21" s="8"/>
      <c r="F21" s="8"/>
      <c r="G21" s="8"/>
      <c r="H21" s="8"/>
      <c r="I21" s="8"/>
      <c r="J21" s="8"/>
      <c r="K21" s="8"/>
      <c r="L21" s="8"/>
      <c r="M21" s="8"/>
      <c r="N21" s="8"/>
      <c r="O21" s="8"/>
      <c r="P21" s="8"/>
      <c r="Q21" s="8"/>
      <c r="R21" s="173" t="s">
        <v>66</v>
      </c>
      <c r="S21" s="173" t="s">
        <v>66</v>
      </c>
      <c r="T21" s="173"/>
      <c r="U21" s="173"/>
      <c r="V21" s="173"/>
      <c r="W21" s="173"/>
      <c r="X21" s="173"/>
      <c r="Y21" s="173"/>
      <c r="Z21" s="173"/>
      <c r="AA21" s="173"/>
      <c r="AB21" s="173"/>
      <c r="AC21" s="173"/>
      <c r="AD21" s="174" t="s">
        <v>246</v>
      </c>
      <c r="AE21" s="176" t="s">
        <v>251</v>
      </c>
      <c r="AF21" s="173"/>
      <c r="AG21" s="173"/>
      <c r="AH21" s="173"/>
      <c r="AI21" s="173"/>
      <c r="AJ21" s="173"/>
      <c r="AK21" s="173"/>
      <c r="AL21" s="173"/>
      <c r="AM21" s="173"/>
      <c r="AN21" s="173"/>
      <c r="AO21" s="173"/>
      <c r="AP21" s="173"/>
      <c r="AQ21" s="173"/>
      <c r="AR21" s="173"/>
      <c r="AS21" s="173"/>
      <c r="AT21" s="173"/>
      <c r="AU21" s="173"/>
      <c r="AV21" s="173"/>
      <c r="AW21" s="173"/>
    </row>
    <row r="22" spans="2:49" ht="15.95" customHeight="1">
      <c r="B22" s="173"/>
      <c r="C22" s="173"/>
      <c r="D22" s="173"/>
      <c r="E22" s="173"/>
      <c r="F22" s="173"/>
      <c r="G22" s="173"/>
      <c r="H22" s="173"/>
      <c r="I22" s="173"/>
      <c r="J22" s="173"/>
      <c r="K22" s="173"/>
      <c r="L22" s="173"/>
      <c r="M22" s="173"/>
      <c r="N22" s="173"/>
      <c r="O22" s="173"/>
      <c r="P22" s="173"/>
      <c r="Q22" s="173"/>
      <c r="R22" s="173"/>
      <c r="S22" s="173"/>
      <c r="T22" s="173"/>
      <c r="U22" s="173"/>
      <c r="V22" s="173"/>
      <c r="W22" s="173"/>
      <c r="X22" s="173"/>
      <c r="Y22" s="173"/>
      <c r="Z22" s="173"/>
      <c r="AA22" s="173" t="s">
        <v>66</v>
      </c>
      <c r="AB22" s="173" t="s">
        <v>66</v>
      </c>
      <c r="AC22" s="173" t="s">
        <v>66</v>
      </c>
      <c r="AD22" s="174" t="s">
        <v>247</v>
      </c>
      <c r="AE22" s="176" t="s">
        <v>251</v>
      </c>
      <c r="AF22" s="173"/>
      <c r="AG22" s="173"/>
      <c r="AH22" s="173"/>
      <c r="AI22" s="173"/>
      <c r="AJ22" s="173"/>
      <c r="AK22" s="173"/>
      <c r="AL22" s="173"/>
      <c r="AM22" s="173"/>
      <c r="AN22" s="173"/>
      <c r="AO22" s="173"/>
      <c r="AP22" s="177"/>
      <c r="AQ22" s="173"/>
      <c r="AR22" s="173"/>
      <c r="AS22" s="173"/>
      <c r="AT22" s="173"/>
      <c r="AU22" s="173"/>
      <c r="AV22" s="173"/>
      <c r="AW22" s="173"/>
    </row>
    <row r="23" spans="2:49" ht="13.5" customHeight="1">
      <c r="B23" s="8"/>
      <c r="C23" s="8"/>
      <c r="D23" s="8"/>
      <c r="E23" s="8"/>
      <c r="F23" s="8"/>
      <c r="G23" s="8"/>
      <c r="H23" s="8"/>
      <c r="I23" s="8"/>
      <c r="J23" s="8"/>
      <c r="K23" s="8"/>
      <c r="L23" s="8"/>
      <c r="M23" s="8"/>
      <c r="N23" s="8"/>
      <c r="O23" s="8"/>
      <c r="P23" s="8"/>
      <c r="Q23" s="8"/>
      <c r="R23" s="173" t="s">
        <v>66</v>
      </c>
      <c r="S23" s="8"/>
      <c r="T23" s="8"/>
      <c r="U23" s="8"/>
      <c r="V23" s="8"/>
      <c r="W23" s="8"/>
      <c r="X23" s="8"/>
      <c r="Y23" s="8"/>
      <c r="Z23" s="8"/>
      <c r="AA23" s="8"/>
      <c r="AB23" s="8"/>
      <c r="AC23" s="8"/>
      <c r="AD23" s="174" t="s">
        <v>248</v>
      </c>
      <c r="AE23" s="176" t="s">
        <v>251</v>
      </c>
      <c r="AF23" s="173"/>
      <c r="AG23" s="173"/>
      <c r="AH23" s="173"/>
      <c r="AI23" s="173"/>
      <c r="AJ23" s="173"/>
      <c r="AK23" s="173"/>
      <c r="AL23" s="173"/>
      <c r="AM23" s="173"/>
      <c r="AN23" s="173"/>
      <c r="AO23" s="173"/>
      <c r="AP23" s="173"/>
      <c r="AQ23" s="173"/>
      <c r="AR23" s="173"/>
      <c r="AS23" s="173"/>
      <c r="AT23" s="173"/>
      <c r="AU23" s="173"/>
      <c r="AV23" s="173"/>
      <c r="AW23" s="173"/>
    </row>
    <row r="24" spans="2:49">
      <c r="B24" s="8"/>
      <c r="C24" s="8"/>
      <c r="D24" s="8"/>
      <c r="E24" s="8"/>
      <c r="F24" s="8"/>
      <c r="G24" s="8"/>
      <c r="H24" s="8"/>
      <c r="I24" s="8"/>
      <c r="J24" s="8"/>
      <c r="K24" s="8"/>
      <c r="L24" s="8"/>
      <c r="M24" s="8"/>
      <c r="N24" s="8"/>
      <c r="O24" s="8"/>
      <c r="P24" s="8"/>
      <c r="Q24" s="8"/>
      <c r="R24" s="8"/>
      <c r="S24" s="8"/>
      <c r="T24" s="8"/>
      <c r="U24" s="173" t="s">
        <v>66</v>
      </c>
      <c r="V24" s="173" t="s">
        <v>66</v>
      </c>
      <c r="W24" s="8"/>
      <c r="X24" s="8"/>
      <c r="Y24" s="8"/>
      <c r="Z24" s="8"/>
      <c r="AA24" s="8"/>
      <c r="AB24" s="8"/>
      <c r="AC24" s="8"/>
      <c r="AD24" s="174" t="s">
        <v>249</v>
      </c>
      <c r="AE24" s="176" t="s">
        <v>67</v>
      </c>
      <c r="AF24" s="173"/>
      <c r="AG24" s="173"/>
      <c r="AH24" s="173"/>
      <c r="AI24" s="173"/>
      <c r="AJ24" s="173"/>
      <c r="AK24" s="173"/>
      <c r="AL24" s="173"/>
      <c r="AM24" s="173"/>
      <c r="AN24" s="173"/>
      <c r="AO24" s="173"/>
      <c r="AP24" s="173"/>
      <c r="AQ24" s="173"/>
      <c r="AR24" s="173"/>
      <c r="AS24" s="173"/>
      <c r="AT24" s="173"/>
      <c r="AU24" s="173" t="s">
        <v>66</v>
      </c>
      <c r="AV24" s="173" t="s">
        <v>66</v>
      </c>
      <c r="AW24" s="173"/>
    </row>
    <row r="25" spans="2:49">
      <c r="B25" s="8"/>
      <c r="C25" s="8"/>
      <c r="D25" s="8"/>
      <c r="E25" s="8"/>
      <c r="F25" s="8"/>
      <c r="G25" s="8"/>
      <c r="H25" s="8"/>
      <c r="I25" s="8"/>
      <c r="J25" s="8"/>
      <c r="K25" s="8"/>
      <c r="L25" s="8"/>
      <c r="M25" s="8"/>
      <c r="N25" s="8"/>
      <c r="O25" s="8"/>
      <c r="P25" s="8"/>
      <c r="Q25" s="8"/>
      <c r="R25" s="8"/>
      <c r="S25" s="8"/>
      <c r="T25" s="8"/>
      <c r="U25" s="8"/>
      <c r="V25" s="8"/>
      <c r="W25" s="8"/>
      <c r="X25" s="173" t="s">
        <v>66</v>
      </c>
      <c r="Y25" s="8"/>
      <c r="Z25" s="8"/>
      <c r="AA25" s="8"/>
      <c r="AB25" s="8"/>
      <c r="AC25" s="8"/>
      <c r="AD25" s="174" t="s">
        <v>250</v>
      </c>
      <c r="AE25" s="176" t="s">
        <v>251</v>
      </c>
      <c r="AF25" s="173"/>
      <c r="AG25" s="173"/>
      <c r="AH25" s="173"/>
      <c r="AI25" s="173"/>
      <c r="AJ25" s="173"/>
      <c r="AK25" s="173"/>
      <c r="AL25" s="173"/>
      <c r="AM25" s="173"/>
      <c r="AN25" s="173"/>
      <c r="AO25" s="173"/>
      <c r="AP25" s="173"/>
      <c r="AQ25" s="173"/>
      <c r="AR25" s="173"/>
      <c r="AS25" s="173"/>
      <c r="AT25" s="173"/>
      <c r="AU25" s="173"/>
      <c r="AV25" s="173"/>
      <c r="AW25" s="173"/>
    </row>
  </sheetData>
  <mergeCells count="29">
    <mergeCell ref="AU6:AV6"/>
    <mergeCell ref="AD4:AD7"/>
    <mergeCell ref="AE4:AE7"/>
    <mergeCell ref="AF4:AW4"/>
    <mergeCell ref="AF5:AN5"/>
    <mergeCell ref="AF6:AG6"/>
    <mergeCell ref="AH6:AI6"/>
    <mergeCell ref="AJ6:AL6"/>
    <mergeCell ref="AM6:AN6"/>
    <mergeCell ref="AO6:AP6"/>
    <mergeCell ref="AQ6:AR6"/>
    <mergeCell ref="AS6:AT6"/>
    <mergeCell ref="AO5:AW5"/>
    <mergeCell ref="C2:F2"/>
    <mergeCell ref="B6:C6"/>
    <mergeCell ref="D6:E6"/>
    <mergeCell ref="F6:G6"/>
    <mergeCell ref="H6:J6"/>
    <mergeCell ref="B4:AC4"/>
    <mergeCell ref="M6:N6"/>
    <mergeCell ref="O6:Q6"/>
    <mergeCell ref="R6:T6"/>
    <mergeCell ref="U6:X6"/>
    <mergeCell ref="B5:J5"/>
    <mergeCell ref="K5:T5"/>
    <mergeCell ref="U5:AC5"/>
    <mergeCell ref="K6:L6"/>
    <mergeCell ref="Y6:Z6"/>
    <mergeCell ref="AA6:AC6"/>
  </mergeCells>
  <dataValidations count="1">
    <dataValidation type="list" allowBlank="1" showInputMessage="1" showErrorMessage="1" sqref="AE8:AE18">
      <formula1>"Non, Semestre 3, Semestre 4, Semestre 5"</formula1>
    </dataValidation>
  </dataValidation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3"/>
  </sheetPr>
  <dimension ref="B2:D18"/>
  <sheetViews>
    <sheetView topLeftCell="A4" workbookViewId="0">
      <selection activeCell="F12" sqref="F12"/>
    </sheetView>
  </sheetViews>
  <sheetFormatPr baseColWidth="10" defaultColWidth="8.85546875" defaultRowHeight="15"/>
  <cols>
    <col min="1" max="1" width="8.85546875" style="1"/>
    <col min="2" max="2" width="49" style="1" customWidth="1"/>
    <col min="3" max="3" width="19.42578125" style="1" customWidth="1"/>
    <col min="4" max="4" width="22.140625" style="1" customWidth="1"/>
    <col min="5" max="16384" width="8.85546875" style="1"/>
  </cols>
  <sheetData>
    <row r="2" spans="2:4" ht="60" customHeight="1">
      <c r="B2" s="289" t="s">
        <v>644</v>
      </c>
      <c r="C2" s="289"/>
      <c r="D2" s="289"/>
    </row>
    <row r="3" spans="2:4">
      <c r="B3" s="3" t="s">
        <v>1</v>
      </c>
      <c r="C3" s="288" t="s">
        <v>646</v>
      </c>
      <c r="D3" s="288"/>
    </row>
    <row r="5" spans="2:4">
      <c r="B5" s="134" t="s">
        <v>112</v>
      </c>
      <c r="C5" s="134"/>
      <c r="D5" s="134"/>
    </row>
    <row r="6" spans="2:4" ht="22.5" customHeight="1">
      <c r="B6" s="135" t="s">
        <v>21</v>
      </c>
      <c r="C6" s="136" t="s">
        <v>22</v>
      </c>
      <c r="D6" s="136" t="s">
        <v>645</v>
      </c>
    </row>
    <row r="7" spans="2:4">
      <c r="B7" s="17" t="s">
        <v>703</v>
      </c>
      <c r="C7" s="137">
        <v>21</v>
      </c>
      <c r="D7" s="7" t="s">
        <v>656</v>
      </c>
    </row>
    <row r="8" spans="2:4">
      <c r="B8" s="17" t="s">
        <v>687</v>
      </c>
      <c r="C8" s="137">
        <v>21</v>
      </c>
      <c r="D8" s="7" t="s">
        <v>656</v>
      </c>
    </row>
    <row r="9" spans="2:4">
      <c r="B9" s="17" t="s">
        <v>647</v>
      </c>
      <c r="C9" s="137">
        <v>21</v>
      </c>
      <c r="D9" s="7" t="s">
        <v>67</v>
      </c>
    </row>
    <row r="10" spans="2:4">
      <c r="B10" s="17" t="s">
        <v>648</v>
      </c>
      <c r="C10" s="137">
        <v>21</v>
      </c>
      <c r="D10" s="7" t="s">
        <v>67</v>
      </c>
    </row>
    <row r="11" spans="2:4">
      <c r="B11" s="17" t="s">
        <v>649</v>
      </c>
      <c r="C11" s="137">
        <v>21</v>
      </c>
      <c r="D11" s="7" t="s">
        <v>67</v>
      </c>
    </row>
    <row r="12" spans="2:4">
      <c r="B12" s="17" t="s">
        <v>650</v>
      </c>
      <c r="C12" s="137">
        <v>21</v>
      </c>
      <c r="D12" s="7" t="s">
        <v>67</v>
      </c>
    </row>
    <row r="13" spans="2:4">
      <c r="B13" s="17" t="s">
        <v>651</v>
      </c>
      <c r="C13" s="137">
        <v>21</v>
      </c>
      <c r="D13" s="7" t="s">
        <v>67</v>
      </c>
    </row>
    <row r="14" spans="2:4">
      <c r="B14" s="17" t="s">
        <v>652</v>
      </c>
      <c r="C14" s="137">
        <v>21</v>
      </c>
      <c r="D14" s="7" t="s">
        <v>67</v>
      </c>
    </row>
    <row r="15" spans="2:4">
      <c r="B15" s="17" t="s">
        <v>653</v>
      </c>
      <c r="C15" s="137">
        <v>21</v>
      </c>
      <c r="D15" s="7" t="s">
        <v>67</v>
      </c>
    </row>
    <row r="16" spans="2:4">
      <c r="B16" s="17" t="s">
        <v>654</v>
      </c>
      <c r="C16" s="137">
        <v>21</v>
      </c>
      <c r="D16" s="7" t="s">
        <v>67</v>
      </c>
    </row>
    <row r="17" spans="2:4">
      <c r="B17" s="17" t="s">
        <v>363</v>
      </c>
      <c r="C17" s="137">
        <v>21</v>
      </c>
      <c r="D17" s="7" t="s">
        <v>67</v>
      </c>
    </row>
    <row r="18" spans="2:4">
      <c r="B18" s="138" t="s">
        <v>655</v>
      </c>
      <c r="C18" s="137">
        <v>21</v>
      </c>
      <c r="D18" s="7" t="s">
        <v>67</v>
      </c>
    </row>
  </sheetData>
  <mergeCells count="2">
    <mergeCell ref="C3:D3"/>
    <mergeCell ref="B2:D2"/>
  </mergeCells>
  <conditionalFormatting sqref="B18">
    <cfRule type="colorScale" priority="1">
      <colorScale>
        <cfvo type="num" val="0"/>
        <cfvo type="num" val="0"/>
        <color rgb="FFFF0000"/>
        <color rgb="FF00B050"/>
      </colorScale>
    </cfRule>
  </conditionalFormatting>
  <dataValidations count="1">
    <dataValidation type="list" allowBlank="1" showInputMessage="1" showErrorMessage="1" sqref="D7:D18">
      <formula1>"Oui, Non"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C000"/>
  </sheetPr>
  <dimension ref="B2:C16"/>
  <sheetViews>
    <sheetView workbookViewId="0">
      <selection activeCell="C12" sqref="C12"/>
    </sheetView>
  </sheetViews>
  <sheetFormatPr baseColWidth="10" defaultColWidth="8.85546875" defaultRowHeight="15"/>
  <cols>
    <col min="1" max="1" width="8.85546875" style="1"/>
    <col min="2" max="2" width="32.140625" style="1" customWidth="1"/>
    <col min="3" max="3" width="50.140625" style="1" customWidth="1"/>
    <col min="4" max="16384" width="8.85546875" style="1"/>
  </cols>
  <sheetData>
    <row r="2" spans="2:3">
      <c r="B2" s="3" t="s">
        <v>1</v>
      </c>
      <c r="C2" s="40" t="s">
        <v>79</v>
      </c>
    </row>
    <row r="4" spans="2:3">
      <c r="B4" s="290" t="s">
        <v>75</v>
      </c>
      <c r="C4" s="290"/>
    </row>
    <row r="5" spans="2:3">
      <c r="B5" s="53" t="s">
        <v>78</v>
      </c>
      <c r="C5" s="53" t="s">
        <v>19</v>
      </c>
    </row>
    <row r="6" spans="2:3">
      <c r="B6" s="259" t="s">
        <v>182</v>
      </c>
      <c r="C6" s="17" t="s">
        <v>176</v>
      </c>
    </row>
    <row r="7" spans="2:3">
      <c r="B7" s="259"/>
      <c r="C7" s="17" t="s">
        <v>177</v>
      </c>
    </row>
    <row r="8" spans="2:3">
      <c r="B8" s="259" t="s">
        <v>23</v>
      </c>
      <c r="C8" s="17" t="s">
        <v>23</v>
      </c>
    </row>
    <row r="9" spans="2:3">
      <c r="B9" s="259"/>
      <c r="C9" s="17" t="s">
        <v>109</v>
      </c>
    </row>
    <row r="10" spans="2:3">
      <c r="B10" s="259" t="s">
        <v>24</v>
      </c>
      <c r="C10" s="17" t="s">
        <v>24</v>
      </c>
    </row>
    <row r="11" spans="2:3">
      <c r="B11" s="259"/>
      <c r="C11" s="17" t="s">
        <v>110</v>
      </c>
    </row>
    <row r="12" spans="2:3">
      <c r="B12" s="259" t="s">
        <v>183</v>
      </c>
      <c r="C12" s="17" t="s">
        <v>178</v>
      </c>
    </row>
    <row r="13" spans="2:3">
      <c r="B13" s="259"/>
      <c r="C13" s="17" t="s">
        <v>179</v>
      </c>
    </row>
    <row r="14" spans="2:3">
      <c r="B14" s="259"/>
      <c r="C14" s="17" t="s">
        <v>180</v>
      </c>
    </row>
    <row r="15" spans="2:3">
      <c r="B15" s="259" t="s">
        <v>111</v>
      </c>
      <c r="C15" s="17" t="s">
        <v>737</v>
      </c>
    </row>
    <row r="16" spans="2:3">
      <c r="B16" s="259"/>
      <c r="C16" s="17" t="s">
        <v>65</v>
      </c>
    </row>
  </sheetData>
  <mergeCells count="6">
    <mergeCell ref="B15:B16"/>
    <mergeCell ref="B6:B7"/>
    <mergeCell ref="B4:C4"/>
    <mergeCell ref="B8:B9"/>
    <mergeCell ref="B10:B11"/>
    <mergeCell ref="B12:B1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sheetPr>
  <dimension ref="B1:F50"/>
  <sheetViews>
    <sheetView workbookViewId="0">
      <selection activeCell="B1" sqref="B1"/>
    </sheetView>
  </sheetViews>
  <sheetFormatPr baseColWidth="10" defaultColWidth="8.85546875" defaultRowHeight="15"/>
  <cols>
    <col min="1" max="1" width="2.85546875" style="1" customWidth="1"/>
    <col min="2" max="2" width="29.42578125" style="1" customWidth="1"/>
    <col min="3" max="3" width="15.5703125" style="1" customWidth="1"/>
    <col min="4" max="4" width="11.85546875" style="1" customWidth="1"/>
    <col min="5" max="5" width="7" style="1" customWidth="1"/>
    <col min="6" max="6" width="26.5703125" style="1" customWidth="1"/>
    <col min="7" max="16384" width="8.85546875" style="1"/>
  </cols>
  <sheetData>
    <row r="1" spans="2:6">
      <c r="B1" s="192" t="s">
        <v>783</v>
      </c>
    </row>
    <row r="2" spans="2:6" ht="15.75">
      <c r="B2" s="54" t="s">
        <v>252</v>
      </c>
      <c r="C2" s="55"/>
      <c r="D2" s="55"/>
      <c r="E2" s="55"/>
      <c r="F2" s="55"/>
    </row>
    <row r="3" spans="2:6" ht="15.75">
      <c r="B3" s="56"/>
      <c r="C3" s="56"/>
      <c r="D3" s="56"/>
      <c r="E3" s="56"/>
      <c r="F3" s="56"/>
    </row>
    <row r="4" spans="2:6" ht="15.75">
      <c r="B4" s="57" t="s">
        <v>253</v>
      </c>
      <c r="C4" s="291" t="s">
        <v>311</v>
      </c>
      <c r="D4" s="291"/>
      <c r="E4" s="291"/>
      <c r="F4" s="291"/>
    </row>
    <row r="5" spans="2:6" ht="15.6" customHeight="1">
      <c r="B5" s="58" t="s">
        <v>255</v>
      </c>
      <c r="C5" s="292" t="s">
        <v>256</v>
      </c>
      <c r="D5" s="292"/>
      <c r="E5" s="292"/>
      <c r="F5" s="292"/>
    </row>
    <row r="6" spans="2:6" ht="15.75">
      <c r="B6" s="57" t="s">
        <v>257</v>
      </c>
      <c r="C6" s="291" t="s">
        <v>258</v>
      </c>
      <c r="D6" s="291"/>
      <c r="E6" s="291"/>
      <c r="F6" s="291"/>
    </row>
    <row r="7" spans="2:6" ht="15.75">
      <c r="B7" s="57" t="s">
        <v>259</v>
      </c>
      <c r="C7" s="291" t="s">
        <v>260</v>
      </c>
      <c r="D7" s="291"/>
      <c r="E7" s="291"/>
      <c r="F7" s="291"/>
    </row>
    <row r="8" spans="2:6" ht="15.75">
      <c r="B8" s="57" t="s">
        <v>261</v>
      </c>
      <c r="C8" s="291" t="s">
        <v>262</v>
      </c>
      <c r="D8" s="291"/>
      <c r="E8" s="291"/>
      <c r="F8" s="291"/>
    </row>
    <row r="9" spans="2:6" ht="15.75">
      <c r="B9" s="57" t="s">
        <v>263</v>
      </c>
      <c r="C9" s="291">
        <v>3</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c r="C13" s="300"/>
      <c r="D13" s="291" t="s">
        <v>310</v>
      </c>
      <c r="E13" s="291"/>
      <c r="F13" s="291"/>
    </row>
    <row r="14" spans="2:6" ht="15.75">
      <c r="B14" s="56"/>
      <c r="C14" s="56"/>
      <c r="D14" s="56"/>
      <c r="E14" s="56"/>
      <c r="F14" s="56"/>
    </row>
    <row r="15" spans="2:6" ht="15.75">
      <c r="B15" s="59" t="s">
        <v>267</v>
      </c>
      <c r="C15" s="59" t="s">
        <v>268</v>
      </c>
      <c r="D15" s="59" t="s">
        <v>269</v>
      </c>
      <c r="E15" s="59" t="s">
        <v>270</v>
      </c>
      <c r="F15" s="59" t="s">
        <v>271</v>
      </c>
    </row>
    <row r="16" spans="2:6">
      <c r="B16" s="301" t="s">
        <v>176</v>
      </c>
      <c r="C16" s="303">
        <v>21</v>
      </c>
      <c r="D16" s="303">
        <v>2</v>
      </c>
      <c r="E16" s="303">
        <v>2</v>
      </c>
      <c r="F16" s="303" t="s">
        <v>272</v>
      </c>
    </row>
    <row r="17" spans="2:6">
      <c r="B17" s="302"/>
      <c r="C17" s="304"/>
      <c r="D17" s="304"/>
      <c r="E17" s="304"/>
      <c r="F17" s="304"/>
    </row>
    <row r="18" spans="2:6" ht="15.75">
      <c r="B18" s="305" t="s">
        <v>273</v>
      </c>
      <c r="C18" s="306"/>
      <c r="D18" s="306"/>
      <c r="E18" s="306"/>
      <c r="F18" s="307"/>
    </row>
    <row r="19" spans="2:6" ht="47.45" customHeight="1">
      <c r="B19" s="308" t="s">
        <v>274</v>
      </c>
      <c r="C19" s="294"/>
      <c r="D19" s="294"/>
      <c r="E19" s="294"/>
      <c r="F19" s="295"/>
    </row>
    <row r="20" spans="2:6" ht="15.75">
      <c r="B20" s="305" t="s">
        <v>275</v>
      </c>
      <c r="C20" s="306"/>
      <c r="D20" s="306"/>
      <c r="E20" s="306"/>
      <c r="F20" s="307"/>
    </row>
    <row r="21" spans="2:6" ht="62.1" customHeight="1">
      <c r="B21" s="308" t="s">
        <v>276</v>
      </c>
      <c r="C21" s="294"/>
      <c r="D21" s="294"/>
      <c r="E21" s="294"/>
      <c r="F21" s="295"/>
    </row>
    <row r="22" spans="2:6" ht="15.75">
      <c r="B22" s="56"/>
      <c r="C22" s="56"/>
      <c r="D22" s="56"/>
      <c r="E22" s="56"/>
      <c r="F22" s="56"/>
    </row>
    <row r="23" spans="2:6" ht="15.75">
      <c r="B23" s="305" t="s">
        <v>277</v>
      </c>
      <c r="C23" s="306"/>
      <c r="D23" s="306"/>
      <c r="E23" s="306"/>
      <c r="F23" s="307"/>
    </row>
    <row r="24" spans="2:6" ht="15.75">
      <c r="B24" s="293" t="s">
        <v>278</v>
      </c>
      <c r="C24" s="294"/>
      <c r="D24" s="294"/>
      <c r="E24" s="294"/>
      <c r="F24" s="295"/>
    </row>
    <row r="25" spans="2:6" ht="15.75">
      <c r="B25" s="56"/>
      <c r="C25" s="56"/>
      <c r="D25" s="56"/>
      <c r="E25" s="56"/>
      <c r="F25" s="56"/>
    </row>
    <row r="26" spans="2:6" ht="15.75">
      <c r="B26" s="305" t="s">
        <v>279</v>
      </c>
      <c r="C26" s="306"/>
      <c r="D26" s="306"/>
      <c r="E26" s="306"/>
      <c r="F26" s="307"/>
    </row>
    <row r="27" spans="2:6" ht="15.75">
      <c r="B27" s="309" t="s">
        <v>280</v>
      </c>
      <c r="C27" s="310"/>
      <c r="D27" s="310"/>
      <c r="E27" s="310"/>
      <c r="F27" s="311"/>
    </row>
    <row r="28" spans="2:6" ht="15.75">
      <c r="B28" s="309" t="s">
        <v>281</v>
      </c>
      <c r="C28" s="310"/>
      <c r="D28" s="310"/>
      <c r="E28" s="310"/>
      <c r="F28" s="311"/>
    </row>
    <row r="29" spans="2:6" ht="15.75">
      <c r="B29" s="309" t="s">
        <v>282</v>
      </c>
      <c r="C29" s="310"/>
      <c r="D29" s="310"/>
      <c r="E29" s="310"/>
      <c r="F29" s="311"/>
    </row>
    <row r="30" spans="2:6" ht="15.75">
      <c r="B30" s="309" t="s">
        <v>283</v>
      </c>
      <c r="C30" s="310"/>
      <c r="D30" s="310"/>
      <c r="E30" s="310"/>
      <c r="F30" s="311"/>
    </row>
    <row r="31" spans="2:6" ht="15.75">
      <c r="B31" s="56"/>
      <c r="C31" s="56"/>
      <c r="D31" s="56"/>
      <c r="E31" s="56"/>
      <c r="F31" s="56"/>
    </row>
    <row r="32" spans="2:6" ht="15.75">
      <c r="B32" s="305" t="s">
        <v>284</v>
      </c>
      <c r="C32" s="306"/>
      <c r="D32" s="306"/>
      <c r="E32" s="306"/>
      <c r="F32" s="307"/>
    </row>
    <row r="33" spans="2:6" ht="203.45" customHeight="1">
      <c r="B33" s="312" t="s">
        <v>295</v>
      </c>
      <c r="C33" s="294"/>
      <c r="D33" s="294"/>
      <c r="E33" s="294"/>
      <c r="F33" s="295"/>
    </row>
    <row r="34" spans="2:6" ht="15.75">
      <c r="B34" s="60"/>
      <c r="C34" s="61"/>
      <c r="D34" s="61"/>
      <c r="E34" s="61"/>
      <c r="F34" s="61"/>
    </row>
    <row r="35" spans="2:6" ht="15.75">
      <c r="B35" s="305" t="s">
        <v>297</v>
      </c>
      <c r="C35" s="306"/>
      <c r="D35" s="306"/>
      <c r="E35" s="306"/>
      <c r="F35" s="307"/>
    </row>
    <row r="36" spans="2:6" ht="15.75">
      <c r="B36" s="293" t="s">
        <v>285</v>
      </c>
      <c r="C36" s="294"/>
      <c r="D36" s="294"/>
      <c r="E36" s="294"/>
      <c r="F36" s="295"/>
    </row>
    <row r="37" spans="2:6" ht="15.75">
      <c r="B37" s="293" t="s">
        <v>286</v>
      </c>
      <c r="C37" s="294"/>
      <c r="D37" s="294"/>
      <c r="E37" s="294"/>
      <c r="F37" s="295"/>
    </row>
    <row r="38" spans="2:6" ht="15.75">
      <c r="B38" s="293" t="s">
        <v>296</v>
      </c>
      <c r="C38" s="294"/>
      <c r="D38" s="294"/>
      <c r="E38" s="294"/>
      <c r="F38" s="295"/>
    </row>
    <row r="39" spans="2:6" ht="15.75">
      <c r="B39" s="56"/>
      <c r="C39" s="56"/>
      <c r="D39" s="56"/>
      <c r="E39" s="56"/>
      <c r="F39" s="56"/>
    </row>
    <row r="40" spans="2:6" ht="15.75">
      <c r="B40" s="305" t="s">
        <v>287</v>
      </c>
      <c r="C40" s="306"/>
      <c r="D40" s="306"/>
      <c r="E40" s="306"/>
      <c r="F40" s="307"/>
    </row>
    <row r="41" spans="2:6" ht="15.75">
      <c r="B41" s="293" t="s">
        <v>288</v>
      </c>
      <c r="C41" s="294"/>
      <c r="D41" s="294"/>
      <c r="E41" s="294"/>
      <c r="F41" s="295"/>
    </row>
    <row r="42" spans="2:6" ht="15.75">
      <c r="B42" s="56"/>
      <c r="C42" s="56"/>
      <c r="D42" s="56"/>
      <c r="E42" s="56"/>
      <c r="F42" s="56"/>
    </row>
    <row r="43" spans="2:6" ht="31.5" customHeight="1">
      <c r="B43" s="313" t="s">
        <v>289</v>
      </c>
      <c r="C43" s="314"/>
      <c r="D43" s="314"/>
      <c r="E43" s="314"/>
      <c r="F43" s="315"/>
    </row>
    <row r="44" spans="2:6" ht="15.75">
      <c r="B44" s="62" t="s">
        <v>290</v>
      </c>
      <c r="C44" s="62" t="s">
        <v>291</v>
      </c>
      <c r="D44" s="305" t="s">
        <v>292</v>
      </c>
      <c r="E44" s="306"/>
      <c r="F44" s="307"/>
    </row>
    <row r="45" spans="2:6" ht="15.75">
      <c r="B45" s="63"/>
      <c r="C45" s="63"/>
      <c r="D45" s="316"/>
      <c r="E45" s="317"/>
      <c r="F45" s="318"/>
    </row>
    <row r="46" spans="2:6" ht="15.75">
      <c r="B46" s="63"/>
      <c r="C46" s="63"/>
      <c r="D46" s="316"/>
      <c r="E46" s="317"/>
      <c r="F46" s="318"/>
    </row>
    <row r="47" spans="2:6" ht="15.75">
      <c r="B47" s="64"/>
      <c r="C47" s="64"/>
      <c r="D47" s="316"/>
      <c r="E47" s="317"/>
      <c r="F47" s="318"/>
    </row>
    <row r="48" spans="2:6" ht="15.75">
      <c r="B48" s="56"/>
      <c r="C48" s="56"/>
      <c r="D48" s="56"/>
      <c r="E48" s="56"/>
      <c r="F48" s="56"/>
    </row>
    <row r="49" spans="2:6" ht="15.75">
      <c r="B49" s="305" t="s">
        <v>293</v>
      </c>
      <c r="C49" s="306"/>
      <c r="D49" s="306"/>
      <c r="E49" s="306"/>
      <c r="F49" s="307"/>
    </row>
    <row r="50" spans="2:6" ht="125.45" customHeight="1">
      <c r="B50" s="308" t="s">
        <v>294</v>
      </c>
      <c r="C50" s="294"/>
      <c r="D50" s="294"/>
      <c r="E50" s="294"/>
      <c r="F50" s="295"/>
    </row>
  </sheetData>
  <mergeCells count="42">
    <mergeCell ref="B49:F49"/>
    <mergeCell ref="B50:F50"/>
    <mergeCell ref="B41:F41"/>
    <mergeCell ref="B43:F43"/>
    <mergeCell ref="D44:F44"/>
    <mergeCell ref="D45:F45"/>
    <mergeCell ref="D46:F46"/>
    <mergeCell ref="D47:F47"/>
    <mergeCell ref="B40:F40"/>
    <mergeCell ref="B26:F26"/>
    <mergeCell ref="B27:F27"/>
    <mergeCell ref="B28:F28"/>
    <mergeCell ref="B29:F29"/>
    <mergeCell ref="B30:F30"/>
    <mergeCell ref="B32:F32"/>
    <mergeCell ref="B33:F33"/>
    <mergeCell ref="B35:F35"/>
    <mergeCell ref="B36:F36"/>
    <mergeCell ref="B37:F37"/>
    <mergeCell ref="B38:F38"/>
    <mergeCell ref="B24:F24"/>
    <mergeCell ref="B11:F11"/>
    <mergeCell ref="B12:C12"/>
    <mergeCell ref="D12:F12"/>
    <mergeCell ref="B13:C13"/>
    <mergeCell ref="D13:F13"/>
    <mergeCell ref="B16:B17"/>
    <mergeCell ref="C16:C17"/>
    <mergeCell ref="D16:D17"/>
    <mergeCell ref="E16:E17"/>
    <mergeCell ref="F16:F17"/>
    <mergeCell ref="B18:F18"/>
    <mergeCell ref="B19:F19"/>
    <mergeCell ref="B20:F20"/>
    <mergeCell ref="B21:F21"/>
    <mergeCell ref="B23:F23"/>
    <mergeCell ref="C9:F9"/>
    <mergeCell ref="C4:F4"/>
    <mergeCell ref="C5:F5"/>
    <mergeCell ref="C6:F6"/>
    <mergeCell ref="C7:F7"/>
    <mergeCell ref="C8:F8"/>
  </mergeCells>
  <dataValidations count="2">
    <dataValidation type="list" allowBlank="1" showInputMessage="1" showErrorMessage="1" sqref="C45:C47">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7" display="Schéma d'enseignement"/>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sheetPr>
  <dimension ref="B1:F50"/>
  <sheetViews>
    <sheetView zoomScaleNormal="100" workbookViewId="0">
      <selection activeCell="B1" sqref="B1"/>
    </sheetView>
  </sheetViews>
  <sheetFormatPr baseColWidth="10" defaultColWidth="8.85546875" defaultRowHeight="15"/>
  <cols>
    <col min="1" max="1" width="2.8554687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c r="B1" s="192" t="s">
        <v>783</v>
      </c>
    </row>
    <row r="2" spans="2:6" ht="15.75">
      <c r="B2" s="54" t="s">
        <v>252</v>
      </c>
      <c r="C2" s="55"/>
      <c r="D2" s="55"/>
      <c r="E2" s="55"/>
      <c r="F2" s="55"/>
    </row>
    <row r="3" spans="2:6" ht="15.75">
      <c r="B3" s="56"/>
      <c r="C3" s="56"/>
      <c r="D3" s="56"/>
      <c r="E3" s="56"/>
      <c r="F3" s="56"/>
    </row>
    <row r="4" spans="2:6" ht="15.75">
      <c r="B4" s="57" t="s">
        <v>253</v>
      </c>
      <c r="C4" s="291" t="s">
        <v>311</v>
      </c>
      <c r="D4" s="291"/>
      <c r="E4" s="291"/>
      <c r="F4" s="291"/>
    </row>
    <row r="5" spans="2:6" ht="15.6" customHeight="1">
      <c r="B5" s="58" t="s">
        <v>255</v>
      </c>
      <c r="C5" s="292" t="s">
        <v>256</v>
      </c>
      <c r="D5" s="292"/>
      <c r="E5" s="292"/>
      <c r="F5" s="292"/>
    </row>
    <row r="6" spans="2:6" ht="15.75">
      <c r="B6" s="57" t="s">
        <v>257</v>
      </c>
      <c r="C6" s="291" t="s">
        <v>258</v>
      </c>
      <c r="D6" s="291"/>
      <c r="E6" s="291"/>
      <c r="F6" s="291"/>
    </row>
    <row r="7" spans="2:6" ht="15.75">
      <c r="B7" s="57" t="s">
        <v>259</v>
      </c>
      <c r="C7" s="291" t="s">
        <v>260</v>
      </c>
      <c r="D7" s="291"/>
      <c r="E7" s="291"/>
      <c r="F7" s="291"/>
    </row>
    <row r="8" spans="2:6" ht="15.75">
      <c r="B8" s="57" t="s">
        <v>261</v>
      </c>
      <c r="C8" s="291" t="s">
        <v>298</v>
      </c>
      <c r="D8" s="291"/>
      <c r="E8" s="291"/>
      <c r="F8" s="291"/>
    </row>
    <row r="9" spans="2:6" ht="15.75">
      <c r="B9" s="57" t="s">
        <v>263</v>
      </c>
      <c r="C9" s="291" t="s">
        <v>299</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t="s">
        <v>300</v>
      </c>
      <c r="C13" s="300"/>
      <c r="D13" s="291" t="s">
        <v>301</v>
      </c>
      <c r="E13" s="291"/>
      <c r="F13" s="291"/>
    </row>
    <row r="14" spans="2:6" ht="15.75">
      <c r="B14" s="56"/>
      <c r="C14" s="56"/>
      <c r="D14" s="56"/>
      <c r="E14" s="56"/>
      <c r="F14" s="56"/>
    </row>
    <row r="15" spans="2:6" ht="15.75">
      <c r="B15" s="59" t="s">
        <v>267</v>
      </c>
      <c r="C15" s="59" t="s">
        <v>268</v>
      </c>
      <c r="D15" s="59" t="s">
        <v>269</v>
      </c>
      <c r="E15" s="59" t="s">
        <v>270</v>
      </c>
      <c r="F15" s="59" t="s">
        <v>271</v>
      </c>
    </row>
    <row r="16" spans="2:6" ht="31.5">
      <c r="B16" s="26" t="s">
        <v>302</v>
      </c>
      <c r="C16" s="21">
        <v>21</v>
      </c>
      <c r="D16" s="21">
        <v>2</v>
      </c>
      <c r="E16" s="21">
        <v>2</v>
      </c>
      <c r="F16" s="21" t="s">
        <v>272</v>
      </c>
    </row>
    <row r="17" spans="2:6" ht="15.75">
      <c r="B17" s="74"/>
      <c r="C17" s="75"/>
      <c r="D17" s="75"/>
      <c r="E17" s="75"/>
      <c r="F17" s="75"/>
    </row>
    <row r="18" spans="2:6" ht="15.75">
      <c r="B18" s="305" t="s">
        <v>273</v>
      </c>
      <c r="C18" s="306"/>
      <c r="D18" s="306"/>
      <c r="E18" s="306"/>
      <c r="F18" s="307"/>
    </row>
    <row r="19" spans="2:6" ht="53.1" customHeight="1">
      <c r="B19" s="308" t="s">
        <v>303</v>
      </c>
      <c r="C19" s="294"/>
      <c r="D19" s="294"/>
      <c r="E19" s="294"/>
      <c r="F19" s="295"/>
    </row>
    <row r="20" spans="2:6" ht="15.75">
      <c r="B20" s="305"/>
      <c r="C20" s="306"/>
      <c r="D20" s="306"/>
      <c r="E20" s="306"/>
      <c r="F20" s="307"/>
    </row>
    <row r="21" spans="2:6" ht="93.6" customHeight="1">
      <c r="B21" s="312" t="s">
        <v>312</v>
      </c>
      <c r="C21" s="294"/>
      <c r="D21" s="294"/>
      <c r="E21" s="294"/>
      <c r="F21" s="295"/>
    </row>
    <row r="22" spans="2:6" ht="15.75">
      <c r="B22" s="56"/>
      <c r="C22" s="56"/>
      <c r="D22" s="56"/>
      <c r="E22" s="56"/>
      <c r="F22" s="56"/>
    </row>
    <row r="23" spans="2:6" ht="15.75">
      <c r="B23" s="305" t="s">
        <v>277</v>
      </c>
      <c r="C23" s="306"/>
      <c r="D23" s="306"/>
      <c r="E23" s="306"/>
      <c r="F23" s="307"/>
    </row>
    <row r="24" spans="2:6" ht="15.75">
      <c r="B24" s="293" t="s">
        <v>304</v>
      </c>
      <c r="C24" s="294"/>
      <c r="D24" s="294"/>
      <c r="E24" s="294"/>
      <c r="F24" s="295"/>
    </row>
    <row r="25" spans="2:6" ht="15.75">
      <c r="B25" s="56"/>
      <c r="C25" s="56"/>
      <c r="D25" s="56"/>
      <c r="E25" s="56"/>
      <c r="F25" s="56"/>
    </row>
    <row r="26" spans="2:6" ht="15.75">
      <c r="B26" s="305" t="s">
        <v>279</v>
      </c>
      <c r="C26" s="306"/>
      <c r="D26" s="306"/>
      <c r="E26" s="306"/>
      <c r="F26" s="307"/>
    </row>
    <row r="27" spans="2:6" ht="15.75">
      <c r="B27" s="319" t="s">
        <v>305</v>
      </c>
      <c r="C27" s="320"/>
      <c r="D27" s="320"/>
      <c r="E27" s="320"/>
      <c r="F27" s="321"/>
    </row>
    <row r="28" spans="2:6" ht="15.75">
      <c r="B28" s="319" t="s">
        <v>281</v>
      </c>
      <c r="C28" s="320"/>
      <c r="D28" s="320"/>
      <c r="E28" s="320"/>
      <c r="F28" s="321"/>
    </row>
    <row r="29" spans="2:6" ht="15.75">
      <c r="B29" s="319" t="s">
        <v>282</v>
      </c>
      <c r="C29" s="320"/>
      <c r="D29" s="320"/>
      <c r="E29" s="320"/>
      <c r="F29" s="321"/>
    </row>
    <row r="30" spans="2:6" ht="15.75">
      <c r="B30" s="319" t="s">
        <v>283</v>
      </c>
      <c r="C30" s="320"/>
      <c r="D30" s="320"/>
      <c r="E30" s="320"/>
      <c r="F30" s="321"/>
    </row>
    <row r="31" spans="2:6" ht="15.75">
      <c r="B31" s="56"/>
      <c r="C31" s="56"/>
      <c r="D31" s="56"/>
      <c r="E31" s="56"/>
      <c r="F31" s="56"/>
    </row>
    <row r="32" spans="2:6" ht="15.75">
      <c r="B32" s="305" t="s">
        <v>284</v>
      </c>
      <c r="C32" s="306"/>
      <c r="D32" s="306"/>
      <c r="E32" s="306"/>
      <c r="F32" s="307"/>
    </row>
    <row r="33" spans="2:6" ht="345.95" customHeight="1">
      <c r="B33" s="312" t="s">
        <v>313</v>
      </c>
      <c r="C33" s="294"/>
      <c r="D33" s="294"/>
      <c r="E33" s="294"/>
      <c r="F33" s="295"/>
    </row>
    <row r="34" spans="2:6" ht="15.75">
      <c r="B34" s="60"/>
      <c r="C34" s="61"/>
      <c r="D34" s="61"/>
      <c r="E34" s="61"/>
      <c r="F34" s="61"/>
    </row>
    <row r="35" spans="2:6" ht="15.75">
      <c r="B35" s="305" t="s">
        <v>324</v>
      </c>
      <c r="C35" s="306"/>
      <c r="D35" s="306"/>
      <c r="E35" s="306"/>
      <c r="F35" s="307"/>
    </row>
    <row r="36" spans="2:6" ht="15.75">
      <c r="B36" s="322" t="s">
        <v>306</v>
      </c>
      <c r="C36" s="323"/>
      <c r="D36" s="323"/>
      <c r="E36" s="323"/>
      <c r="F36" s="324"/>
    </row>
    <row r="37" spans="2:6" ht="15.75">
      <c r="B37" s="322" t="s">
        <v>307</v>
      </c>
      <c r="C37" s="323"/>
      <c r="D37" s="323"/>
      <c r="E37" s="323"/>
      <c r="F37" s="324"/>
    </row>
    <row r="38" spans="2:6" ht="15.75">
      <c r="B38" s="322" t="s">
        <v>308</v>
      </c>
      <c r="C38" s="323"/>
      <c r="D38" s="323"/>
      <c r="E38" s="323"/>
      <c r="F38" s="324"/>
    </row>
    <row r="39" spans="2:6" ht="15.75">
      <c r="B39" s="56"/>
      <c r="C39" s="56"/>
      <c r="D39" s="56"/>
      <c r="E39" s="56"/>
      <c r="F39" s="56"/>
    </row>
    <row r="40" spans="2:6" ht="15.75">
      <c r="B40" s="305" t="s">
        <v>287</v>
      </c>
      <c r="C40" s="306"/>
      <c r="D40" s="306"/>
      <c r="E40" s="306"/>
      <c r="F40" s="307"/>
    </row>
    <row r="41" spans="2:6" ht="15.75">
      <c r="B41" s="293" t="s">
        <v>309</v>
      </c>
      <c r="C41" s="294"/>
      <c r="D41" s="294"/>
      <c r="E41" s="294"/>
      <c r="F41" s="295"/>
    </row>
    <row r="42" spans="2:6" ht="15.75">
      <c r="B42" s="56"/>
      <c r="C42" s="56"/>
      <c r="D42" s="56"/>
      <c r="E42" s="56"/>
      <c r="F42" s="56"/>
    </row>
    <row r="43" spans="2:6" ht="30.6" customHeight="1">
      <c r="B43" s="313" t="s">
        <v>289</v>
      </c>
      <c r="C43" s="314"/>
      <c r="D43" s="314"/>
      <c r="E43" s="314"/>
      <c r="F43" s="315"/>
    </row>
    <row r="44" spans="2:6" ht="15.75">
      <c r="B44" s="62" t="s">
        <v>290</v>
      </c>
      <c r="C44" s="62" t="s">
        <v>291</v>
      </c>
      <c r="D44" s="305" t="s">
        <v>292</v>
      </c>
      <c r="E44" s="306"/>
      <c r="F44" s="307"/>
    </row>
    <row r="45" spans="2:6" ht="15.75">
      <c r="B45" s="63"/>
      <c r="C45" s="63"/>
      <c r="D45" s="316"/>
      <c r="E45" s="317"/>
      <c r="F45" s="318"/>
    </row>
    <row r="46" spans="2:6" ht="15.75">
      <c r="B46" s="63"/>
      <c r="C46" s="63"/>
      <c r="D46" s="316"/>
      <c r="E46" s="317"/>
      <c r="F46" s="318"/>
    </row>
    <row r="47" spans="2:6" ht="15.75">
      <c r="B47" s="64"/>
      <c r="C47" s="64"/>
      <c r="D47" s="316"/>
      <c r="E47" s="317"/>
      <c r="F47" s="318"/>
    </row>
    <row r="48" spans="2:6" ht="15.75">
      <c r="B48" s="56"/>
      <c r="C48" s="56"/>
      <c r="D48" s="56"/>
      <c r="E48" s="56"/>
      <c r="F48" s="56"/>
    </row>
    <row r="49" spans="2:6" ht="15.75">
      <c r="B49" s="305" t="s">
        <v>293</v>
      </c>
      <c r="C49" s="306"/>
      <c r="D49" s="306"/>
      <c r="E49" s="306"/>
      <c r="F49" s="307"/>
    </row>
    <row r="50" spans="2:6" ht="145.5" customHeight="1">
      <c r="B50" s="308" t="s">
        <v>314</v>
      </c>
      <c r="C50" s="294"/>
      <c r="D50" s="294"/>
      <c r="E50" s="294"/>
      <c r="F50" s="295"/>
    </row>
  </sheetData>
  <mergeCells count="37">
    <mergeCell ref="B50:F50"/>
    <mergeCell ref="B36:F36"/>
    <mergeCell ref="B37:F37"/>
    <mergeCell ref="B38:F38"/>
    <mergeCell ref="B40:F40"/>
    <mergeCell ref="B41:F41"/>
    <mergeCell ref="B43:F43"/>
    <mergeCell ref="D44:F44"/>
    <mergeCell ref="D45:F45"/>
    <mergeCell ref="D46:F46"/>
    <mergeCell ref="D47:F47"/>
    <mergeCell ref="B49:F49"/>
    <mergeCell ref="B32:F32"/>
    <mergeCell ref="B33:F33"/>
    <mergeCell ref="B35:F35"/>
    <mergeCell ref="B27:F27"/>
    <mergeCell ref="B28:F28"/>
    <mergeCell ref="B29:F29"/>
    <mergeCell ref="B30:F30"/>
    <mergeCell ref="B26:F26"/>
    <mergeCell ref="B11:F11"/>
    <mergeCell ref="B12:C12"/>
    <mergeCell ref="D12:F12"/>
    <mergeCell ref="B13:C13"/>
    <mergeCell ref="D13:F13"/>
    <mergeCell ref="B18:F18"/>
    <mergeCell ref="B19:F19"/>
    <mergeCell ref="B20:F20"/>
    <mergeCell ref="B21:F21"/>
    <mergeCell ref="B23:F23"/>
    <mergeCell ref="B24:F24"/>
    <mergeCell ref="C9:F9"/>
    <mergeCell ref="C4:F4"/>
    <mergeCell ref="C5:F5"/>
    <mergeCell ref="C6:F6"/>
    <mergeCell ref="C7:F7"/>
    <mergeCell ref="C8:F8"/>
  </mergeCells>
  <dataValidations count="2">
    <dataValidation type="list" allowBlank="1" showInputMessage="1" showErrorMessage="1" sqref="C45:C47">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8" display="Schéma d'enseignement"/>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sheetPr>
  <dimension ref="B1:F82"/>
  <sheetViews>
    <sheetView workbookViewId="0">
      <selection activeCell="B1" sqref="B1"/>
    </sheetView>
  </sheetViews>
  <sheetFormatPr baseColWidth="10" defaultColWidth="8.85546875" defaultRowHeight="15"/>
  <cols>
    <col min="1" max="1" width="2.5703125" style="1" customWidth="1"/>
    <col min="2" max="2" width="38.140625" style="1" customWidth="1"/>
    <col min="3" max="3" width="16.85546875" style="1" customWidth="1"/>
    <col min="4" max="4" width="11.85546875" style="1" customWidth="1"/>
    <col min="5" max="5" width="7" style="1" customWidth="1"/>
    <col min="6" max="6" width="21.85546875" style="1" customWidth="1"/>
    <col min="7" max="16384" width="8.85546875" style="1"/>
  </cols>
  <sheetData>
    <row r="1" spans="2:6">
      <c r="B1" s="192" t="s">
        <v>783</v>
      </c>
    </row>
    <row r="2" spans="2:6" ht="15.75">
      <c r="B2" s="54" t="s">
        <v>252</v>
      </c>
      <c r="C2" s="55"/>
      <c r="D2" s="55"/>
      <c r="E2" s="55"/>
      <c r="F2" s="55"/>
    </row>
    <row r="3" spans="2:6" ht="15.75">
      <c r="B3" s="56"/>
      <c r="C3" s="56"/>
      <c r="D3" s="56"/>
      <c r="E3" s="56"/>
      <c r="F3" s="56"/>
    </row>
    <row r="4" spans="2:6" ht="15.75">
      <c r="B4" s="57" t="s">
        <v>253</v>
      </c>
      <c r="C4" s="291" t="s">
        <v>311</v>
      </c>
      <c r="D4" s="291"/>
      <c r="E4" s="291"/>
      <c r="F4" s="291"/>
    </row>
    <row r="5" spans="2:6" ht="15.6" customHeight="1">
      <c r="B5" s="58" t="s">
        <v>255</v>
      </c>
      <c r="C5" s="292" t="s">
        <v>256</v>
      </c>
      <c r="D5" s="292"/>
      <c r="E5" s="292"/>
      <c r="F5" s="292"/>
    </row>
    <row r="6" spans="2:6" ht="15.75">
      <c r="B6" s="57" t="s">
        <v>257</v>
      </c>
      <c r="C6" s="291" t="s">
        <v>258</v>
      </c>
      <c r="D6" s="291"/>
      <c r="E6" s="291"/>
      <c r="F6" s="291"/>
    </row>
    <row r="7" spans="2:6" ht="15.75">
      <c r="B7" s="57" t="s">
        <v>259</v>
      </c>
      <c r="C7" s="291" t="s">
        <v>260</v>
      </c>
      <c r="D7" s="291"/>
      <c r="E7" s="291"/>
      <c r="F7" s="291"/>
    </row>
    <row r="8" spans="2:6" ht="15.75">
      <c r="B8" s="57" t="s">
        <v>261</v>
      </c>
      <c r="C8" s="291" t="s">
        <v>23</v>
      </c>
      <c r="D8" s="291"/>
      <c r="E8" s="291"/>
      <c r="F8" s="291"/>
    </row>
    <row r="9" spans="2:6" ht="15.75">
      <c r="B9" s="57" t="s">
        <v>263</v>
      </c>
      <c r="C9" s="291" t="s">
        <v>33</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v>43201</v>
      </c>
      <c r="C13" s="300"/>
      <c r="D13" s="291" t="s">
        <v>310</v>
      </c>
      <c r="E13" s="291"/>
      <c r="F13" s="291"/>
    </row>
    <row r="14" spans="2:6" ht="15.75">
      <c r="B14" s="56"/>
      <c r="C14" s="56"/>
      <c r="D14" s="56"/>
      <c r="E14" s="56"/>
      <c r="F14" s="56"/>
    </row>
    <row r="15" spans="2:6" ht="15.75">
      <c r="B15" s="59" t="s">
        <v>267</v>
      </c>
      <c r="C15" s="59" t="s">
        <v>268</v>
      </c>
      <c r="D15" s="59" t="s">
        <v>269</v>
      </c>
      <c r="E15" s="59" t="s">
        <v>270</v>
      </c>
      <c r="F15" s="62" t="s">
        <v>271</v>
      </c>
    </row>
    <row r="16" spans="2:6" ht="15.75">
      <c r="B16" s="26" t="s">
        <v>315</v>
      </c>
      <c r="C16" s="21">
        <v>42</v>
      </c>
      <c r="D16" s="21">
        <v>3</v>
      </c>
      <c r="E16" s="21">
        <v>3</v>
      </c>
      <c r="F16" s="21" t="s">
        <v>272</v>
      </c>
    </row>
    <row r="17" spans="2:6" ht="15.75">
      <c r="B17" s="74"/>
      <c r="C17" s="75"/>
      <c r="D17" s="75"/>
      <c r="E17" s="75"/>
      <c r="F17" s="75"/>
    </row>
    <row r="18" spans="2:6" ht="15.75">
      <c r="B18" s="305" t="s">
        <v>273</v>
      </c>
      <c r="C18" s="306"/>
      <c r="D18" s="306"/>
      <c r="E18" s="306"/>
      <c r="F18" s="307"/>
    </row>
    <row r="19" spans="2:6">
      <c r="B19" s="325" t="s">
        <v>316</v>
      </c>
      <c r="C19" s="326"/>
      <c r="D19" s="326"/>
      <c r="E19" s="326"/>
      <c r="F19" s="327"/>
    </row>
    <row r="20" spans="2:6">
      <c r="B20" s="328"/>
      <c r="C20" s="329"/>
      <c r="D20" s="329"/>
      <c r="E20" s="329"/>
      <c r="F20" s="330"/>
    </row>
    <row r="21" spans="2:6" ht="15.75">
      <c r="B21" s="305" t="s">
        <v>275</v>
      </c>
      <c r="C21" s="306"/>
      <c r="D21" s="306"/>
      <c r="E21" s="306"/>
      <c r="F21" s="307"/>
    </row>
    <row r="22" spans="2:6">
      <c r="B22" s="325" t="s">
        <v>317</v>
      </c>
      <c r="C22" s="331"/>
      <c r="D22" s="331"/>
      <c r="E22" s="331"/>
      <c r="F22" s="332"/>
    </row>
    <row r="23" spans="2:6">
      <c r="B23" s="333"/>
      <c r="C23" s="334"/>
      <c r="D23" s="334"/>
      <c r="E23" s="334"/>
      <c r="F23" s="335"/>
    </row>
    <row r="24" spans="2:6">
      <c r="B24" s="333"/>
      <c r="C24" s="334"/>
      <c r="D24" s="334"/>
      <c r="E24" s="334"/>
      <c r="F24" s="335"/>
    </row>
    <row r="25" spans="2:6">
      <c r="B25" s="333"/>
      <c r="C25" s="334"/>
      <c r="D25" s="334"/>
      <c r="E25" s="334"/>
      <c r="F25" s="335"/>
    </row>
    <row r="26" spans="2:6">
      <c r="B26" s="333"/>
      <c r="C26" s="334"/>
      <c r="D26" s="334"/>
      <c r="E26" s="334"/>
      <c r="F26" s="335"/>
    </row>
    <row r="27" spans="2:6">
      <c r="B27" s="333"/>
      <c r="C27" s="334"/>
      <c r="D27" s="334"/>
      <c r="E27" s="334"/>
      <c r="F27" s="335"/>
    </row>
    <row r="28" spans="2:6">
      <c r="B28" s="336"/>
      <c r="C28" s="337"/>
      <c r="D28" s="337"/>
      <c r="E28" s="337"/>
      <c r="F28" s="338"/>
    </row>
    <row r="29" spans="2:6" ht="15.75">
      <c r="B29" s="56"/>
      <c r="C29" s="56"/>
      <c r="D29" s="56"/>
      <c r="E29" s="56"/>
      <c r="F29" s="56"/>
    </row>
    <row r="30" spans="2:6" ht="15.75">
      <c r="B30" s="57" t="s">
        <v>277</v>
      </c>
      <c r="C30" s="86"/>
      <c r="D30" s="86"/>
      <c r="E30" s="86"/>
      <c r="F30" s="87"/>
    </row>
    <row r="31" spans="2:6" ht="15.75">
      <c r="B31" s="88" t="s">
        <v>318</v>
      </c>
      <c r="C31" s="89"/>
      <c r="D31" s="89"/>
      <c r="E31" s="89"/>
      <c r="F31" s="90"/>
    </row>
    <row r="32" spans="2:6" ht="15.75">
      <c r="B32" s="91"/>
      <c r="C32" s="92"/>
      <c r="D32" s="92"/>
      <c r="E32" s="92"/>
      <c r="F32" s="93"/>
    </row>
    <row r="33" spans="2:6" ht="15.75">
      <c r="B33" s="56"/>
      <c r="C33" s="56"/>
      <c r="D33" s="56"/>
      <c r="E33" s="56"/>
      <c r="F33" s="56"/>
    </row>
    <row r="34" spans="2:6" ht="15.75">
      <c r="B34" s="305" t="s">
        <v>279</v>
      </c>
      <c r="C34" s="306"/>
      <c r="D34" s="306"/>
      <c r="E34" s="306"/>
      <c r="F34" s="307"/>
    </row>
    <row r="35" spans="2:6" ht="15.75">
      <c r="B35" s="309" t="s">
        <v>157</v>
      </c>
      <c r="C35" s="310"/>
      <c r="D35" s="310"/>
      <c r="E35" s="310"/>
      <c r="F35" s="311"/>
    </row>
    <row r="36" spans="2:6" ht="15.75">
      <c r="B36" s="79" t="s">
        <v>166</v>
      </c>
      <c r="C36" s="96"/>
      <c r="D36" s="96"/>
      <c r="E36" s="96"/>
      <c r="F36" s="97"/>
    </row>
    <row r="37" spans="2:6" ht="15.75">
      <c r="B37" s="56"/>
      <c r="C37" s="56"/>
      <c r="D37" s="56"/>
      <c r="E37" s="56"/>
      <c r="F37" s="56"/>
    </row>
    <row r="38" spans="2:6" ht="15.75">
      <c r="B38" s="305" t="s">
        <v>284</v>
      </c>
      <c r="C38" s="306"/>
      <c r="D38" s="306"/>
      <c r="E38" s="306"/>
      <c r="F38" s="307"/>
    </row>
    <row r="39" spans="2:6">
      <c r="B39" s="340" t="s">
        <v>319</v>
      </c>
      <c r="C39" s="341"/>
      <c r="D39" s="341"/>
      <c r="E39" s="341"/>
      <c r="F39" s="342"/>
    </row>
    <row r="40" spans="2:6">
      <c r="B40" s="343"/>
      <c r="C40" s="344"/>
      <c r="D40" s="344"/>
      <c r="E40" s="344"/>
      <c r="F40" s="345"/>
    </row>
    <row r="41" spans="2:6">
      <c r="B41" s="343"/>
      <c r="C41" s="344"/>
      <c r="D41" s="344"/>
      <c r="E41" s="344"/>
      <c r="F41" s="345"/>
    </row>
    <row r="42" spans="2:6">
      <c r="B42" s="343"/>
      <c r="C42" s="344"/>
      <c r="D42" s="344"/>
      <c r="E42" s="344"/>
      <c r="F42" s="345"/>
    </row>
    <row r="43" spans="2:6">
      <c r="B43" s="343"/>
      <c r="C43" s="344"/>
      <c r="D43" s="344"/>
      <c r="E43" s="344"/>
      <c r="F43" s="345"/>
    </row>
    <row r="44" spans="2:6">
      <c r="B44" s="343"/>
      <c r="C44" s="344"/>
      <c r="D44" s="344"/>
      <c r="E44" s="344"/>
      <c r="F44" s="345"/>
    </row>
    <row r="45" spans="2:6">
      <c r="B45" s="343"/>
      <c r="C45" s="344"/>
      <c r="D45" s="344"/>
      <c r="E45" s="344"/>
      <c r="F45" s="345"/>
    </row>
    <row r="46" spans="2:6">
      <c r="B46" s="343"/>
      <c r="C46" s="344"/>
      <c r="D46" s="344"/>
      <c r="E46" s="344"/>
      <c r="F46" s="345"/>
    </row>
    <row r="47" spans="2:6">
      <c r="B47" s="343"/>
      <c r="C47" s="344"/>
      <c r="D47" s="344"/>
      <c r="E47" s="344"/>
      <c r="F47" s="345"/>
    </row>
    <row r="48" spans="2:6">
      <c r="B48" s="343"/>
      <c r="C48" s="344"/>
      <c r="D48" s="344"/>
      <c r="E48" s="344"/>
      <c r="F48" s="345"/>
    </row>
    <row r="49" spans="2:6">
      <c r="B49" s="343"/>
      <c r="C49" s="344"/>
      <c r="D49" s="344"/>
      <c r="E49" s="344"/>
      <c r="F49" s="345"/>
    </row>
    <row r="50" spans="2:6">
      <c r="B50" s="343"/>
      <c r="C50" s="344"/>
      <c r="D50" s="344"/>
      <c r="E50" s="344"/>
      <c r="F50" s="345"/>
    </row>
    <row r="51" spans="2:6">
      <c r="B51" s="343"/>
      <c r="C51" s="344"/>
      <c r="D51" s="344"/>
      <c r="E51" s="344"/>
      <c r="F51" s="345"/>
    </row>
    <row r="52" spans="2:6">
      <c r="B52" s="343"/>
      <c r="C52" s="344"/>
      <c r="D52" s="344"/>
      <c r="E52" s="344"/>
      <c r="F52" s="345"/>
    </row>
    <row r="53" spans="2:6">
      <c r="B53" s="343"/>
      <c r="C53" s="344"/>
      <c r="D53" s="344"/>
      <c r="E53" s="344"/>
      <c r="F53" s="345"/>
    </row>
    <row r="54" spans="2:6">
      <c r="B54" s="343"/>
      <c r="C54" s="344"/>
      <c r="D54" s="344"/>
      <c r="E54" s="344"/>
      <c r="F54" s="345"/>
    </row>
    <row r="55" spans="2:6">
      <c r="B55" s="343"/>
      <c r="C55" s="344"/>
      <c r="D55" s="344"/>
      <c r="E55" s="344"/>
      <c r="F55" s="345"/>
    </row>
    <row r="56" spans="2:6">
      <c r="B56" s="343"/>
      <c r="C56" s="344"/>
      <c r="D56" s="344"/>
      <c r="E56" s="344"/>
      <c r="F56" s="345"/>
    </row>
    <row r="57" spans="2:6">
      <c r="B57" s="343"/>
      <c r="C57" s="344"/>
      <c r="D57" s="344"/>
      <c r="E57" s="344"/>
      <c r="F57" s="345"/>
    </row>
    <row r="58" spans="2:6">
      <c r="B58" s="343"/>
      <c r="C58" s="344"/>
      <c r="D58" s="344"/>
      <c r="E58" s="344"/>
      <c r="F58" s="345"/>
    </row>
    <row r="59" spans="2:6">
      <c r="B59" s="343"/>
      <c r="C59" s="344"/>
      <c r="D59" s="344"/>
      <c r="E59" s="344"/>
      <c r="F59" s="345"/>
    </row>
    <row r="60" spans="2:6">
      <c r="B60" s="343"/>
      <c r="C60" s="344"/>
      <c r="D60" s="344"/>
      <c r="E60" s="344"/>
      <c r="F60" s="345"/>
    </row>
    <row r="61" spans="2:6">
      <c r="B61" s="343"/>
      <c r="C61" s="344"/>
      <c r="D61" s="344"/>
      <c r="E61" s="344"/>
      <c r="F61" s="345"/>
    </row>
    <row r="62" spans="2:6">
      <c r="B62" s="343"/>
      <c r="C62" s="344"/>
      <c r="D62" s="344"/>
      <c r="E62" s="344"/>
      <c r="F62" s="345"/>
    </row>
    <row r="63" spans="2:6">
      <c r="B63" s="343"/>
      <c r="C63" s="344"/>
      <c r="D63" s="344"/>
      <c r="E63" s="344"/>
      <c r="F63" s="345"/>
    </row>
    <row r="64" spans="2:6">
      <c r="B64" s="343"/>
      <c r="C64" s="344"/>
      <c r="D64" s="344"/>
      <c r="E64" s="344"/>
      <c r="F64" s="345"/>
    </row>
    <row r="65" spans="2:6">
      <c r="B65" s="343"/>
      <c r="C65" s="344"/>
      <c r="D65" s="344"/>
      <c r="E65" s="344"/>
      <c r="F65" s="345"/>
    </row>
    <row r="66" spans="2:6">
      <c r="B66" s="346"/>
      <c r="C66" s="347"/>
      <c r="D66" s="347"/>
      <c r="E66" s="347"/>
      <c r="F66" s="348"/>
    </row>
    <row r="67" spans="2:6" ht="15.75">
      <c r="B67" s="56"/>
      <c r="C67" s="56"/>
      <c r="D67" s="56"/>
      <c r="E67" s="56"/>
      <c r="F67" s="56"/>
    </row>
    <row r="68" spans="2:6" ht="15.75">
      <c r="B68" s="65" t="s">
        <v>297</v>
      </c>
      <c r="C68" s="66"/>
      <c r="D68" s="66"/>
      <c r="E68" s="66"/>
      <c r="F68" s="67"/>
    </row>
    <row r="69" spans="2:6" ht="15.75">
      <c r="B69" s="100" t="s">
        <v>320</v>
      </c>
      <c r="C69" s="101"/>
      <c r="D69" s="101"/>
      <c r="E69" s="101"/>
      <c r="F69" s="101"/>
    </row>
    <row r="70" spans="2:6" ht="15.75">
      <c r="B70" s="100" t="s">
        <v>321</v>
      </c>
      <c r="C70" s="101"/>
      <c r="D70" s="101"/>
      <c r="E70" s="101"/>
      <c r="F70" s="101"/>
    </row>
    <row r="71" spans="2:6" ht="15.75">
      <c r="B71" s="56"/>
      <c r="C71" s="56"/>
      <c r="D71" s="56"/>
      <c r="E71" s="56"/>
      <c r="F71" s="56"/>
    </row>
    <row r="72" spans="2:6" ht="15.75">
      <c r="B72" s="65" t="s">
        <v>287</v>
      </c>
      <c r="C72" s="66"/>
      <c r="D72" s="66"/>
      <c r="E72" s="66"/>
      <c r="F72" s="67"/>
    </row>
    <row r="73" spans="2:6" ht="32.1" customHeight="1">
      <c r="B73" s="308" t="s">
        <v>322</v>
      </c>
      <c r="C73" s="349"/>
      <c r="D73" s="349"/>
      <c r="E73" s="349"/>
      <c r="F73" s="350"/>
    </row>
    <row r="74" spans="2:6" ht="15.75">
      <c r="B74" s="56"/>
      <c r="C74" s="56"/>
      <c r="D74" s="56"/>
      <c r="E74" s="56"/>
      <c r="F74" s="56"/>
    </row>
    <row r="75" spans="2:6" ht="30.6" customHeight="1">
      <c r="B75" s="313" t="s">
        <v>289</v>
      </c>
      <c r="C75" s="314"/>
      <c r="D75" s="314"/>
      <c r="E75" s="314"/>
      <c r="F75" s="315"/>
    </row>
    <row r="76" spans="2:6" ht="15.75">
      <c r="B76" s="62" t="s">
        <v>290</v>
      </c>
      <c r="C76" s="62" t="s">
        <v>291</v>
      </c>
      <c r="D76" s="65" t="s">
        <v>292</v>
      </c>
      <c r="E76" s="66"/>
      <c r="F76" s="67"/>
    </row>
    <row r="77" spans="2:6" ht="15.75">
      <c r="B77" s="100"/>
      <c r="C77" s="63"/>
      <c r="D77" s="71"/>
      <c r="E77" s="72"/>
      <c r="F77" s="73"/>
    </row>
    <row r="78" spans="2:6" ht="15.75">
      <c r="B78" s="63"/>
      <c r="C78" s="63"/>
      <c r="D78" s="316"/>
      <c r="E78" s="317"/>
      <c r="F78" s="318"/>
    </row>
    <row r="79" spans="2:6" ht="15.75">
      <c r="B79" s="64"/>
      <c r="C79" s="64"/>
      <c r="D79" s="316"/>
      <c r="E79" s="317"/>
      <c r="F79" s="318"/>
    </row>
    <row r="80" spans="2:6" ht="15.75">
      <c r="B80" s="56"/>
      <c r="C80" s="56"/>
      <c r="D80" s="56"/>
      <c r="E80" s="56"/>
      <c r="F80" s="56"/>
    </row>
    <row r="81" spans="2:6" ht="15.75">
      <c r="B81" s="305" t="s">
        <v>293</v>
      </c>
      <c r="C81" s="306"/>
      <c r="D81" s="306"/>
      <c r="E81" s="306"/>
      <c r="F81" s="307"/>
    </row>
    <row r="82" spans="2:6" ht="75.95" customHeight="1">
      <c r="B82" s="339" t="s">
        <v>323</v>
      </c>
      <c r="C82" s="339"/>
      <c r="D82" s="339"/>
      <c r="E82" s="339"/>
      <c r="F82" s="339"/>
    </row>
  </sheetData>
  <mergeCells count="25">
    <mergeCell ref="B81:F81"/>
    <mergeCell ref="B75:F75"/>
    <mergeCell ref="B82:F82"/>
    <mergeCell ref="B35:F35"/>
    <mergeCell ref="B38:F38"/>
    <mergeCell ref="B39:F66"/>
    <mergeCell ref="B73:F73"/>
    <mergeCell ref="D78:F78"/>
    <mergeCell ref="D79:F79"/>
    <mergeCell ref="B18:F18"/>
    <mergeCell ref="B19:F20"/>
    <mergeCell ref="B21:F21"/>
    <mergeCell ref="B22:F28"/>
    <mergeCell ref="B34:F34"/>
    <mergeCell ref="B11:F11"/>
    <mergeCell ref="B12:C12"/>
    <mergeCell ref="D12:F12"/>
    <mergeCell ref="B13:C13"/>
    <mergeCell ref="D13:F13"/>
    <mergeCell ref="C9:F9"/>
    <mergeCell ref="C4:F4"/>
    <mergeCell ref="C5:F5"/>
    <mergeCell ref="C6:F6"/>
    <mergeCell ref="C7:F7"/>
    <mergeCell ref="C8:F8"/>
  </mergeCells>
  <dataValidations count="2">
    <dataValidation type="list" allowBlank="1" showInputMessage="1" showErrorMessage="1" sqref="C77:C79">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9" display="Schéma d'enseignement"/>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5"/>
  </sheetPr>
  <dimension ref="B1:F63"/>
  <sheetViews>
    <sheetView workbookViewId="0">
      <selection activeCell="B1" sqref="B1"/>
    </sheetView>
  </sheetViews>
  <sheetFormatPr baseColWidth="10" defaultColWidth="8.85546875" defaultRowHeight="15"/>
  <cols>
    <col min="1" max="1" width="3"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c r="B1" s="192" t="s">
        <v>783</v>
      </c>
    </row>
    <row r="2" spans="2:6" ht="15.75">
      <c r="B2" s="54" t="s">
        <v>252</v>
      </c>
      <c r="C2" s="55"/>
      <c r="D2" s="55"/>
      <c r="E2" s="55"/>
      <c r="F2" s="55"/>
    </row>
    <row r="3" spans="2:6" ht="15.75">
      <c r="B3" s="56"/>
      <c r="C3" s="56"/>
      <c r="D3" s="56"/>
      <c r="E3" s="56"/>
      <c r="F3" s="56"/>
    </row>
    <row r="4" spans="2:6" ht="15.75">
      <c r="B4" s="57" t="s">
        <v>253</v>
      </c>
      <c r="C4" s="291" t="s">
        <v>311</v>
      </c>
      <c r="D4" s="291"/>
      <c r="E4" s="291"/>
      <c r="F4" s="291"/>
    </row>
    <row r="5" spans="2:6" ht="15" customHeight="1">
      <c r="B5" s="58" t="s">
        <v>255</v>
      </c>
      <c r="C5" s="292" t="s">
        <v>256</v>
      </c>
      <c r="D5" s="292"/>
      <c r="E5" s="292"/>
      <c r="F5" s="292"/>
    </row>
    <row r="6" spans="2:6" ht="15.75">
      <c r="B6" s="57" t="s">
        <v>257</v>
      </c>
      <c r="C6" s="291" t="s">
        <v>258</v>
      </c>
      <c r="D6" s="291"/>
      <c r="E6" s="291"/>
      <c r="F6" s="291"/>
    </row>
    <row r="7" spans="2:6" ht="15.75">
      <c r="B7" s="57" t="s">
        <v>259</v>
      </c>
      <c r="C7" s="291" t="s">
        <v>260</v>
      </c>
      <c r="D7" s="291"/>
      <c r="E7" s="291"/>
      <c r="F7" s="291"/>
    </row>
    <row r="8" spans="2:6" ht="15.75">
      <c r="B8" s="57" t="s">
        <v>261</v>
      </c>
      <c r="C8" s="291" t="s">
        <v>23</v>
      </c>
      <c r="D8" s="291"/>
      <c r="E8" s="291"/>
      <c r="F8" s="291"/>
    </row>
    <row r="9" spans="2:6" ht="15.75">
      <c r="B9" s="57" t="s">
        <v>263</v>
      </c>
      <c r="C9" s="291" t="s">
        <v>33</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v>43201</v>
      </c>
      <c r="C13" s="300"/>
      <c r="D13" s="291" t="s">
        <v>310</v>
      </c>
      <c r="E13" s="291"/>
      <c r="F13" s="291"/>
    </row>
    <row r="14" spans="2:6" ht="15.75">
      <c r="B14" s="56"/>
      <c r="C14" s="56"/>
      <c r="D14" s="56"/>
      <c r="E14" s="56"/>
      <c r="F14" s="56"/>
    </row>
    <row r="15" spans="2:6" ht="15.75">
      <c r="B15" s="59" t="s">
        <v>267</v>
      </c>
      <c r="C15" s="59" t="s">
        <v>268</v>
      </c>
      <c r="D15" s="59" t="s">
        <v>269</v>
      </c>
      <c r="E15" s="59" t="s">
        <v>270</v>
      </c>
      <c r="F15" s="59" t="s">
        <v>271</v>
      </c>
    </row>
    <row r="16" spans="2:6" ht="13.5" customHeight="1">
      <c r="B16" s="26" t="s">
        <v>325</v>
      </c>
      <c r="C16" s="21">
        <v>21</v>
      </c>
      <c r="D16" s="21">
        <v>2</v>
      </c>
      <c r="E16" s="21">
        <v>2</v>
      </c>
      <c r="F16" s="21" t="s">
        <v>272</v>
      </c>
    </row>
    <row r="17" spans="2:6" ht="15.75">
      <c r="B17" s="74"/>
      <c r="C17" s="75"/>
      <c r="D17" s="75"/>
      <c r="E17" s="75"/>
      <c r="F17" s="75"/>
    </row>
    <row r="18" spans="2:6" ht="15.75">
      <c r="B18" s="305" t="s">
        <v>273</v>
      </c>
      <c r="C18" s="306"/>
      <c r="D18" s="306"/>
      <c r="E18" s="306"/>
      <c r="F18" s="307"/>
    </row>
    <row r="19" spans="2:6">
      <c r="B19" s="325" t="s">
        <v>326</v>
      </c>
      <c r="C19" s="326"/>
      <c r="D19" s="326"/>
      <c r="E19" s="326"/>
      <c r="F19" s="327"/>
    </row>
    <row r="20" spans="2:6" ht="17.45" customHeight="1">
      <c r="B20" s="328"/>
      <c r="C20" s="329"/>
      <c r="D20" s="329"/>
      <c r="E20" s="329"/>
      <c r="F20" s="330"/>
    </row>
    <row r="21" spans="2:6" ht="15.75">
      <c r="B21" s="305" t="s">
        <v>275</v>
      </c>
      <c r="C21" s="306"/>
      <c r="D21" s="306"/>
      <c r="E21" s="306"/>
      <c r="F21" s="307"/>
    </row>
    <row r="22" spans="2:6" ht="93.95" customHeight="1">
      <c r="B22" s="339" t="s">
        <v>327</v>
      </c>
      <c r="C22" s="339"/>
      <c r="D22" s="339"/>
      <c r="E22" s="339"/>
      <c r="F22" s="339"/>
    </row>
    <row r="23" spans="2:6" ht="15.75">
      <c r="B23" s="56"/>
      <c r="C23" s="56"/>
      <c r="D23" s="56"/>
      <c r="E23" s="56"/>
      <c r="F23" s="56"/>
    </row>
    <row r="24" spans="2:6" ht="15.75">
      <c r="B24" s="305" t="s">
        <v>277</v>
      </c>
      <c r="C24" s="306"/>
      <c r="D24" s="306"/>
      <c r="E24" s="306"/>
      <c r="F24" s="307"/>
    </row>
    <row r="25" spans="2:6" ht="30" customHeight="1">
      <c r="B25" s="308" t="s">
        <v>318</v>
      </c>
      <c r="C25" s="352"/>
      <c r="D25" s="352"/>
      <c r="E25" s="352"/>
      <c r="F25" s="353"/>
    </row>
    <row r="26" spans="2:6" ht="15.75">
      <c r="B26" s="56"/>
      <c r="C26" s="56"/>
      <c r="D26" s="56"/>
      <c r="E26" s="56"/>
      <c r="F26" s="56"/>
    </row>
    <row r="27" spans="2:6" ht="15.75">
      <c r="B27" s="305" t="s">
        <v>279</v>
      </c>
      <c r="C27" s="306"/>
      <c r="D27" s="306"/>
      <c r="E27" s="306"/>
      <c r="F27" s="307"/>
    </row>
    <row r="28" spans="2:6" ht="15.75">
      <c r="B28" s="351" t="s">
        <v>166</v>
      </c>
      <c r="C28" s="351"/>
      <c r="D28" s="351"/>
      <c r="E28" s="351"/>
      <c r="F28" s="351"/>
    </row>
    <row r="29" spans="2:6" ht="15.75">
      <c r="B29" s="351" t="s">
        <v>157</v>
      </c>
      <c r="C29" s="351"/>
      <c r="D29" s="351"/>
      <c r="E29" s="351"/>
      <c r="F29" s="351"/>
    </row>
    <row r="30" spans="2:6" ht="15.75">
      <c r="B30" s="56"/>
      <c r="C30" s="56"/>
      <c r="D30" s="56"/>
      <c r="E30" s="56"/>
      <c r="F30" s="56"/>
    </row>
    <row r="31" spans="2:6" ht="15.75">
      <c r="B31" s="65" t="s">
        <v>284</v>
      </c>
      <c r="C31" s="66"/>
      <c r="D31" s="66"/>
      <c r="E31" s="66"/>
      <c r="F31" s="67"/>
    </row>
    <row r="32" spans="2:6">
      <c r="B32" s="325" t="s">
        <v>328</v>
      </c>
      <c r="C32" s="354"/>
      <c r="D32" s="354"/>
      <c r="E32" s="354"/>
      <c r="F32" s="355"/>
    </row>
    <row r="33" spans="2:6">
      <c r="B33" s="356"/>
      <c r="C33" s="357"/>
      <c r="D33" s="357"/>
      <c r="E33" s="357"/>
      <c r="F33" s="358"/>
    </row>
    <row r="34" spans="2:6">
      <c r="B34" s="356"/>
      <c r="C34" s="357"/>
      <c r="D34" s="357"/>
      <c r="E34" s="357"/>
      <c r="F34" s="358"/>
    </row>
    <row r="35" spans="2:6">
      <c r="B35" s="356"/>
      <c r="C35" s="357"/>
      <c r="D35" s="357"/>
      <c r="E35" s="357"/>
      <c r="F35" s="358"/>
    </row>
    <row r="36" spans="2:6">
      <c r="B36" s="356"/>
      <c r="C36" s="357"/>
      <c r="D36" s="357"/>
      <c r="E36" s="357"/>
      <c r="F36" s="358"/>
    </row>
    <row r="37" spans="2:6">
      <c r="B37" s="356"/>
      <c r="C37" s="357"/>
      <c r="D37" s="357"/>
      <c r="E37" s="357"/>
      <c r="F37" s="358"/>
    </row>
    <row r="38" spans="2:6">
      <c r="B38" s="356"/>
      <c r="C38" s="357"/>
      <c r="D38" s="357"/>
      <c r="E38" s="357"/>
      <c r="F38" s="358"/>
    </row>
    <row r="39" spans="2:6">
      <c r="B39" s="356"/>
      <c r="C39" s="357"/>
      <c r="D39" s="357"/>
      <c r="E39" s="357"/>
      <c r="F39" s="358"/>
    </row>
    <row r="40" spans="2:6">
      <c r="B40" s="356"/>
      <c r="C40" s="357"/>
      <c r="D40" s="357"/>
      <c r="E40" s="357"/>
      <c r="F40" s="358"/>
    </row>
    <row r="41" spans="2:6">
      <c r="B41" s="356"/>
      <c r="C41" s="357"/>
      <c r="D41" s="357"/>
      <c r="E41" s="357"/>
      <c r="F41" s="358"/>
    </row>
    <row r="42" spans="2:6">
      <c r="B42" s="356"/>
      <c r="C42" s="357"/>
      <c r="D42" s="357"/>
      <c r="E42" s="357"/>
      <c r="F42" s="358"/>
    </row>
    <row r="43" spans="2:6">
      <c r="B43" s="356"/>
      <c r="C43" s="357"/>
      <c r="D43" s="357"/>
      <c r="E43" s="357"/>
      <c r="F43" s="358"/>
    </row>
    <row r="44" spans="2:6">
      <c r="B44" s="356"/>
      <c r="C44" s="357"/>
      <c r="D44" s="357"/>
      <c r="E44" s="357"/>
      <c r="F44" s="358"/>
    </row>
    <row r="45" spans="2:6">
      <c r="B45" s="356"/>
      <c r="C45" s="357"/>
      <c r="D45" s="357"/>
      <c r="E45" s="357"/>
      <c r="F45" s="358"/>
    </row>
    <row r="46" spans="2:6">
      <c r="B46" s="356"/>
      <c r="C46" s="357"/>
      <c r="D46" s="357"/>
      <c r="E46" s="357"/>
      <c r="F46" s="358"/>
    </row>
    <row r="47" spans="2:6">
      <c r="B47" s="359"/>
      <c r="C47" s="360"/>
      <c r="D47" s="360"/>
      <c r="E47" s="360"/>
      <c r="F47" s="361"/>
    </row>
    <row r="48" spans="2:6" ht="15.75">
      <c r="B48" s="99"/>
      <c r="C48" s="99"/>
      <c r="D48" s="99"/>
      <c r="E48" s="99"/>
      <c r="F48" s="99"/>
    </row>
    <row r="49" spans="2:6" ht="15.75">
      <c r="B49" s="65" t="s">
        <v>324</v>
      </c>
      <c r="C49" s="66"/>
      <c r="D49" s="66"/>
      <c r="E49" s="66"/>
      <c r="F49" s="67"/>
    </row>
    <row r="50" spans="2:6" ht="15.75">
      <c r="B50" s="308" t="s">
        <v>329</v>
      </c>
      <c r="C50" s="349"/>
      <c r="D50" s="349"/>
      <c r="E50" s="349"/>
      <c r="F50" s="350"/>
    </row>
    <row r="51" spans="2:6" ht="15.75">
      <c r="B51" s="308" t="s">
        <v>330</v>
      </c>
      <c r="C51" s="349"/>
      <c r="D51" s="349"/>
      <c r="E51" s="349"/>
      <c r="F51" s="350"/>
    </row>
    <row r="52" spans="2:6" ht="15.75">
      <c r="B52" s="100" t="s">
        <v>331</v>
      </c>
      <c r="C52" s="70"/>
      <c r="D52" s="68"/>
      <c r="E52" s="68"/>
      <c r="F52" s="69"/>
    </row>
    <row r="53" spans="2:6" ht="15.75">
      <c r="B53" s="65" t="s">
        <v>287</v>
      </c>
      <c r="C53" s="66"/>
      <c r="D53" s="66"/>
      <c r="E53" s="66"/>
      <c r="F53" s="67"/>
    </row>
    <row r="54" spans="2:6">
      <c r="B54" s="325" t="s">
        <v>322</v>
      </c>
      <c r="C54" s="326"/>
      <c r="D54" s="326"/>
      <c r="E54" s="326"/>
      <c r="F54" s="327"/>
    </row>
    <row r="55" spans="2:6" ht="21.6" customHeight="1">
      <c r="B55" s="328"/>
      <c r="C55" s="329"/>
      <c r="D55" s="329"/>
      <c r="E55" s="329"/>
      <c r="F55" s="330"/>
    </row>
    <row r="56" spans="2:6" ht="30.6" customHeight="1">
      <c r="B56" s="313" t="s">
        <v>289</v>
      </c>
      <c r="C56" s="314"/>
      <c r="D56" s="314"/>
      <c r="E56" s="314"/>
      <c r="F56" s="315"/>
    </row>
    <row r="57" spans="2:6" ht="15.75">
      <c r="B57" s="62" t="s">
        <v>290</v>
      </c>
      <c r="C57" s="62" t="s">
        <v>291</v>
      </c>
      <c r="D57" s="65" t="s">
        <v>292</v>
      </c>
      <c r="E57" s="66"/>
      <c r="F57" s="67"/>
    </row>
    <row r="58" spans="2:6" ht="15.75">
      <c r="B58" s="63"/>
      <c r="C58" s="63"/>
      <c r="D58" s="71"/>
      <c r="E58" s="72"/>
      <c r="F58" s="73"/>
    </row>
    <row r="59" spans="2:6" ht="15.75">
      <c r="B59" s="63"/>
      <c r="C59" s="63"/>
      <c r="D59" s="71"/>
      <c r="E59" s="72"/>
      <c r="F59" s="73"/>
    </row>
    <row r="60" spans="2:6" ht="15.75">
      <c r="B60" s="64"/>
      <c r="C60" s="64"/>
      <c r="D60" s="71"/>
      <c r="E60" s="72"/>
      <c r="F60" s="73"/>
    </row>
    <row r="62" spans="2:6" ht="15.75">
      <c r="B62" s="305" t="s">
        <v>293</v>
      </c>
      <c r="C62" s="306"/>
      <c r="D62" s="306"/>
      <c r="E62" s="306"/>
      <c r="F62" s="307"/>
    </row>
    <row r="63" spans="2:6" ht="15.75">
      <c r="B63" s="339"/>
      <c r="C63" s="339"/>
      <c r="D63" s="339"/>
      <c r="E63" s="339"/>
      <c r="F63" s="339"/>
    </row>
  </sheetData>
  <mergeCells count="27">
    <mergeCell ref="B56:F56"/>
    <mergeCell ref="B62:F62"/>
    <mergeCell ref="B63:F63"/>
    <mergeCell ref="B32:F47"/>
    <mergeCell ref="B50:F50"/>
    <mergeCell ref="B51:F51"/>
    <mergeCell ref="B54:F55"/>
    <mergeCell ref="B22:F22"/>
    <mergeCell ref="B28:F28"/>
    <mergeCell ref="B29:F29"/>
    <mergeCell ref="B19:F20"/>
    <mergeCell ref="B21:F21"/>
    <mergeCell ref="B24:F24"/>
    <mergeCell ref="B25:F25"/>
    <mergeCell ref="B27:F27"/>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58:C60">
      <formula1>"Académique, Professionnel, Associatif, Autre"</formula1>
    </dataValidation>
  </dataValidations>
  <hyperlinks>
    <hyperlink ref="B1" location="'Schéma d''enseignement'!G10" display="Schéma d'enseignement"/>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5"/>
  </sheetPr>
  <dimension ref="B1:F57"/>
  <sheetViews>
    <sheetView workbookViewId="0">
      <selection activeCell="B1" sqref="B1"/>
    </sheetView>
  </sheetViews>
  <sheetFormatPr baseColWidth="10" defaultColWidth="8.85546875" defaultRowHeight="15"/>
  <cols>
    <col min="1" max="1" width="3.4257812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c r="B1" s="192" t="s">
        <v>783</v>
      </c>
    </row>
    <row r="2" spans="2:6" ht="15.75">
      <c r="B2" s="54" t="s">
        <v>252</v>
      </c>
      <c r="C2" s="55"/>
      <c r="D2" s="55"/>
      <c r="E2" s="55"/>
      <c r="F2" s="55"/>
    </row>
    <row r="3" spans="2:6" ht="15.75">
      <c r="B3" s="56"/>
      <c r="C3" s="56"/>
      <c r="D3" s="56"/>
      <c r="E3" s="56"/>
      <c r="F3" s="56"/>
    </row>
    <row r="4" spans="2:6" ht="15.75">
      <c r="B4" s="57" t="s">
        <v>253</v>
      </c>
      <c r="C4" s="291" t="s">
        <v>311</v>
      </c>
      <c r="D4" s="291"/>
      <c r="E4" s="291"/>
      <c r="F4" s="291"/>
    </row>
    <row r="5" spans="2:6" ht="15.6" customHeight="1">
      <c r="B5" s="58" t="s">
        <v>255</v>
      </c>
      <c r="C5" s="292" t="s">
        <v>256</v>
      </c>
      <c r="D5" s="292"/>
      <c r="E5" s="292"/>
      <c r="F5" s="292"/>
    </row>
    <row r="6" spans="2:6" ht="15.75">
      <c r="B6" s="57" t="s">
        <v>257</v>
      </c>
      <c r="C6" s="291" t="s">
        <v>258</v>
      </c>
      <c r="D6" s="291"/>
      <c r="E6" s="291"/>
      <c r="F6" s="291"/>
    </row>
    <row r="7" spans="2:6" ht="15.75">
      <c r="B7" s="57" t="s">
        <v>259</v>
      </c>
      <c r="C7" s="291" t="s">
        <v>260</v>
      </c>
      <c r="D7" s="291"/>
      <c r="E7" s="291"/>
      <c r="F7" s="291"/>
    </row>
    <row r="8" spans="2:6" ht="15.75">
      <c r="B8" s="57" t="s">
        <v>261</v>
      </c>
      <c r="C8" s="291" t="s">
        <v>24</v>
      </c>
      <c r="D8" s="291"/>
      <c r="E8" s="291"/>
      <c r="F8" s="291"/>
    </row>
    <row r="9" spans="2:6" ht="15.75">
      <c r="B9" s="57" t="s">
        <v>263</v>
      </c>
      <c r="C9" s="291" t="s">
        <v>33</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v>43201</v>
      </c>
      <c r="C13" s="300"/>
      <c r="D13" s="291" t="s">
        <v>310</v>
      </c>
      <c r="E13" s="291"/>
      <c r="F13" s="291"/>
    </row>
    <row r="14" spans="2:6" ht="15.75">
      <c r="B14" s="56"/>
      <c r="C14" s="56"/>
      <c r="D14" s="56"/>
      <c r="E14" s="56"/>
      <c r="F14" s="56"/>
    </row>
    <row r="15" spans="2:6" ht="15.75">
      <c r="B15" s="59" t="s">
        <v>267</v>
      </c>
      <c r="C15" s="59" t="s">
        <v>268</v>
      </c>
      <c r="D15" s="59" t="s">
        <v>269</v>
      </c>
      <c r="E15" s="59" t="s">
        <v>270</v>
      </c>
      <c r="F15" s="59" t="s">
        <v>271</v>
      </c>
    </row>
    <row r="16" spans="2:6" ht="27" customHeight="1">
      <c r="B16" s="26" t="s">
        <v>332</v>
      </c>
      <c r="C16" s="21">
        <v>42</v>
      </c>
      <c r="D16" s="21">
        <v>3</v>
      </c>
      <c r="E16" s="21">
        <v>3</v>
      </c>
      <c r="F16" s="21" t="s">
        <v>272</v>
      </c>
    </row>
    <row r="17" spans="2:6" ht="15.75">
      <c r="B17" s="74"/>
      <c r="C17" s="75"/>
      <c r="D17" s="75"/>
      <c r="E17" s="75"/>
      <c r="F17" s="75"/>
    </row>
    <row r="18" spans="2:6" ht="15.75">
      <c r="B18" s="305" t="s">
        <v>273</v>
      </c>
      <c r="C18" s="306"/>
      <c r="D18" s="306"/>
      <c r="E18" s="306"/>
      <c r="F18" s="307"/>
    </row>
    <row r="19" spans="2:6">
      <c r="B19" s="325" t="s">
        <v>333</v>
      </c>
      <c r="C19" s="326"/>
      <c r="D19" s="326"/>
      <c r="E19" s="326"/>
      <c r="F19" s="327"/>
    </row>
    <row r="20" spans="2:6">
      <c r="B20" s="362"/>
      <c r="C20" s="363"/>
      <c r="D20" s="363"/>
      <c r="E20" s="363"/>
      <c r="F20" s="364"/>
    </row>
    <row r="21" spans="2:6">
      <c r="B21" s="328"/>
      <c r="C21" s="329"/>
      <c r="D21" s="329"/>
      <c r="E21" s="329"/>
      <c r="F21" s="330"/>
    </row>
    <row r="22" spans="2:6" ht="15.75">
      <c r="B22" s="56"/>
      <c r="C22" s="56"/>
      <c r="D22" s="56"/>
      <c r="E22" s="56"/>
      <c r="F22" s="56"/>
    </row>
    <row r="23" spans="2:6" ht="15.75">
      <c r="B23" s="305" t="s">
        <v>275</v>
      </c>
      <c r="C23" s="306"/>
      <c r="D23" s="306"/>
      <c r="E23" s="306"/>
      <c r="F23" s="307"/>
    </row>
    <row r="24" spans="2:6">
      <c r="B24" s="339" t="s">
        <v>334</v>
      </c>
      <c r="C24" s="339"/>
      <c r="D24" s="339"/>
      <c r="E24" s="339"/>
      <c r="F24" s="339"/>
    </row>
    <row r="25" spans="2:6">
      <c r="B25" s="339"/>
      <c r="C25" s="339"/>
      <c r="D25" s="339"/>
      <c r="E25" s="339"/>
      <c r="F25" s="339"/>
    </row>
    <row r="26" spans="2:6">
      <c r="B26" s="339"/>
      <c r="C26" s="339"/>
      <c r="D26" s="339"/>
      <c r="E26" s="339"/>
      <c r="F26" s="339"/>
    </row>
    <row r="27" spans="2:6">
      <c r="B27" s="339"/>
      <c r="C27" s="339"/>
      <c r="D27" s="339"/>
      <c r="E27" s="339"/>
      <c r="F27" s="339"/>
    </row>
    <row r="28" spans="2:6">
      <c r="B28" s="339"/>
      <c r="C28" s="339"/>
      <c r="D28" s="339"/>
      <c r="E28" s="339"/>
      <c r="F28" s="339"/>
    </row>
    <row r="29" spans="2:6" ht="21.6" customHeight="1">
      <c r="B29" s="339"/>
      <c r="C29" s="339"/>
      <c r="D29" s="339"/>
      <c r="E29" s="339"/>
      <c r="F29" s="339"/>
    </row>
    <row r="30" spans="2:6" ht="15.75">
      <c r="B30" s="56"/>
      <c r="C30" s="56"/>
      <c r="D30" s="56"/>
      <c r="E30" s="56"/>
      <c r="F30" s="56"/>
    </row>
    <row r="31" spans="2:6" ht="15.75">
      <c r="B31" s="305" t="s">
        <v>277</v>
      </c>
      <c r="C31" s="306"/>
      <c r="D31" s="306"/>
      <c r="E31" s="306"/>
      <c r="F31" s="307"/>
    </row>
    <row r="32" spans="2:6" ht="15.75">
      <c r="B32" s="293" t="s">
        <v>335</v>
      </c>
      <c r="C32" s="365"/>
      <c r="D32" s="365"/>
      <c r="E32" s="365"/>
      <c r="F32" s="366"/>
    </row>
    <row r="33" spans="2:6" ht="15.75">
      <c r="B33" s="56"/>
      <c r="C33" s="56"/>
      <c r="D33" s="56"/>
      <c r="E33" s="56"/>
      <c r="F33" s="56"/>
    </row>
    <row r="34" spans="2:6" ht="15.75">
      <c r="B34" s="65" t="s">
        <v>279</v>
      </c>
      <c r="C34" s="66"/>
      <c r="D34" s="66"/>
      <c r="E34" s="66"/>
      <c r="F34" s="67"/>
    </row>
    <row r="35" spans="2:6" ht="15.75">
      <c r="B35" s="309" t="s">
        <v>148</v>
      </c>
      <c r="C35" s="310"/>
      <c r="D35" s="310"/>
      <c r="E35" s="310"/>
      <c r="F35" s="311"/>
    </row>
    <row r="36" spans="2:6" ht="15.75">
      <c r="B36" s="56"/>
      <c r="C36" s="56"/>
      <c r="D36" s="56"/>
      <c r="E36" s="56"/>
      <c r="F36" s="56"/>
    </row>
    <row r="37" spans="2:6" ht="15.75">
      <c r="B37" s="65" t="s">
        <v>284</v>
      </c>
      <c r="C37" s="66"/>
      <c r="D37" s="66"/>
      <c r="E37" s="66"/>
      <c r="F37" s="67"/>
    </row>
    <row r="38" spans="2:6" ht="124.5" customHeight="1">
      <c r="B38" s="308" t="s">
        <v>336</v>
      </c>
      <c r="C38" s="349"/>
      <c r="D38" s="349"/>
      <c r="E38" s="349"/>
      <c r="F38" s="350"/>
    </row>
    <row r="39" spans="2:6" ht="15.75">
      <c r="B39" s="99"/>
      <c r="C39" s="99"/>
      <c r="D39" s="99"/>
      <c r="E39" s="99"/>
      <c r="F39" s="99"/>
    </row>
    <row r="40" spans="2:6" ht="15.75">
      <c r="B40" s="65" t="s">
        <v>297</v>
      </c>
      <c r="C40" s="66"/>
      <c r="D40" s="66"/>
      <c r="E40" s="66"/>
      <c r="F40" s="67"/>
    </row>
    <row r="41" spans="2:6" ht="15.75">
      <c r="B41" s="100" t="s">
        <v>337</v>
      </c>
      <c r="C41" s="370"/>
      <c r="D41" s="371"/>
      <c r="E41" s="371"/>
      <c r="F41" s="372"/>
    </row>
    <row r="42" spans="2:6" ht="15.75">
      <c r="B42" s="100" t="s">
        <v>338</v>
      </c>
      <c r="C42" s="370"/>
      <c r="D42" s="371"/>
      <c r="E42" s="371"/>
      <c r="F42" s="372"/>
    </row>
    <row r="43" spans="2:6" ht="15.75">
      <c r="B43" s="56"/>
      <c r="C43" s="56"/>
      <c r="D43" s="56"/>
      <c r="E43" s="56"/>
      <c r="F43" s="56"/>
    </row>
    <row r="44" spans="2:6" ht="15.75">
      <c r="B44" s="65" t="s">
        <v>287</v>
      </c>
      <c r="C44" s="66"/>
      <c r="D44" s="66"/>
      <c r="E44" s="66"/>
      <c r="F44" s="67"/>
    </row>
    <row r="45" spans="2:6">
      <c r="B45" s="325" t="s">
        <v>339</v>
      </c>
      <c r="C45" s="331"/>
      <c r="D45" s="331"/>
      <c r="E45" s="331"/>
      <c r="F45" s="332"/>
    </row>
    <row r="46" spans="2:6">
      <c r="B46" s="333"/>
      <c r="C46" s="334"/>
      <c r="D46" s="334"/>
      <c r="E46" s="334"/>
      <c r="F46" s="335"/>
    </row>
    <row r="47" spans="2:6">
      <c r="B47" s="333"/>
      <c r="C47" s="334"/>
      <c r="D47" s="334"/>
      <c r="E47" s="334"/>
      <c r="F47" s="335"/>
    </row>
    <row r="48" spans="2:6">
      <c r="B48" s="336"/>
      <c r="C48" s="337"/>
      <c r="D48" s="337"/>
      <c r="E48" s="337"/>
      <c r="F48" s="338"/>
    </row>
    <row r="49" spans="2:6" ht="15.75">
      <c r="B49" s="99"/>
      <c r="C49" s="99"/>
      <c r="D49" s="99"/>
      <c r="E49" s="99"/>
      <c r="F49" s="99"/>
    </row>
    <row r="50" spans="2:6" ht="30.6" customHeight="1">
      <c r="B50" s="367" t="s">
        <v>289</v>
      </c>
      <c r="C50" s="368"/>
      <c r="D50" s="368"/>
      <c r="E50" s="368"/>
      <c r="F50" s="369"/>
    </row>
    <row r="51" spans="2:6" ht="15.75">
      <c r="B51" s="62" t="s">
        <v>290</v>
      </c>
      <c r="C51" s="62" t="s">
        <v>291</v>
      </c>
      <c r="D51" s="65" t="s">
        <v>292</v>
      </c>
      <c r="E51" s="66"/>
      <c r="F51" s="67"/>
    </row>
    <row r="52" spans="2:6" ht="15.75">
      <c r="B52" s="63"/>
      <c r="C52" s="63"/>
      <c r="D52" s="71"/>
      <c r="E52" s="72"/>
      <c r="F52" s="73"/>
    </row>
    <row r="53" spans="2:6" ht="15.75">
      <c r="B53" s="63"/>
      <c r="C53" s="63"/>
      <c r="D53" s="71"/>
      <c r="E53" s="72"/>
      <c r="F53" s="73"/>
    </row>
    <row r="54" spans="2:6" ht="15.75">
      <c r="B54" s="64"/>
      <c r="C54" s="64"/>
      <c r="D54" s="71"/>
      <c r="E54" s="72"/>
      <c r="F54" s="73"/>
    </row>
    <row r="56" spans="2:6" ht="15.75">
      <c r="B56" s="305" t="s">
        <v>293</v>
      </c>
      <c r="C56" s="306"/>
      <c r="D56" s="306"/>
      <c r="E56" s="306"/>
      <c r="F56" s="307"/>
    </row>
    <row r="57" spans="2:6" ht="15.75">
      <c r="B57" s="339"/>
      <c r="C57" s="339"/>
      <c r="D57" s="339"/>
      <c r="E57" s="339"/>
      <c r="F57" s="339"/>
    </row>
  </sheetData>
  <mergeCells count="25">
    <mergeCell ref="B50:F50"/>
    <mergeCell ref="B56:F56"/>
    <mergeCell ref="B57:F57"/>
    <mergeCell ref="B45:F48"/>
    <mergeCell ref="B35:F35"/>
    <mergeCell ref="C41:F41"/>
    <mergeCell ref="C42:F42"/>
    <mergeCell ref="B38:F38"/>
    <mergeCell ref="B19:F21"/>
    <mergeCell ref="B23:F23"/>
    <mergeCell ref="B24:F29"/>
    <mergeCell ref="B31:F31"/>
    <mergeCell ref="B32:F32"/>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52:C54">
      <formula1>"Académique, Professionnel, Associatif, Autre"</formula1>
    </dataValidation>
  </dataValidations>
  <hyperlinks>
    <hyperlink ref="B1" location="'Schéma d''enseignement'!G11" display="Schéma d'enseignement"/>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5"/>
  </sheetPr>
  <dimension ref="B1:F50"/>
  <sheetViews>
    <sheetView workbookViewId="0">
      <selection activeCell="B1" sqref="B1"/>
    </sheetView>
  </sheetViews>
  <sheetFormatPr baseColWidth="10" defaultColWidth="8.85546875" defaultRowHeight="15"/>
  <cols>
    <col min="1" max="1" width="3.570312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c r="B1" s="192" t="s">
        <v>783</v>
      </c>
    </row>
    <row r="2" spans="2:6" ht="15.75">
      <c r="B2" s="54" t="s">
        <v>252</v>
      </c>
      <c r="C2" s="55"/>
      <c r="D2" s="55"/>
      <c r="E2" s="55"/>
      <c r="F2" s="55"/>
    </row>
    <row r="3" spans="2:6" ht="15.75">
      <c r="B3" s="56"/>
      <c r="C3" s="56"/>
      <c r="D3" s="56"/>
      <c r="E3" s="56"/>
      <c r="F3" s="56"/>
    </row>
    <row r="4" spans="2:6" ht="15.75">
      <c r="B4" s="57" t="s">
        <v>253</v>
      </c>
      <c r="C4" s="291" t="s">
        <v>311</v>
      </c>
      <c r="D4" s="291"/>
      <c r="E4" s="291"/>
      <c r="F4" s="291"/>
    </row>
    <row r="5" spans="2:6" ht="17.45" customHeight="1">
      <c r="B5" s="58" t="s">
        <v>255</v>
      </c>
      <c r="C5" s="292" t="s">
        <v>256</v>
      </c>
      <c r="D5" s="292"/>
      <c r="E5" s="292"/>
      <c r="F5" s="292"/>
    </row>
    <row r="6" spans="2:6" ht="15.75">
      <c r="B6" s="57" t="s">
        <v>257</v>
      </c>
      <c r="C6" s="291" t="s">
        <v>258</v>
      </c>
      <c r="D6" s="291"/>
      <c r="E6" s="291"/>
      <c r="F6" s="291"/>
    </row>
    <row r="7" spans="2:6" ht="15.75">
      <c r="B7" s="57" t="s">
        <v>259</v>
      </c>
      <c r="C7" s="291" t="s">
        <v>260</v>
      </c>
      <c r="D7" s="291"/>
      <c r="E7" s="291"/>
      <c r="F7" s="291"/>
    </row>
    <row r="8" spans="2:6" ht="15.75">
      <c r="B8" s="57" t="s">
        <v>261</v>
      </c>
      <c r="C8" s="291" t="s">
        <v>24</v>
      </c>
      <c r="D8" s="291"/>
      <c r="E8" s="291"/>
      <c r="F8" s="291"/>
    </row>
    <row r="9" spans="2:6" ht="15.75">
      <c r="B9" s="57" t="s">
        <v>263</v>
      </c>
      <c r="C9" s="291" t="s">
        <v>33</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v>43201</v>
      </c>
      <c r="C13" s="300"/>
      <c r="D13" s="291" t="s">
        <v>310</v>
      </c>
      <c r="E13" s="291"/>
      <c r="F13" s="291"/>
    </row>
    <row r="14" spans="2:6" ht="15.75">
      <c r="B14" s="56"/>
      <c r="C14" s="56"/>
      <c r="D14" s="56"/>
      <c r="E14" s="56"/>
      <c r="F14" s="56"/>
    </row>
    <row r="15" spans="2:6" ht="15.75">
      <c r="B15" s="59" t="s">
        <v>267</v>
      </c>
      <c r="C15" s="59" t="s">
        <v>268</v>
      </c>
      <c r="D15" s="59" t="s">
        <v>269</v>
      </c>
      <c r="E15" s="59" t="s">
        <v>270</v>
      </c>
      <c r="F15" s="59" t="s">
        <v>271</v>
      </c>
    </row>
    <row r="16" spans="2:6" ht="24.95" customHeight="1">
      <c r="B16" s="26" t="s">
        <v>340</v>
      </c>
      <c r="C16" s="21">
        <v>42</v>
      </c>
      <c r="D16" s="21">
        <v>3</v>
      </c>
      <c r="E16" s="21">
        <v>3</v>
      </c>
      <c r="F16" s="21" t="s">
        <v>272</v>
      </c>
    </row>
    <row r="17" spans="2:6" ht="15.75">
      <c r="B17" s="74"/>
      <c r="C17" s="75"/>
      <c r="D17" s="75"/>
      <c r="E17" s="75"/>
      <c r="F17" s="75"/>
    </row>
    <row r="18" spans="2:6" ht="15.75">
      <c r="B18" s="305" t="s">
        <v>273</v>
      </c>
      <c r="C18" s="306"/>
      <c r="D18" s="306"/>
      <c r="E18" s="306"/>
      <c r="F18" s="307"/>
    </row>
    <row r="19" spans="2:6" ht="14.45" customHeight="1">
      <c r="B19" s="339" t="s">
        <v>341</v>
      </c>
      <c r="C19" s="373"/>
      <c r="D19" s="373"/>
      <c r="E19" s="373"/>
      <c r="F19" s="373"/>
    </row>
    <row r="20" spans="2:6" ht="14.45" customHeight="1">
      <c r="B20" s="373"/>
      <c r="C20" s="373"/>
      <c r="D20" s="373"/>
      <c r="E20" s="373"/>
      <c r="F20" s="373"/>
    </row>
    <row r="21" spans="2:6" ht="15.75">
      <c r="B21" s="56"/>
      <c r="C21" s="56"/>
      <c r="D21" s="56"/>
      <c r="E21" s="56"/>
      <c r="F21" s="56"/>
    </row>
    <row r="22" spans="2:6" ht="15.75">
      <c r="B22" s="305" t="s">
        <v>275</v>
      </c>
      <c r="C22" s="306"/>
      <c r="D22" s="306"/>
      <c r="E22" s="306"/>
      <c r="F22" s="307"/>
    </row>
    <row r="23" spans="2:6" ht="128.44999999999999" customHeight="1">
      <c r="B23" s="308" t="s">
        <v>704</v>
      </c>
      <c r="C23" s="374"/>
      <c r="D23" s="374"/>
      <c r="E23" s="374"/>
      <c r="F23" s="375"/>
    </row>
    <row r="24" spans="2:6" ht="15.75">
      <c r="B24" s="56"/>
      <c r="C24" s="56"/>
      <c r="D24" s="56"/>
      <c r="E24" s="56"/>
      <c r="F24" s="56"/>
    </row>
    <row r="25" spans="2:6" ht="15.75">
      <c r="B25" s="305" t="s">
        <v>277</v>
      </c>
      <c r="C25" s="306"/>
      <c r="D25" s="306"/>
      <c r="E25" s="306"/>
      <c r="F25" s="307"/>
    </row>
    <row r="26" spans="2:6" ht="15.75">
      <c r="B26" s="293" t="s">
        <v>335</v>
      </c>
      <c r="C26" s="365"/>
      <c r="D26" s="365"/>
      <c r="E26" s="365"/>
      <c r="F26" s="366"/>
    </row>
    <row r="27" spans="2:6" ht="15.75">
      <c r="B27" s="56"/>
      <c r="C27" s="56"/>
      <c r="D27" s="56"/>
      <c r="E27" s="56"/>
      <c r="F27" s="56"/>
    </row>
    <row r="28" spans="2:6" ht="15.75">
      <c r="B28" s="305" t="s">
        <v>279</v>
      </c>
      <c r="C28" s="306"/>
      <c r="D28" s="306"/>
      <c r="E28" s="306"/>
      <c r="F28" s="307"/>
    </row>
    <row r="29" spans="2:6" ht="15.75">
      <c r="B29" s="76" t="s">
        <v>148</v>
      </c>
      <c r="C29" s="77"/>
      <c r="D29" s="77"/>
      <c r="E29" s="77"/>
      <c r="F29" s="78"/>
    </row>
    <row r="30" spans="2:6" ht="15.75">
      <c r="B30" s="56"/>
      <c r="C30" s="56"/>
      <c r="D30" s="56"/>
      <c r="E30" s="56"/>
      <c r="F30" s="56"/>
    </row>
    <row r="31" spans="2:6" ht="15.75">
      <c r="B31" s="65" t="s">
        <v>284</v>
      </c>
      <c r="C31" s="66"/>
      <c r="D31" s="66"/>
      <c r="E31" s="66"/>
      <c r="F31" s="67"/>
    </row>
    <row r="32" spans="2:6" ht="156.6" customHeight="1">
      <c r="B32" s="308" t="s">
        <v>346</v>
      </c>
      <c r="C32" s="349"/>
      <c r="D32" s="349"/>
      <c r="E32" s="349"/>
      <c r="F32" s="350"/>
    </row>
    <row r="33" spans="2:6" ht="15.75">
      <c r="B33" s="60"/>
      <c r="C33" s="61"/>
      <c r="D33" s="61"/>
      <c r="E33" s="61"/>
      <c r="F33" s="61"/>
    </row>
    <row r="34" spans="2:6" ht="15.75">
      <c r="B34" s="65" t="s">
        <v>297</v>
      </c>
      <c r="C34" s="66"/>
      <c r="D34" s="66"/>
      <c r="E34" s="66"/>
      <c r="F34" s="67"/>
    </row>
    <row r="35" spans="2:6" ht="15.75">
      <c r="B35" s="293" t="s">
        <v>342</v>
      </c>
      <c r="C35" s="294"/>
      <c r="D35" s="294"/>
      <c r="E35" s="294"/>
      <c r="F35" s="295"/>
    </row>
    <row r="36" spans="2:6" ht="15.75">
      <c r="B36" s="293" t="s">
        <v>343</v>
      </c>
      <c r="C36" s="294"/>
      <c r="D36" s="294"/>
      <c r="E36" s="294"/>
      <c r="F36" s="295"/>
    </row>
    <row r="37" spans="2:6" ht="15.75">
      <c r="B37" s="293" t="s">
        <v>344</v>
      </c>
      <c r="C37" s="294"/>
      <c r="D37" s="294"/>
      <c r="E37" s="294"/>
      <c r="F37" s="295"/>
    </row>
    <row r="38" spans="2:6" ht="15.75">
      <c r="B38" s="293" t="s">
        <v>331</v>
      </c>
      <c r="C38" s="294"/>
      <c r="D38" s="294"/>
      <c r="E38" s="294"/>
      <c r="F38" s="295"/>
    </row>
    <row r="39" spans="2:6" ht="15.75">
      <c r="B39" s="56"/>
      <c r="C39" s="56"/>
      <c r="D39" s="56"/>
      <c r="E39" s="56"/>
      <c r="F39" s="56"/>
    </row>
    <row r="40" spans="2:6" ht="15.75">
      <c r="B40" s="65" t="s">
        <v>287</v>
      </c>
      <c r="C40" s="66"/>
      <c r="D40" s="66"/>
      <c r="E40" s="66"/>
      <c r="F40" s="67"/>
    </row>
    <row r="41" spans="2:6" ht="34.5" customHeight="1">
      <c r="B41" s="308" t="s">
        <v>345</v>
      </c>
      <c r="C41" s="294"/>
      <c r="D41" s="294"/>
      <c r="E41" s="294"/>
      <c r="F41" s="295"/>
    </row>
    <row r="42" spans="2:6" ht="15.75">
      <c r="B42" s="56"/>
      <c r="C42" s="56"/>
      <c r="D42" s="56"/>
      <c r="E42" s="56"/>
      <c r="F42" s="56"/>
    </row>
    <row r="43" spans="2:6" ht="31.5" customHeight="1">
      <c r="B43" s="313" t="s">
        <v>289</v>
      </c>
      <c r="C43" s="314"/>
      <c r="D43" s="314"/>
      <c r="E43" s="314"/>
      <c r="F43" s="315"/>
    </row>
    <row r="44" spans="2:6" ht="15.75">
      <c r="B44" s="62" t="s">
        <v>290</v>
      </c>
      <c r="C44" s="62" t="s">
        <v>291</v>
      </c>
      <c r="D44" s="65" t="s">
        <v>292</v>
      </c>
      <c r="E44" s="66"/>
      <c r="F44" s="67"/>
    </row>
    <row r="45" spans="2:6" ht="15.75">
      <c r="B45" s="63"/>
      <c r="C45" s="63"/>
      <c r="D45" s="71"/>
      <c r="E45" s="72"/>
      <c r="F45" s="73"/>
    </row>
    <row r="46" spans="2:6" ht="15.75">
      <c r="B46" s="63"/>
      <c r="C46" s="63"/>
      <c r="D46" s="71"/>
      <c r="E46" s="72"/>
      <c r="F46" s="73"/>
    </row>
    <row r="47" spans="2:6" ht="15.75">
      <c r="B47" s="64"/>
      <c r="C47" s="64"/>
      <c r="D47" s="71"/>
      <c r="E47" s="72"/>
      <c r="F47" s="73"/>
    </row>
    <row r="48" spans="2:6" ht="15.75">
      <c r="B48" s="56"/>
      <c r="C48" s="56"/>
      <c r="D48" s="56"/>
      <c r="E48" s="56"/>
      <c r="F48" s="56"/>
    </row>
    <row r="49" spans="2:6" ht="15.75">
      <c r="B49" s="65" t="s">
        <v>293</v>
      </c>
      <c r="C49" s="66"/>
      <c r="D49" s="66"/>
      <c r="E49" s="66"/>
      <c r="F49" s="67"/>
    </row>
    <row r="50" spans="2:6" ht="93.6" customHeight="1">
      <c r="B50" s="339" t="s">
        <v>347</v>
      </c>
      <c r="C50" s="339"/>
      <c r="D50" s="339"/>
      <c r="E50" s="339"/>
      <c r="F50" s="339"/>
    </row>
  </sheetData>
  <mergeCells count="26">
    <mergeCell ref="B50:F50"/>
    <mergeCell ref="B43:F43"/>
    <mergeCell ref="B32:F32"/>
    <mergeCell ref="B35:F35"/>
    <mergeCell ref="B36:F36"/>
    <mergeCell ref="B37:F37"/>
    <mergeCell ref="B38:F38"/>
    <mergeCell ref="B41:F41"/>
    <mergeCell ref="B28:F28"/>
    <mergeCell ref="B11:F11"/>
    <mergeCell ref="B12:C12"/>
    <mergeCell ref="D12:F12"/>
    <mergeCell ref="B13:C13"/>
    <mergeCell ref="D13:F13"/>
    <mergeCell ref="B18:F18"/>
    <mergeCell ref="B19:F20"/>
    <mergeCell ref="B22:F22"/>
    <mergeCell ref="B23:F23"/>
    <mergeCell ref="B25:F25"/>
    <mergeCell ref="B26:F26"/>
    <mergeCell ref="C9:F9"/>
    <mergeCell ref="C4:F4"/>
    <mergeCell ref="C5:F5"/>
    <mergeCell ref="C6:F6"/>
    <mergeCell ref="C7:F7"/>
    <mergeCell ref="C8:F8"/>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5:C47">
      <formula1>"Académique, Professionnel, Associatif, Autre"</formula1>
    </dataValidation>
  </dataValidations>
  <hyperlinks>
    <hyperlink ref="B1" location="'Schéma d''enseignement'!G12" display="Schéma d'enseignement"/>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5"/>
  </sheetPr>
  <dimension ref="B1:F54"/>
  <sheetViews>
    <sheetView workbookViewId="0">
      <selection activeCell="B1" sqref="B1"/>
    </sheetView>
  </sheetViews>
  <sheetFormatPr baseColWidth="10" defaultColWidth="8.85546875" defaultRowHeight="15"/>
  <cols>
    <col min="1" max="1" width="2.8554687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c r="B1" s="192" t="s">
        <v>783</v>
      </c>
    </row>
    <row r="2" spans="2:6" ht="15.75">
      <c r="B2" s="54" t="s">
        <v>355</v>
      </c>
      <c r="C2" s="55"/>
      <c r="D2" s="55"/>
      <c r="E2" s="55"/>
      <c r="F2" s="55"/>
    </row>
    <row r="3" spans="2:6" ht="15.75">
      <c r="B3" s="56"/>
      <c r="C3" s="56"/>
      <c r="D3" s="56"/>
      <c r="E3" s="56"/>
      <c r="F3" s="56"/>
    </row>
    <row r="4" spans="2:6" ht="15.75">
      <c r="B4" s="57" t="s">
        <v>253</v>
      </c>
      <c r="C4" s="291" t="s">
        <v>311</v>
      </c>
      <c r="D4" s="291"/>
      <c r="E4" s="291"/>
      <c r="F4" s="291"/>
    </row>
    <row r="5" spans="2:6" ht="17.100000000000001" customHeight="1">
      <c r="B5" s="58" t="s">
        <v>255</v>
      </c>
      <c r="C5" s="292" t="s">
        <v>256</v>
      </c>
      <c r="D5" s="292"/>
      <c r="E5" s="292"/>
      <c r="F5" s="292"/>
    </row>
    <row r="6" spans="2:6" ht="15.75">
      <c r="B6" s="57" t="s">
        <v>257</v>
      </c>
      <c r="C6" s="291" t="s">
        <v>258</v>
      </c>
      <c r="D6" s="291"/>
      <c r="E6" s="291"/>
      <c r="F6" s="291"/>
    </row>
    <row r="7" spans="2:6" ht="15.75">
      <c r="B7" s="57" t="s">
        <v>259</v>
      </c>
      <c r="C7" s="291" t="s">
        <v>260</v>
      </c>
      <c r="D7" s="291"/>
      <c r="E7" s="291"/>
      <c r="F7" s="291"/>
    </row>
    <row r="8" spans="2:6" ht="15.75">
      <c r="B8" s="57" t="s">
        <v>261</v>
      </c>
      <c r="C8" s="291" t="s">
        <v>183</v>
      </c>
      <c r="D8" s="291"/>
      <c r="E8" s="291"/>
      <c r="F8" s="291"/>
    </row>
    <row r="9" spans="2:6" ht="15.75">
      <c r="B9" s="57" t="s">
        <v>263</v>
      </c>
      <c r="C9" s="291">
        <v>3</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v>43200</v>
      </c>
      <c r="C13" s="300"/>
      <c r="D13" s="291" t="s">
        <v>310</v>
      </c>
      <c r="E13" s="291"/>
      <c r="F13" s="291"/>
    </row>
    <row r="14" spans="2:6" ht="15.75">
      <c r="B14" s="56"/>
      <c r="C14" s="56"/>
      <c r="D14" s="56"/>
      <c r="E14" s="56"/>
      <c r="F14" s="56"/>
    </row>
    <row r="15" spans="2:6" ht="15.75">
      <c r="B15" s="59" t="s">
        <v>267</v>
      </c>
      <c r="C15" s="59" t="s">
        <v>268</v>
      </c>
      <c r="D15" s="59" t="s">
        <v>269</v>
      </c>
      <c r="E15" s="59" t="s">
        <v>270</v>
      </c>
      <c r="F15" s="59" t="s">
        <v>271</v>
      </c>
    </row>
    <row r="16" spans="2:6" ht="33" customHeight="1">
      <c r="B16" s="26" t="s">
        <v>178</v>
      </c>
      <c r="C16" s="21">
        <v>21</v>
      </c>
      <c r="D16" s="21">
        <v>2</v>
      </c>
      <c r="E16" s="21">
        <v>2</v>
      </c>
      <c r="F16" s="21" t="s">
        <v>272</v>
      </c>
    </row>
    <row r="17" spans="2:6" ht="15.75">
      <c r="B17" s="74"/>
      <c r="C17" s="75"/>
      <c r="D17" s="75"/>
      <c r="E17" s="75"/>
      <c r="F17" s="75"/>
    </row>
    <row r="18" spans="2:6" ht="15.75">
      <c r="B18" s="305" t="s">
        <v>273</v>
      </c>
      <c r="C18" s="306"/>
      <c r="D18" s="306"/>
      <c r="E18" s="306"/>
      <c r="F18" s="307"/>
    </row>
    <row r="19" spans="2:6" ht="66.599999999999994" customHeight="1">
      <c r="B19" s="308" t="s">
        <v>356</v>
      </c>
      <c r="C19" s="294"/>
      <c r="D19" s="294"/>
      <c r="E19" s="294"/>
      <c r="F19" s="295"/>
    </row>
    <row r="20" spans="2:6" ht="15.75">
      <c r="B20" s="305" t="s">
        <v>275</v>
      </c>
      <c r="C20" s="306"/>
      <c r="D20" s="306"/>
      <c r="E20" s="306"/>
      <c r="F20" s="307"/>
    </row>
    <row r="21" spans="2:6" ht="30" customHeight="1">
      <c r="B21" s="312" t="s">
        <v>357</v>
      </c>
      <c r="C21" s="294"/>
      <c r="D21" s="294"/>
      <c r="E21" s="294"/>
      <c r="F21" s="295"/>
    </row>
    <row r="22" spans="2:6" ht="15.75">
      <c r="B22" s="56"/>
      <c r="C22" s="56"/>
      <c r="D22" s="56"/>
      <c r="E22" s="56"/>
      <c r="F22" s="56"/>
    </row>
    <row r="23" spans="2:6" ht="15.75">
      <c r="B23" s="305" t="s">
        <v>277</v>
      </c>
      <c r="C23" s="306"/>
      <c r="D23" s="306"/>
      <c r="E23" s="306"/>
      <c r="F23" s="307"/>
    </row>
    <row r="24" spans="2:6" ht="15.75">
      <c r="B24" s="308" t="s">
        <v>358</v>
      </c>
      <c r="C24" s="294"/>
      <c r="D24" s="294"/>
      <c r="E24" s="294"/>
      <c r="F24" s="295"/>
    </row>
    <row r="25" spans="2:6" ht="15.75">
      <c r="B25" s="56"/>
      <c r="C25" s="56"/>
      <c r="D25" s="56"/>
      <c r="E25" s="56"/>
      <c r="F25" s="56"/>
    </row>
    <row r="26" spans="2:6" ht="15.75">
      <c r="B26" s="305" t="s">
        <v>279</v>
      </c>
      <c r="C26" s="306"/>
      <c r="D26" s="306"/>
      <c r="E26" s="306"/>
      <c r="F26" s="307"/>
    </row>
    <row r="27" spans="2:6" ht="15.75">
      <c r="B27" s="319" t="s">
        <v>148</v>
      </c>
      <c r="C27" s="320"/>
      <c r="D27" s="320"/>
      <c r="E27" s="320"/>
      <c r="F27" s="321"/>
    </row>
    <row r="28" spans="2:6" ht="15.75">
      <c r="B28" s="319" t="s">
        <v>163</v>
      </c>
      <c r="C28" s="320"/>
      <c r="D28" s="320"/>
      <c r="E28" s="320"/>
      <c r="F28" s="321"/>
    </row>
    <row r="29" spans="2:6" ht="15.75">
      <c r="B29" s="319" t="s">
        <v>105</v>
      </c>
      <c r="C29" s="320"/>
      <c r="D29" s="320"/>
      <c r="E29" s="320"/>
      <c r="F29" s="321"/>
    </row>
    <row r="30" spans="2:6" ht="15.75">
      <c r="B30" s="319" t="s">
        <v>169</v>
      </c>
      <c r="C30" s="320"/>
      <c r="D30" s="320"/>
      <c r="E30" s="320"/>
      <c r="F30" s="321"/>
    </row>
    <row r="31" spans="2:6" ht="15.75">
      <c r="B31" s="319" t="s">
        <v>165</v>
      </c>
      <c r="C31" s="320"/>
      <c r="D31" s="320"/>
      <c r="E31" s="320"/>
      <c r="F31" s="321"/>
    </row>
    <row r="32" spans="2:6" ht="15.75">
      <c r="B32" s="351" t="s">
        <v>359</v>
      </c>
      <c r="C32" s="351"/>
      <c r="D32" s="351"/>
      <c r="E32" s="351"/>
      <c r="F32" s="351"/>
    </row>
    <row r="33" spans="2:6" ht="15.75">
      <c r="B33" s="56"/>
      <c r="C33" s="56"/>
      <c r="D33" s="56"/>
      <c r="E33" s="56"/>
      <c r="F33" s="56"/>
    </row>
    <row r="34" spans="2:6" ht="15.75">
      <c r="B34" s="305" t="s">
        <v>284</v>
      </c>
      <c r="C34" s="306"/>
      <c r="D34" s="306"/>
      <c r="E34" s="306"/>
      <c r="F34" s="307"/>
    </row>
    <row r="35" spans="2:6" ht="110.45" customHeight="1">
      <c r="B35" s="376" t="s">
        <v>360</v>
      </c>
      <c r="C35" s="377"/>
      <c r="D35" s="377"/>
      <c r="E35" s="377"/>
      <c r="F35" s="378"/>
    </row>
    <row r="36" spans="2:6" ht="15.75">
      <c r="B36" s="60"/>
      <c r="C36" s="61"/>
      <c r="D36" s="61"/>
      <c r="E36" s="61"/>
      <c r="F36" s="61"/>
    </row>
    <row r="37" spans="2:6" ht="15.75">
      <c r="B37" s="305" t="s">
        <v>297</v>
      </c>
      <c r="C37" s="306"/>
      <c r="D37" s="306"/>
      <c r="E37" s="306"/>
      <c r="F37" s="307"/>
    </row>
    <row r="38" spans="2:6" ht="15.75">
      <c r="B38" s="100" t="s">
        <v>337</v>
      </c>
      <c r="C38" s="379"/>
      <c r="D38" s="379"/>
      <c r="E38" s="379"/>
      <c r="F38" s="379"/>
    </row>
    <row r="39" spans="2:6" ht="15.75">
      <c r="B39" s="100" t="s">
        <v>338</v>
      </c>
      <c r="C39" s="379"/>
      <c r="D39" s="379"/>
      <c r="E39" s="379"/>
      <c r="F39" s="379"/>
    </row>
    <row r="40" spans="2:6" ht="15.75">
      <c r="B40" s="100" t="s">
        <v>361</v>
      </c>
      <c r="C40" s="293"/>
      <c r="D40" s="294"/>
      <c r="E40" s="294"/>
      <c r="F40" s="295"/>
    </row>
    <row r="41" spans="2:6" ht="15.75">
      <c r="B41" s="100" t="s">
        <v>362</v>
      </c>
      <c r="C41" s="379"/>
      <c r="D41" s="379"/>
      <c r="E41" s="379"/>
      <c r="F41" s="379"/>
    </row>
    <row r="42" spans="2:6" ht="15.75">
      <c r="B42" s="100" t="s">
        <v>363</v>
      </c>
      <c r="C42" s="379"/>
      <c r="D42" s="379"/>
      <c r="E42" s="379"/>
      <c r="F42" s="379"/>
    </row>
    <row r="43" spans="2:6" ht="15.75">
      <c r="B43" s="56"/>
      <c r="C43" s="56"/>
      <c r="D43" s="56"/>
      <c r="E43" s="56"/>
      <c r="F43" s="56"/>
    </row>
    <row r="44" spans="2:6" ht="15.75">
      <c r="B44" s="305" t="s">
        <v>287</v>
      </c>
      <c r="C44" s="306"/>
      <c r="D44" s="306"/>
      <c r="E44" s="306"/>
      <c r="F44" s="307"/>
    </row>
    <row r="45" spans="2:6" ht="75.95" customHeight="1">
      <c r="B45" s="308" t="s">
        <v>364</v>
      </c>
      <c r="C45" s="294"/>
      <c r="D45" s="294"/>
      <c r="E45" s="294"/>
      <c r="F45" s="295"/>
    </row>
    <row r="46" spans="2:6" ht="15.75">
      <c r="B46" s="56"/>
      <c r="C46" s="56"/>
      <c r="D46" s="56"/>
      <c r="E46" s="56"/>
      <c r="F46" s="56"/>
    </row>
    <row r="47" spans="2:6" ht="29.45" customHeight="1">
      <c r="B47" s="313" t="s">
        <v>289</v>
      </c>
      <c r="C47" s="314"/>
      <c r="D47" s="314"/>
      <c r="E47" s="314"/>
      <c r="F47" s="315"/>
    </row>
    <row r="48" spans="2:6" ht="15.75">
      <c r="B48" s="62" t="s">
        <v>290</v>
      </c>
      <c r="C48" s="62" t="s">
        <v>291</v>
      </c>
      <c r="D48" s="305" t="s">
        <v>292</v>
      </c>
      <c r="E48" s="306"/>
      <c r="F48" s="307"/>
    </row>
    <row r="49" spans="2:6" ht="15.75">
      <c r="B49" s="63"/>
      <c r="C49" s="63"/>
      <c r="D49" s="316"/>
      <c r="E49" s="317"/>
      <c r="F49" s="318"/>
    </row>
    <row r="50" spans="2:6" ht="15.75">
      <c r="B50" s="63"/>
      <c r="C50" s="63"/>
      <c r="D50" s="316"/>
      <c r="E50" s="317"/>
      <c r="F50" s="318"/>
    </row>
    <row r="51" spans="2:6" ht="15.75">
      <c r="B51" s="64"/>
      <c r="C51" s="64"/>
      <c r="D51" s="316"/>
      <c r="E51" s="317"/>
      <c r="F51" s="318"/>
    </row>
    <row r="52" spans="2:6" ht="15.75">
      <c r="B52" s="56"/>
      <c r="C52" s="56"/>
      <c r="D52" s="56"/>
      <c r="E52" s="56"/>
      <c r="F52" s="56"/>
    </row>
    <row r="53" spans="2:6" ht="15.75">
      <c r="B53" s="305" t="s">
        <v>293</v>
      </c>
      <c r="C53" s="306"/>
      <c r="D53" s="306"/>
      <c r="E53" s="306"/>
      <c r="F53" s="307"/>
    </row>
    <row r="54" spans="2:6" ht="94.5" customHeight="1">
      <c r="B54" s="312" t="s">
        <v>365</v>
      </c>
      <c r="C54" s="294"/>
      <c r="D54" s="294"/>
      <c r="E54" s="294"/>
      <c r="F54" s="295"/>
    </row>
  </sheetData>
  <mergeCells count="41">
    <mergeCell ref="D49:F49"/>
    <mergeCell ref="D50:F50"/>
    <mergeCell ref="D51:F51"/>
    <mergeCell ref="B53:F53"/>
    <mergeCell ref="B54:F54"/>
    <mergeCell ref="D48:F48"/>
    <mergeCell ref="B34:F34"/>
    <mergeCell ref="B35:F35"/>
    <mergeCell ref="B37:F37"/>
    <mergeCell ref="C38:F38"/>
    <mergeCell ref="C39:F39"/>
    <mergeCell ref="C40:F40"/>
    <mergeCell ref="C41:F41"/>
    <mergeCell ref="C42:F42"/>
    <mergeCell ref="B44:F44"/>
    <mergeCell ref="B45:F45"/>
    <mergeCell ref="B47:F47"/>
    <mergeCell ref="B32:F32"/>
    <mergeCell ref="B19:F19"/>
    <mergeCell ref="B20:F20"/>
    <mergeCell ref="B21:F21"/>
    <mergeCell ref="B23:F23"/>
    <mergeCell ref="B24:F24"/>
    <mergeCell ref="B26:F26"/>
    <mergeCell ref="B27:F27"/>
    <mergeCell ref="B28:F28"/>
    <mergeCell ref="B29:F29"/>
    <mergeCell ref="B30:F30"/>
    <mergeCell ref="B31:F31"/>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9:C51">
      <formula1>"Académique, Professionnel, Associatif, Autre"</formula1>
    </dataValidation>
  </dataValidations>
  <hyperlinks>
    <hyperlink ref="B1" location="'Schéma d''enseignement'!G13" display="Schéma d'enseignement"/>
  </hyperlinks>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5"/>
  </sheetPr>
  <dimension ref="B1:F52"/>
  <sheetViews>
    <sheetView zoomScaleNormal="100" workbookViewId="0">
      <selection activeCell="B1" sqref="B1"/>
    </sheetView>
  </sheetViews>
  <sheetFormatPr baseColWidth="10" defaultColWidth="8.85546875" defaultRowHeight="15"/>
  <cols>
    <col min="1" max="1" width="2.8554687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c r="B1" s="192" t="s">
        <v>783</v>
      </c>
    </row>
    <row r="2" spans="2:6" ht="15.75">
      <c r="B2" s="54" t="s">
        <v>366</v>
      </c>
      <c r="C2" s="55"/>
      <c r="D2" s="55"/>
      <c r="E2" s="55"/>
      <c r="F2" s="55"/>
    </row>
    <row r="3" spans="2:6" ht="15.75">
      <c r="B3" s="56"/>
      <c r="C3" s="56"/>
      <c r="D3" s="56"/>
      <c r="E3" s="56"/>
      <c r="F3" s="56"/>
    </row>
    <row r="4" spans="2:6" ht="15.75">
      <c r="B4" s="57" t="s">
        <v>253</v>
      </c>
      <c r="C4" s="291" t="s">
        <v>311</v>
      </c>
      <c r="D4" s="291"/>
      <c r="E4" s="291"/>
      <c r="F4" s="291"/>
    </row>
    <row r="5" spans="2:6" ht="14.1" customHeight="1">
      <c r="B5" s="58" t="s">
        <v>255</v>
      </c>
      <c r="C5" s="292" t="s">
        <v>256</v>
      </c>
      <c r="D5" s="292"/>
      <c r="E5" s="292"/>
      <c r="F5" s="292"/>
    </row>
    <row r="6" spans="2:6" ht="15.75">
      <c r="B6" s="57" t="s">
        <v>257</v>
      </c>
      <c r="C6" s="291" t="s">
        <v>258</v>
      </c>
      <c r="D6" s="291"/>
      <c r="E6" s="291"/>
      <c r="F6" s="291"/>
    </row>
    <row r="7" spans="2:6" ht="15.75">
      <c r="B7" s="57" t="s">
        <v>259</v>
      </c>
      <c r="C7" s="291" t="s">
        <v>260</v>
      </c>
      <c r="D7" s="291"/>
      <c r="E7" s="291"/>
      <c r="F7" s="291"/>
    </row>
    <row r="8" spans="2:6" ht="15.75">
      <c r="B8" s="57" t="s">
        <v>261</v>
      </c>
      <c r="C8" s="291" t="s">
        <v>183</v>
      </c>
      <c r="D8" s="291"/>
      <c r="E8" s="291"/>
      <c r="F8" s="291"/>
    </row>
    <row r="9" spans="2:6" ht="15.75">
      <c r="B9" s="57" t="s">
        <v>263</v>
      </c>
      <c r="C9" s="291">
        <v>3</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v>43200</v>
      </c>
      <c r="C13" s="300"/>
      <c r="D13" s="291" t="s">
        <v>310</v>
      </c>
      <c r="E13" s="291"/>
      <c r="F13" s="291"/>
    </row>
    <row r="14" spans="2:6" ht="15.75">
      <c r="B14" s="56"/>
      <c r="C14" s="56"/>
      <c r="D14" s="56"/>
      <c r="E14" s="56"/>
      <c r="F14" s="56"/>
    </row>
    <row r="15" spans="2:6" ht="15.75">
      <c r="B15" s="59" t="s">
        <v>267</v>
      </c>
      <c r="C15" s="59" t="s">
        <v>268</v>
      </c>
      <c r="D15" s="59" t="s">
        <v>269</v>
      </c>
      <c r="E15" s="59" t="s">
        <v>270</v>
      </c>
      <c r="F15" s="59" t="s">
        <v>271</v>
      </c>
    </row>
    <row r="16" spans="2:6" ht="29.1" customHeight="1">
      <c r="B16" s="26" t="s">
        <v>179</v>
      </c>
      <c r="C16" s="21">
        <v>21</v>
      </c>
      <c r="D16" s="21">
        <v>2</v>
      </c>
      <c r="E16" s="21">
        <v>2</v>
      </c>
      <c r="F16" s="21" t="s">
        <v>272</v>
      </c>
    </row>
    <row r="17" spans="2:6" ht="15.75">
      <c r="B17" s="74"/>
      <c r="C17" s="75"/>
      <c r="D17" s="75"/>
      <c r="E17" s="75"/>
      <c r="F17" s="75"/>
    </row>
    <row r="18" spans="2:6" ht="15.75">
      <c r="B18" s="305" t="s">
        <v>273</v>
      </c>
      <c r="C18" s="306"/>
      <c r="D18" s="306"/>
      <c r="E18" s="306"/>
      <c r="F18" s="307"/>
    </row>
    <row r="19" spans="2:6" ht="66.599999999999994" customHeight="1">
      <c r="B19" s="308" t="s">
        <v>367</v>
      </c>
      <c r="C19" s="294"/>
      <c r="D19" s="294"/>
      <c r="E19" s="294"/>
      <c r="F19" s="295"/>
    </row>
    <row r="20" spans="2:6" ht="15.75">
      <c r="B20" s="305" t="s">
        <v>275</v>
      </c>
      <c r="C20" s="306"/>
      <c r="D20" s="306"/>
      <c r="E20" s="306"/>
      <c r="F20" s="307"/>
    </row>
    <row r="21" spans="2:6" ht="78.599999999999994" customHeight="1">
      <c r="B21" s="312" t="s">
        <v>368</v>
      </c>
      <c r="C21" s="294"/>
      <c r="D21" s="294"/>
      <c r="E21" s="294"/>
      <c r="F21" s="295"/>
    </row>
    <row r="22" spans="2:6" ht="15.75">
      <c r="B22" s="56"/>
      <c r="C22" s="56"/>
      <c r="D22" s="56"/>
      <c r="E22" s="56"/>
      <c r="F22" s="56"/>
    </row>
    <row r="23" spans="2:6" ht="15.75">
      <c r="B23" s="305" t="s">
        <v>277</v>
      </c>
      <c r="C23" s="306"/>
      <c r="D23" s="306"/>
      <c r="E23" s="306"/>
      <c r="F23" s="307"/>
    </row>
    <row r="24" spans="2:6" ht="20.100000000000001" customHeight="1">
      <c r="B24" s="293" t="s">
        <v>369</v>
      </c>
      <c r="C24" s="294"/>
      <c r="D24" s="294"/>
      <c r="E24" s="294"/>
      <c r="F24" s="295"/>
    </row>
    <row r="25" spans="2:6" ht="15.75">
      <c r="B25" s="56"/>
      <c r="C25" s="56"/>
      <c r="D25" s="56"/>
      <c r="E25" s="56"/>
      <c r="F25" s="56"/>
    </row>
    <row r="26" spans="2:6" ht="15.75">
      <c r="B26" s="305" t="s">
        <v>279</v>
      </c>
      <c r="C26" s="306"/>
      <c r="D26" s="306"/>
      <c r="E26" s="306"/>
      <c r="F26" s="307"/>
    </row>
    <row r="27" spans="2:6" ht="15.75">
      <c r="B27" s="319" t="s">
        <v>148</v>
      </c>
      <c r="C27" s="320"/>
      <c r="D27" s="320"/>
      <c r="E27" s="320"/>
      <c r="F27" s="321"/>
    </row>
    <row r="28" spans="2:6" ht="15.75">
      <c r="B28" s="319" t="s">
        <v>163</v>
      </c>
      <c r="C28" s="320"/>
      <c r="D28" s="320"/>
      <c r="E28" s="320"/>
      <c r="F28" s="321"/>
    </row>
    <row r="29" spans="2:6" ht="15.75">
      <c r="B29" s="319" t="s">
        <v>105</v>
      </c>
      <c r="C29" s="320"/>
      <c r="D29" s="320"/>
      <c r="E29" s="320"/>
      <c r="F29" s="321"/>
    </row>
    <row r="30" spans="2:6" ht="15.75">
      <c r="B30" s="319" t="s">
        <v>169</v>
      </c>
      <c r="C30" s="320"/>
      <c r="D30" s="320"/>
      <c r="E30" s="320"/>
      <c r="F30" s="321"/>
    </row>
    <row r="31" spans="2:6" ht="15.75">
      <c r="B31" s="319" t="s">
        <v>165</v>
      </c>
      <c r="C31" s="320"/>
      <c r="D31" s="320"/>
      <c r="E31" s="320"/>
      <c r="F31" s="321"/>
    </row>
    <row r="32" spans="2:6" ht="15.75">
      <c r="B32" s="351" t="s">
        <v>359</v>
      </c>
      <c r="C32" s="351"/>
      <c r="D32" s="351"/>
      <c r="E32" s="351"/>
      <c r="F32" s="351"/>
    </row>
    <row r="33" spans="2:6" ht="15.75">
      <c r="B33" s="75"/>
      <c r="C33" s="75"/>
      <c r="D33" s="75"/>
      <c r="E33" s="75"/>
      <c r="F33" s="75"/>
    </row>
    <row r="34" spans="2:6" ht="15.75">
      <c r="B34" s="380" t="s">
        <v>284</v>
      </c>
      <c r="C34" s="380"/>
      <c r="D34" s="380"/>
      <c r="E34" s="380"/>
      <c r="F34" s="380"/>
    </row>
    <row r="35" spans="2:6" ht="409.5" customHeight="1">
      <c r="B35" s="312" t="s">
        <v>370</v>
      </c>
      <c r="C35" s="294"/>
      <c r="D35" s="294"/>
      <c r="E35" s="294"/>
      <c r="F35" s="295"/>
    </row>
    <row r="36" spans="2:6" ht="15.75">
      <c r="B36" s="60"/>
      <c r="C36" s="61"/>
      <c r="D36" s="61"/>
      <c r="E36" s="61"/>
      <c r="F36" s="61"/>
    </row>
    <row r="37" spans="2:6" ht="15.75">
      <c r="B37" s="305" t="s">
        <v>324</v>
      </c>
      <c r="C37" s="306"/>
      <c r="D37" s="306"/>
      <c r="E37" s="306"/>
      <c r="F37" s="307"/>
    </row>
    <row r="38" spans="2:6" ht="15.75">
      <c r="B38" s="100" t="s">
        <v>306</v>
      </c>
      <c r="C38" s="379"/>
      <c r="D38" s="379"/>
      <c r="E38" s="379"/>
      <c r="F38" s="379"/>
    </row>
    <row r="39" spans="2:6" ht="33.6" customHeight="1">
      <c r="B39" s="104" t="s">
        <v>371</v>
      </c>
      <c r="C39" s="379"/>
      <c r="D39" s="379"/>
      <c r="E39" s="379"/>
      <c r="F39" s="379"/>
    </row>
    <row r="40" spans="2:6" ht="15.75">
      <c r="B40" s="100" t="s">
        <v>363</v>
      </c>
      <c r="C40" s="293"/>
      <c r="D40" s="294"/>
      <c r="E40" s="294"/>
      <c r="F40" s="295"/>
    </row>
    <row r="41" spans="2:6" ht="15.75">
      <c r="B41" s="56"/>
      <c r="C41" s="56"/>
      <c r="D41" s="56"/>
      <c r="E41" s="56"/>
      <c r="F41" s="56"/>
    </row>
    <row r="42" spans="2:6" ht="15.75">
      <c r="B42" s="305" t="s">
        <v>287</v>
      </c>
      <c r="C42" s="306"/>
      <c r="D42" s="306"/>
      <c r="E42" s="306"/>
      <c r="F42" s="307"/>
    </row>
    <row r="43" spans="2:6" ht="30.6" customHeight="1">
      <c r="B43" s="308" t="s">
        <v>372</v>
      </c>
      <c r="C43" s="349"/>
      <c r="D43" s="349"/>
      <c r="E43" s="349"/>
      <c r="F43" s="350"/>
    </row>
    <row r="44" spans="2:6" ht="15.75">
      <c r="B44" s="56"/>
      <c r="C44" s="56"/>
      <c r="D44" s="56"/>
      <c r="E44" s="56"/>
      <c r="F44" s="56"/>
    </row>
    <row r="45" spans="2:6" ht="30.6" customHeight="1">
      <c r="B45" s="313" t="s">
        <v>289</v>
      </c>
      <c r="C45" s="314"/>
      <c r="D45" s="314"/>
      <c r="E45" s="314"/>
      <c r="F45" s="315"/>
    </row>
    <row r="46" spans="2:6" ht="15.75">
      <c r="B46" s="62" t="s">
        <v>290</v>
      </c>
      <c r="C46" s="62" t="s">
        <v>291</v>
      </c>
      <c r="D46" s="305" t="s">
        <v>292</v>
      </c>
      <c r="E46" s="306"/>
      <c r="F46" s="307"/>
    </row>
    <row r="47" spans="2:6" ht="15.75">
      <c r="B47" s="63"/>
      <c r="C47" s="63"/>
      <c r="D47" s="316"/>
      <c r="E47" s="317"/>
      <c r="F47" s="318"/>
    </row>
    <row r="48" spans="2:6" ht="15.75">
      <c r="B48" s="63"/>
      <c r="C48" s="63"/>
      <c r="D48" s="316"/>
      <c r="E48" s="317"/>
      <c r="F48" s="318"/>
    </row>
    <row r="49" spans="2:6" ht="15.75">
      <c r="B49" s="64"/>
      <c r="C49" s="64"/>
      <c r="D49" s="316"/>
      <c r="E49" s="317"/>
      <c r="F49" s="318"/>
    </row>
    <row r="50" spans="2:6" ht="15.75">
      <c r="B50" s="56"/>
      <c r="C50" s="56"/>
      <c r="D50" s="56"/>
      <c r="E50" s="56"/>
      <c r="F50" s="56"/>
    </row>
    <row r="51" spans="2:6" ht="15.75">
      <c r="B51" s="305" t="s">
        <v>293</v>
      </c>
      <c r="C51" s="306"/>
      <c r="D51" s="306"/>
      <c r="E51" s="306"/>
      <c r="F51" s="307"/>
    </row>
    <row r="52" spans="2:6" ht="92.1" customHeight="1">
      <c r="B52" s="312" t="s">
        <v>365</v>
      </c>
      <c r="C52" s="294"/>
      <c r="D52" s="294"/>
      <c r="E52" s="294"/>
      <c r="F52" s="295"/>
    </row>
  </sheetData>
  <mergeCells count="39">
    <mergeCell ref="D47:F47"/>
    <mergeCell ref="D48:F48"/>
    <mergeCell ref="D49:F49"/>
    <mergeCell ref="B51:F51"/>
    <mergeCell ref="B52:F52"/>
    <mergeCell ref="B42:F42"/>
    <mergeCell ref="B43:F43"/>
    <mergeCell ref="B45:F45"/>
    <mergeCell ref="D46:F46"/>
    <mergeCell ref="B34:F34"/>
    <mergeCell ref="B35:F35"/>
    <mergeCell ref="B37:F37"/>
    <mergeCell ref="C38:F38"/>
    <mergeCell ref="C39:F39"/>
    <mergeCell ref="C40:F40"/>
    <mergeCell ref="B32:F32"/>
    <mergeCell ref="B19:F19"/>
    <mergeCell ref="B20:F20"/>
    <mergeCell ref="B21:F21"/>
    <mergeCell ref="B23:F23"/>
    <mergeCell ref="B24:F24"/>
    <mergeCell ref="B26:F26"/>
    <mergeCell ref="B27:F27"/>
    <mergeCell ref="B28:F28"/>
    <mergeCell ref="B29:F29"/>
    <mergeCell ref="B30:F30"/>
    <mergeCell ref="B31:F31"/>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7:C49">
      <formula1>"Académique, Professionnel, Associatif, Autre"</formula1>
    </dataValidation>
  </dataValidations>
  <hyperlinks>
    <hyperlink ref="B1" location="'Schéma d''enseignement'!G14" display="Schéma d'enseignement"/>
  </hyperlinks>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5"/>
  </sheetPr>
  <dimension ref="B1:F50"/>
  <sheetViews>
    <sheetView workbookViewId="0">
      <selection activeCell="B1" sqref="B1"/>
    </sheetView>
  </sheetViews>
  <sheetFormatPr baseColWidth="10" defaultColWidth="8.85546875" defaultRowHeight="15"/>
  <cols>
    <col min="1" max="1" width="2.570312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c r="B1" s="192" t="s">
        <v>783</v>
      </c>
    </row>
    <row r="2" spans="2:6" ht="15.75">
      <c r="B2" s="54" t="s">
        <v>252</v>
      </c>
      <c r="C2" s="55"/>
      <c r="D2" s="55"/>
      <c r="E2" s="55"/>
      <c r="F2" s="55"/>
    </row>
    <row r="3" spans="2:6" ht="15.75">
      <c r="B3" s="56"/>
      <c r="C3" s="56"/>
      <c r="D3" s="56"/>
      <c r="E3" s="56"/>
      <c r="F3" s="56"/>
    </row>
    <row r="4" spans="2:6" ht="15.75">
      <c r="B4" s="57" t="s">
        <v>253</v>
      </c>
      <c r="C4" s="291" t="s">
        <v>311</v>
      </c>
      <c r="D4" s="291"/>
      <c r="E4" s="291"/>
      <c r="F4" s="291"/>
    </row>
    <row r="5" spans="2:6" ht="15" customHeight="1">
      <c r="B5" s="58" t="s">
        <v>255</v>
      </c>
      <c r="C5" s="292" t="s">
        <v>256</v>
      </c>
      <c r="D5" s="292"/>
      <c r="E5" s="292"/>
      <c r="F5" s="292"/>
    </row>
    <row r="6" spans="2:6" ht="15.75">
      <c r="B6" s="57" t="s">
        <v>257</v>
      </c>
      <c r="C6" s="291" t="s">
        <v>373</v>
      </c>
      <c r="D6" s="291"/>
      <c r="E6" s="291"/>
      <c r="F6" s="291"/>
    </row>
    <row r="7" spans="2:6" ht="15.75">
      <c r="B7" s="57" t="s">
        <v>259</v>
      </c>
      <c r="C7" s="291" t="s">
        <v>260</v>
      </c>
      <c r="D7" s="291"/>
      <c r="E7" s="291"/>
      <c r="F7" s="291"/>
    </row>
    <row r="8" spans="2:6" ht="15.75">
      <c r="B8" s="57" t="s">
        <v>261</v>
      </c>
      <c r="C8" s="291" t="s">
        <v>383</v>
      </c>
      <c r="D8" s="291"/>
      <c r="E8" s="291"/>
      <c r="F8" s="291"/>
    </row>
    <row r="9" spans="2:6" ht="15.75">
      <c r="B9" s="57" t="s">
        <v>263</v>
      </c>
      <c r="C9" s="291">
        <v>3</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v>43200</v>
      </c>
      <c r="C13" s="300"/>
      <c r="D13" s="291" t="s">
        <v>310</v>
      </c>
      <c r="E13" s="291"/>
      <c r="F13" s="291"/>
    </row>
    <row r="14" spans="2:6" ht="15.75">
      <c r="B14" s="56"/>
      <c r="C14" s="56"/>
      <c r="D14" s="56"/>
      <c r="E14" s="56"/>
      <c r="F14" s="56"/>
    </row>
    <row r="15" spans="2:6" ht="15.75">
      <c r="B15" s="59" t="s">
        <v>267</v>
      </c>
      <c r="C15" s="59" t="s">
        <v>268</v>
      </c>
      <c r="D15" s="59" t="s">
        <v>269</v>
      </c>
      <c r="E15" s="59" t="s">
        <v>270</v>
      </c>
      <c r="F15" s="59" t="s">
        <v>271</v>
      </c>
    </row>
    <row r="16" spans="2:6" ht="31.5">
      <c r="B16" s="26" t="s">
        <v>374</v>
      </c>
      <c r="C16" s="21">
        <v>42</v>
      </c>
      <c r="D16" s="21">
        <v>3</v>
      </c>
      <c r="E16" s="21">
        <v>3</v>
      </c>
      <c r="F16" s="21" t="s">
        <v>272</v>
      </c>
    </row>
    <row r="17" spans="2:6" ht="15.75">
      <c r="B17" s="74"/>
      <c r="C17" s="75"/>
      <c r="D17" s="75"/>
      <c r="E17" s="75"/>
      <c r="F17" s="75"/>
    </row>
    <row r="18" spans="2:6" ht="15.75">
      <c r="B18" s="305" t="s">
        <v>273</v>
      </c>
      <c r="C18" s="306"/>
      <c r="D18" s="306"/>
      <c r="E18" s="306"/>
      <c r="F18" s="307"/>
    </row>
    <row r="19" spans="2:6" ht="30.95" customHeight="1">
      <c r="B19" s="308" t="s">
        <v>375</v>
      </c>
      <c r="C19" s="365"/>
      <c r="D19" s="365"/>
      <c r="E19" s="365"/>
      <c r="F19" s="366"/>
    </row>
    <row r="20" spans="2:6" ht="15.75">
      <c r="B20" s="305" t="s">
        <v>275</v>
      </c>
      <c r="C20" s="306"/>
      <c r="D20" s="306"/>
      <c r="E20" s="306"/>
      <c r="F20" s="307"/>
    </row>
    <row r="21" spans="2:6" ht="67.5" customHeight="1">
      <c r="B21" s="312" t="s">
        <v>384</v>
      </c>
      <c r="C21" s="294"/>
      <c r="D21" s="294"/>
      <c r="E21" s="294"/>
      <c r="F21" s="295"/>
    </row>
    <row r="22" spans="2:6" ht="15.75">
      <c r="B22" s="56"/>
      <c r="C22" s="56"/>
      <c r="D22" s="56"/>
      <c r="E22" s="56"/>
      <c r="F22" s="56"/>
    </row>
    <row r="23" spans="2:6" ht="15.75">
      <c r="B23" s="305" t="s">
        <v>277</v>
      </c>
      <c r="C23" s="306"/>
      <c r="D23" s="306"/>
      <c r="E23" s="306"/>
      <c r="F23" s="307"/>
    </row>
    <row r="24" spans="2:6" ht="32.450000000000003" customHeight="1">
      <c r="B24" s="308" t="s">
        <v>376</v>
      </c>
      <c r="C24" s="365"/>
      <c r="D24" s="365"/>
      <c r="E24" s="365"/>
      <c r="F24" s="366"/>
    </row>
    <row r="25" spans="2:6" ht="15.75">
      <c r="B25" s="56"/>
      <c r="C25" s="56"/>
      <c r="D25" s="56"/>
      <c r="E25" s="56"/>
      <c r="F25" s="56"/>
    </row>
    <row r="26" spans="2:6" ht="15.75">
      <c r="B26" s="305" t="s">
        <v>279</v>
      </c>
      <c r="C26" s="306"/>
      <c r="D26" s="306"/>
      <c r="E26" s="306"/>
      <c r="F26" s="307"/>
    </row>
    <row r="27" spans="2:6" ht="15.75">
      <c r="B27" s="319" t="s">
        <v>377</v>
      </c>
      <c r="C27" s="320"/>
      <c r="D27" s="320"/>
      <c r="E27" s="320"/>
      <c r="F27" s="321"/>
    </row>
    <row r="28" spans="2:6" ht="15.75">
      <c r="B28" s="319" t="s">
        <v>378</v>
      </c>
      <c r="C28" s="320"/>
      <c r="D28" s="320"/>
      <c r="E28" s="320"/>
      <c r="F28" s="321"/>
    </row>
    <row r="29" spans="2:6" ht="15.75">
      <c r="B29" s="351" t="s">
        <v>160</v>
      </c>
      <c r="C29" s="351"/>
      <c r="D29" s="351"/>
      <c r="E29" s="351"/>
      <c r="F29" s="351"/>
    </row>
    <row r="30" spans="2:6" ht="15.75">
      <c r="B30" s="56"/>
      <c r="C30" s="56"/>
      <c r="D30" s="56"/>
      <c r="E30" s="56"/>
      <c r="F30" s="56"/>
    </row>
    <row r="31" spans="2:6" ht="15.75">
      <c r="B31" s="305" t="s">
        <v>284</v>
      </c>
      <c r="C31" s="306"/>
      <c r="D31" s="306"/>
      <c r="E31" s="306"/>
      <c r="F31" s="307"/>
    </row>
    <row r="32" spans="2:6" ht="108.6" customHeight="1">
      <c r="B32" s="312" t="s">
        <v>385</v>
      </c>
      <c r="C32" s="294"/>
      <c r="D32" s="294"/>
      <c r="E32" s="294"/>
      <c r="F32" s="295"/>
    </row>
    <row r="33" spans="2:6" ht="15.75">
      <c r="B33" s="60"/>
      <c r="C33" s="61"/>
      <c r="D33" s="61"/>
      <c r="E33" s="61"/>
      <c r="F33" s="61"/>
    </row>
    <row r="34" spans="2:6" ht="15.75">
      <c r="B34" s="305" t="s">
        <v>324</v>
      </c>
      <c r="C34" s="306"/>
      <c r="D34" s="306"/>
      <c r="E34" s="306"/>
      <c r="F34" s="307"/>
    </row>
    <row r="35" spans="2:6" ht="15.75">
      <c r="B35" s="100" t="s">
        <v>379</v>
      </c>
      <c r="C35" s="379"/>
      <c r="D35" s="379"/>
      <c r="E35" s="379"/>
      <c r="F35" s="379"/>
    </row>
    <row r="36" spans="2:6" ht="15.75">
      <c r="B36" s="100" t="s">
        <v>361</v>
      </c>
      <c r="C36" s="379"/>
      <c r="D36" s="379"/>
      <c r="E36" s="379"/>
      <c r="F36" s="379"/>
    </row>
    <row r="37" spans="2:6" ht="15.75">
      <c r="B37" s="100" t="s">
        <v>380</v>
      </c>
      <c r="C37" s="293"/>
      <c r="D37" s="294"/>
      <c r="E37" s="294"/>
      <c r="F37" s="295"/>
    </row>
    <row r="38" spans="2:6" ht="31.5">
      <c r="B38" s="104" t="s">
        <v>381</v>
      </c>
      <c r="C38" s="379"/>
      <c r="D38" s="379"/>
      <c r="E38" s="379"/>
      <c r="F38" s="379"/>
    </row>
    <row r="39" spans="2:6" ht="15.75">
      <c r="B39" s="56"/>
      <c r="C39" s="56"/>
      <c r="D39" s="56"/>
      <c r="E39" s="56"/>
      <c r="F39" s="56"/>
    </row>
    <row r="40" spans="2:6" ht="15.75">
      <c r="B40" s="305" t="s">
        <v>287</v>
      </c>
      <c r="C40" s="306"/>
      <c r="D40" s="306"/>
      <c r="E40" s="306"/>
      <c r="F40" s="307"/>
    </row>
    <row r="41" spans="2:6" ht="18" customHeight="1">
      <c r="B41" s="308" t="s">
        <v>386</v>
      </c>
      <c r="C41" s="294"/>
      <c r="D41" s="294"/>
      <c r="E41" s="294"/>
      <c r="F41" s="295"/>
    </row>
    <row r="42" spans="2:6" ht="15.75">
      <c r="B42" s="56"/>
      <c r="C42" s="56"/>
      <c r="D42" s="56"/>
      <c r="E42" s="56"/>
      <c r="F42" s="56"/>
    </row>
    <row r="43" spans="2:6" ht="15.75">
      <c r="B43" s="305" t="s">
        <v>289</v>
      </c>
      <c r="C43" s="306"/>
      <c r="D43" s="306"/>
      <c r="E43" s="306"/>
      <c r="F43" s="307"/>
    </row>
    <row r="44" spans="2:6" ht="15.75">
      <c r="B44" s="62" t="s">
        <v>290</v>
      </c>
      <c r="C44" s="62" t="s">
        <v>291</v>
      </c>
      <c r="D44" s="305" t="s">
        <v>292</v>
      </c>
      <c r="E44" s="306"/>
      <c r="F44" s="307"/>
    </row>
    <row r="45" spans="2:6" ht="15.75">
      <c r="B45" s="100"/>
      <c r="C45" s="63"/>
      <c r="D45" s="316"/>
      <c r="E45" s="317"/>
      <c r="F45" s="318"/>
    </row>
    <row r="46" spans="2:6" ht="15.75">
      <c r="B46" s="63"/>
      <c r="C46" s="63"/>
      <c r="D46" s="95"/>
      <c r="E46" s="96"/>
      <c r="F46" s="73"/>
    </row>
    <row r="47" spans="2:6" ht="15.75">
      <c r="B47" s="64"/>
      <c r="C47" s="64"/>
      <c r="D47" s="316"/>
      <c r="E47" s="317"/>
      <c r="F47" s="318"/>
    </row>
    <row r="48" spans="2:6" ht="15.75">
      <c r="B48" s="56"/>
      <c r="C48" s="56"/>
      <c r="D48" s="56"/>
      <c r="E48" s="56"/>
      <c r="F48" s="56"/>
    </row>
    <row r="49" spans="2:6" ht="15.75">
      <c r="B49" s="305" t="s">
        <v>293</v>
      </c>
      <c r="C49" s="306"/>
      <c r="D49" s="306"/>
      <c r="E49" s="306"/>
      <c r="F49" s="307"/>
    </row>
    <row r="50" spans="2:6" ht="44.45" customHeight="1">
      <c r="B50" s="308" t="s">
        <v>382</v>
      </c>
      <c r="C50" s="294"/>
      <c r="D50" s="294"/>
      <c r="E50" s="294"/>
      <c r="F50" s="295"/>
    </row>
  </sheetData>
  <mergeCells count="36">
    <mergeCell ref="B50:F50"/>
    <mergeCell ref="B41:F41"/>
    <mergeCell ref="B43:F43"/>
    <mergeCell ref="D44:F44"/>
    <mergeCell ref="D45:F45"/>
    <mergeCell ref="D47:F47"/>
    <mergeCell ref="B49:F49"/>
    <mergeCell ref="C35:F35"/>
    <mergeCell ref="C36:F36"/>
    <mergeCell ref="C37:F37"/>
    <mergeCell ref="C38:F38"/>
    <mergeCell ref="B40:F40"/>
    <mergeCell ref="B31:F31"/>
    <mergeCell ref="B32:F32"/>
    <mergeCell ref="B34:F34"/>
    <mergeCell ref="B27:F27"/>
    <mergeCell ref="B28:F28"/>
    <mergeCell ref="B29:F29"/>
    <mergeCell ref="B26:F26"/>
    <mergeCell ref="B11:F11"/>
    <mergeCell ref="B12:C12"/>
    <mergeCell ref="D12:F12"/>
    <mergeCell ref="B13:C13"/>
    <mergeCell ref="D13:F13"/>
    <mergeCell ref="B18:F18"/>
    <mergeCell ref="B19:F19"/>
    <mergeCell ref="B20:F20"/>
    <mergeCell ref="B21:F21"/>
    <mergeCell ref="B23:F23"/>
    <mergeCell ref="B24:F24"/>
    <mergeCell ref="C9:F9"/>
    <mergeCell ref="C4:F4"/>
    <mergeCell ref="C5:F5"/>
    <mergeCell ref="C6:F6"/>
    <mergeCell ref="C7:F7"/>
    <mergeCell ref="C8:F8"/>
  </mergeCells>
  <dataValidations disablePrompts="1" count="2">
    <dataValidation type="list" allowBlank="1" showInputMessage="1" showErrorMessage="1" sqref="C4">
      <formula1>"Mise à jour à partir du plan d'études, Nouvelle création"</formula1>
    </dataValidation>
    <dataValidation type="list" allowBlank="1" showInputMessage="1" showErrorMessage="1" sqref="C45:C47">
      <formula1>"Académique, Professionnel, Associatif, Autre"</formula1>
    </dataValidation>
  </dataValidations>
  <hyperlinks>
    <hyperlink ref="B1" location="'Schéma d''enseignement'!G15" display="Schéma d'enseignement"/>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2"/>
  <sheetViews>
    <sheetView workbookViewId="0">
      <selection activeCell="B1" sqref="B1"/>
    </sheetView>
  </sheetViews>
  <sheetFormatPr baseColWidth="10" defaultColWidth="9.140625" defaultRowHeight="15.75"/>
  <cols>
    <col min="1" max="1" width="1.140625" style="99" customWidth="1"/>
    <col min="2" max="2" width="29.42578125" style="99" customWidth="1"/>
    <col min="3" max="3" width="15.5703125" style="99" customWidth="1"/>
    <col min="4" max="4" width="11.85546875" style="99" customWidth="1"/>
    <col min="5" max="5" width="7" style="99" customWidth="1"/>
    <col min="6" max="6" width="32.5703125" style="99" customWidth="1"/>
    <col min="7" max="7" width="8.140625" style="99" customWidth="1"/>
    <col min="8" max="8" width="20.140625" style="99" customWidth="1"/>
    <col min="9" max="9" width="119.85546875" style="99" customWidth="1"/>
    <col min="10" max="10" width="11.5703125" style="99" customWidth="1"/>
    <col min="11" max="11" width="128.140625" style="99" customWidth="1"/>
    <col min="12" max="256" width="11.5703125" style="99" customWidth="1"/>
    <col min="257" max="257" width="1.140625" style="99" customWidth="1"/>
    <col min="258" max="258" width="29.42578125" style="99" customWidth="1"/>
    <col min="259" max="259" width="15.5703125" style="99" customWidth="1"/>
    <col min="260" max="260" width="11.85546875" style="99" customWidth="1"/>
    <col min="261" max="261" width="7" style="99" customWidth="1"/>
    <col min="262" max="262" width="32.5703125" style="99" customWidth="1"/>
    <col min="263" max="263" width="8.140625" style="99" customWidth="1"/>
    <col min="264" max="264" width="20.140625" style="99" customWidth="1"/>
    <col min="265" max="265" width="119.85546875" style="99" customWidth="1"/>
    <col min="266" max="266" width="11.5703125" style="99" customWidth="1"/>
    <col min="267" max="267" width="128.140625" style="99" customWidth="1"/>
    <col min="268" max="512" width="11.5703125" style="99" customWidth="1"/>
    <col min="513" max="513" width="1.140625" style="99" customWidth="1"/>
    <col min="514" max="514" width="29.42578125" style="99" customWidth="1"/>
    <col min="515" max="515" width="15.5703125" style="99" customWidth="1"/>
    <col min="516" max="516" width="11.85546875" style="99" customWidth="1"/>
    <col min="517" max="517" width="7" style="99" customWidth="1"/>
    <col min="518" max="518" width="32.5703125" style="99" customWidth="1"/>
    <col min="519" max="519" width="8.140625" style="99" customWidth="1"/>
    <col min="520" max="520" width="20.140625" style="99" customWidth="1"/>
    <col min="521" max="521" width="119.85546875" style="99" customWidth="1"/>
    <col min="522" max="522" width="11.5703125" style="99" customWidth="1"/>
    <col min="523" max="523" width="128.140625" style="99" customWidth="1"/>
    <col min="524" max="768" width="11.5703125" style="99" customWidth="1"/>
    <col min="769" max="769" width="1.140625" style="99" customWidth="1"/>
    <col min="770" max="770" width="29.42578125" style="99" customWidth="1"/>
    <col min="771" max="771" width="15.5703125" style="99" customWidth="1"/>
    <col min="772" max="772" width="11.85546875" style="99" customWidth="1"/>
    <col min="773" max="773" width="7" style="99" customWidth="1"/>
    <col min="774" max="774" width="32.5703125" style="99" customWidth="1"/>
    <col min="775" max="775" width="8.140625" style="99" customWidth="1"/>
    <col min="776" max="776" width="20.140625" style="99" customWidth="1"/>
    <col min="777" max="777" width="119.85546875" style="99" customWidth="1"/>
    <col min="778" max="778" width="11.5703125" style="99" customWidth="1"/>
    <col min="779" max="779" width="128.140625" style="99" customWidth="1"/>
    <col min="780" max="1024" width="11.5703125" style="99" customWidth="1"/>
    <col min="1025" max="1025" width="1.140625" style="99" customWidth="1"/>
    <col min="1026" max="1026" width="29.42578125" style="99" customWidth="1"/>
    <col min="1027" max="1027" width="15.5703125" style="99" customWidth="1"/>
    <col min="1028" max="1028" width="11.85546875" style="99" customWidth="1"/>
    <col min="1029" max="1029" width="7" style="99" customWidth="1"/>
    <col min="1030" max="1030" width="32.5703125" style="99" customWidth="1"/>
    <col min="1031" max="1031" width="8.140625" style="99" customWidth="1"/>
    <col min="1032" max="1032" width="20.140625" style="99" customWidth="1"/>
    <col min="1033" max="1033" width="119.85546875" style="99" customWidth="1"/>
    <col min="1034" max="1034" width="11.5703125" style="99" customWidth="1"/>
    <col min="1035" max="1035" width="128.140625" style="99" customWidth="1"/>
    <col min="1036" max="1280" width="11.5703125" style="99" customWidth="1"/>
    <col min="1281" max="1281" width="1.140625" style="99" customWidth="1"/>
    <col min="1282" max="1282" width="29.42578125" style="99" customWidth="1"/>
    <col min="1283" max="1283" width="15.5703125" style="99" customWidth="1"/>
    <col min="1284" max="1284" width="11.85546875" style="99" customWidth="1"/>
    <col min="1285" max="1285" width="7" style="99" customWidth="1"/>
    <col min="1286" max="1286" width="32.5703125" style="99" customWidth="1"/>
    <col min="1287" max="1287" width="8.140625" style="99" customWidth="1"/>
    <col min="1288" max="1288" width="20.140625" style="99" customWidth="1"/>
    <col min="1289" max="1289" width="119.85546875" style="99" customWidth="1"/>
    <col min="1290" max="1290" width="11.5703125" style="99" customWidth="1"/>
    <col min="1291" max="1291" width="128.140625" style="99" customWidth="1"/>
    <col min="1292" max="1536" width="11.5703125" style="99" customWidth="1"/>
    <col min="1537" max="1537" width="1.140625" style="99" customWidth="1"/>
    <col min="1538" max="1538" width="29.42578125" style="99" customWidth="1"/>
    <col min="1539" max="1539" width="15.5703125" style="99" customWidth="1"/>
    <col min="1540" max="1540" width="11.85546875" style="99" customWidth="1"/>
    <col min="1541" max="1541" width="7" style="99" customWidth="1"/>
    <col min="1542" max="1542" width="32.5703125" style="99" customWidth="1"/>
    <col min="1543" max="1543" width="8.140625" style="99" customWidth="1"/>
    <col min="1544" max="1544" width="20.140625" style="99" customWidth="1"/>
    <col min="1545" max="1545" width="119.85546875" style="99" customWidth="1"/>
    <col min="1546" max="1546" width="11.5703125" style="99" customWidth="1"/>
    <col min="1547" max="1547" width="128.140625" style="99" customWidth="1"/>
    <col min="1548" max="1792" width="11.5703125" style="99" customWidth="1"/>
    <col min="1793" max="1793" width="1.140625" style="99" customWidth="1"/>
    <col min="1794" max="1794" width="29.42578125" style="99" customWidth="1"/>
    <col min="1795" max="1795" width="15.5703125" style="99" customWidth="1"/>
    <col min="1796" max="1796" width="11.85546875" style="99" customWidth="1"/>
    <col min="1797" max="1797" width="7" style="99" customWidth="1"/>
    <col min="1798" max="1798" width="32.5703125" style="99" customWidth="1"/>
    <col min="1799" max="1799" width="8.140625" style="99" customWidth="1"/>
    <col min="1800" max="1800" width="20.140625" style="99" customWidth="1"/>
    <col min="1801" max="1801" width="119.85546875" style="99" customWidth="1"/>
    <col min="1802" max="1802" width="11.5703125" style="99" customWidth="1"/>
    <col min="1803" max="1803" width="128.140625" style="99" customWidth="1"/>
    <col min="1804" max="2048" width="11.5703125" style="99" customWidth="1"/>
    <col min="2049" max="2049" width="1.140625" style="99" customWidth="1"/>
    <col min="2050" max="2050" width="29.42578125" style="99" customWidth="1"/>
    <col min="2051" max="2051" width="15.5703125" style="99" customWidth="1"/>
    <col min="2052" max="2052" width="11.85546875" style="99" customWidth="1"/>
    <col min="2053" max="2053" width="7" style="99" customWidth="1"/>
    <col min="2054" max="2054" width="32.5703125" style="99" customWidth="1"/>
    <col min="2055" max="2055" width="8.140625" style="99" customWidth="1"/>
    <col min="2056" max="2056" width="20.140625" style="99" customWidth="1"/>
    <col min="2057" max="2057" width="119.85546875" style="99" customWidth="1"/>
    <col min="2058" max="2058" width="11.5703125" style="99" customWidth="1"/>
    <col min="2059" max="2059" width="128.140625" style="99" customWidth="1"/>
    <col min="2060" max="2304" width="11.5703125" style="99" customWidth="1"/>
    <col min="2305" max="2305" width="1.140625" style="99" customWidth="1"/>
    <col min="2306" max="2306" width="29.42578125" style="99" customWidth="1"/>
    <col min="2307" max="2307" width="15.5703125" style="99" customWidth="1"/>
    <col min="2308" max="2308" width="11.85546875" style="99" customWidth="1"/>
    <col min="2309" max="2309" width="7" style="99" customWidth="1"/>
    <col min="2310" max="2310" width="32.5703125" style="99" customWidth="1"/>
    <col min="2311" max="2311" width="8.140625" style="99" customWidth="1"/>
    <col min="2312" max="2312" width="20.140625" style="99" customWidth="1"/>
    <col min="2313" max="2313" width="119.85546875" style="99" customWidth="1"/>
    <col min="2314" max="2314" width="11.5703125" style="99" customWidth="1"/>
    <col min="2315" max="2315" width="128.140625" style="99" customWidth="1"/>
    <col min="2316" max="2560" width="11.5703125" style="99" customWidth="1"/>
    <col min="2561" max="2561" width="1.140625" style="99" customWidth="1"/>
    <col min="2562" max="2562" width="29.42578125" style="99" customWidth="1"/>
    <col min="2563" max="2563" width="15.5703125" style="99" customWidth="1"/>
    <col min="2564" max="2564" width="11.85546875" style="99" customWidth="1"/>
    <col min="2565" max="2565" width="7" style="99" customWidth="1"/>
    <col min="2566" max="2566" width="32.5703125" style="99" customWidth="1"/>
    <col min="2567" max="2567" width="8.140625" style="99" customWidth="1"/>
    <col min="2568" max="2568" width="20.140625" style="99" customWidth="1"/>
    <col min="2569" max="2569" width="119.85546875" style="99" customWidth="1"/>
    <col min="2570" max="2570" width="11.5703125" style="99" customWidth="1"/>
    <col min="2571" max="2571" width="128.140625" style="99" customWidth="1"/>
    <col min="2572" max="2816" width="11.5703125" style="99" customWidth="1"/>
    <col min="2817" max="2817" width="1.140625" style="99" customWidth="1"/>
    <col min="2818" max="2818" width="29.42578125" style="99" customWidth="1"/>
    <col min="2819" max="2819" width="15.5703125" style="99" customWidth="1"/>
    <col min="2820" max="2820" width="11.85546875" style="99" customWidth="1"/>
    <col min="2821" max="2821" width="7" style="99" customWidth="1"/>
    <col min="2822" max="2822" width="32.5703125" style="99" customWidth="1"/>
    <col min="2823" max="2823" width="8.140625" style="99" customWidth="1"/>
    <col min="2824" max="2824" width="20.140625" style="99" customWidth="1"/>
    <col min="2825" max="2825" width="119.85546875" style="99" customWidth="1"/>
    <col min="2826" max="2826" width="11.5703125" style="99" customWidth="1"/>
    <col min="2827" max="2827" width="128.140625" style="99" customWidth="1"/>
    <col min="2828" max="3072" width="11.5703125" style="99" customWidth="1"/>
    <col min="3073" max="3073" width="1.140625" style="99" customWidth="1"/>
    <col min="3074" max="3074" width="29.42578125" style="99" customWidth="1"/>
    <col min="3075" max="3075" width="15.5703125" style="99" customWidth="1"/>
    <col min="3076" max="3076" width="11.85546875" style="99" customWidth="1"/>
    <col min="3077" max="3077" width="7" style="99" customWidth="1"/>
    <col min="3078" max="3078" width="32.5703125" style="99" customWidth="1"/>
    <col min="3079" max="3079" width="8.140625" style="99" customWidth="1"/>
    <col min="3080" max="3080" width="20.140625" style="99" customWidth="1"/>
    <col min="3081" max="3081" width="119.85546875" style="99" customWidth="1"/>
    <col min="3082" max="3082" width="11.5703125" style="99" customWidth="1"/>
    <col min="3083" max="3083" width="128.140625" style="99" customWidth="1"/>
    <col min="3084" max="3328" width="11.5703125" style="99" customWidth="1"/>
    <col min="3329" max="3329" width="1.140625" style="99" customWidth="1"/>
    <col min="3330" max="3330" width="29.42578125" style="99" customWidth="1"/>
    <col min="3331" max="3331" width="15.5703125" style="99" customWidth="1"/>
    <col min="3332" max="3332" width="11.85546875" style="99" customWidth="1"/>
    <col min="3333" max="3333" width="7" style="99" customWidth="1"/>
    <col min="3334" max="3334" width="32.5703125" style="99" customWidth="1"/>
    <col min="3335" max="3335" width="8.140625" style="99" customWidth="1"/>
    <col min="3336" max="3336" width="20.140625" style="99" customWidth="1"/>
    <col min="3337" max="3337" width="119.85546875" style="99" customWidth="1"/>
    <col min="3338" max="3338" width="11.5703125" style="99" customWidth="1"/>
    <col min="3339" max="3339" width="128.140625" style="99" customWidth="1"/>
    <col min="3340" max="3584" width="11.5703125" style="99" customWidth="1"/>
    <col min="3585" max="3585" width="1.140625" style="99" customWidth="1"/>
    <col min="3586" max="3586" width="29.42578125" style="99" customWidth="1"/>
    <col min="3587" max="3587" width="15.5703125" style="99" customWidth="1"/>
    <col min="3588" max="3588" width="11.85546875" style="99" customWidth="1"/>
    <col min="3589" max="3589" width="7" style="99" customWidth="1"/>
    <col min="3590" max="3590" width="32.5703125" style="99" customWidth="1"/>
    <col min="3591" max="3591" width="8.140625" style="99" customWidth="1"/>
    <col min="3592" max="3592" width="20.140625" style="99" customWidth="1"/>
    <col min="3593" max="3593" width="119.85546875" style="99" customWidth="1"/>
    <col min="3594" max="3594" width="11.5703125" style="99" customWidth="1"/>
    <col min="3595" max="3595" width="128.140625" style="99" customWidth="1"/>
    <col min="3596" max="3840" width="11.5703125" style="99" customWidth="1"/>
    <col min="3841" max="3841" width="1.140625" style="99" customWidth="1"/>
    <col min="3842" max="3842" width="29.42578125" style="99" customWidth="1"/>
    <col min="3843" max="3843" width="15.5703125" style="99" customWidth="1"/>
    <col min="3844" max="3844" width="11.85546875" style="99" customWidth="1"/>
    <col min="3845" max="3845" width="7" style="99" customWidth="1"/>
    <col min="3846" max="3846" width="32.5703125" style="99" customWidth="1"/>
    <col min="3847" max="3847" width="8.140625" style="99" customWidth="1"/>
    <col min="3848" max="3848" width="20.140625" style="99" customWidth="1"/>
    <col min="3849" max="3849" width="119.85546875" style="99" customWidth="1"/>
    <col min="3850" max="3850" width="11.5703125" style="99" customWidth="1"/>
    <col min="3851" max="3851" width="128.140625" style="99" customWidth="1"/>
    <col min="3852" max="4096" width="11.5703125" style="99" customWidth="1"/>
    <col min="4097" max="4097" width="1.140625" style="99" customWidth="1"/>
    <col min="4098" max="4098" width="29.42578125" style="99" customWidth="1"/>
    <col min="4099" max="4099" width="15.5703125" style="99" customWidth="1"/>
    <col min="4100" max="4100" width="11.85546875" style="99" customWidth="1"/>
    <col min="4101" max="4101" width="7" style="99" customWidth="1"/>
    <col min="4102" max="4102" width="32.5703125" style="99" customWidth="1"/>
    <col min="4103" max="4103" width="8.140625" style="99" customWidth="1"/>
    <col min="4104" max="4104" width="20.140625" style="99" customWidth="1"/>
    <col min="4105" max="4105" width="119.85546875" style="99" customWidth="1"/>
    <col min="4106" max="4106" width="11.5703125" style="99" customWidth="1"/>
    <col min="4107" max="4107" width="128.140625" style="99" customWidth="1"/>
    <col min="4108" max="4352" width="11.5703125" style="99" customWidth="1"/>
    <col min="4353" max="4353" width="1.140625" style="99" customWidth="1"/>
    <col min="4354" max="4354" width="29.42578125" style="99" customWidth="1"/>
    <col min="4355" max="4355" width="15.5703125" style="99" customWidth="1"/>
    <col min="4356" max="4356" width="11.85546875" style="99" customWidth="1"/>
    <col min="4357" max="4357" width="7" style="99" customWidth="1"/>
    <col min="4358" max="4358" width="32.5703125" style="99" customWidth="1"/>
    <col min="4359" max="4359" width="8.140625" style="99" customWidth="1"/>
    <col min="4360" max="4360" width="20.140625" style="99" customWidth="1"/>
    <col min="4361" max="4361" width="119.85546875" style="99" customWidth="1"/>
    <col min="4362" max="4362" width="11.5703125" style="99" customWidth="1"/>
    <col min="4363" max="4363" width="128.140625" style="99" customWidth="1"/>
    <col min="4364" max="4608" width="11.5703125" style="99" customWidth="1"/>
    <col min="4609" max="4609" width="1.140625" style="99" customWidth="1"/>
    <col min="4610" max="4610" width="29.42578125" style="99" customWidth="1"/>
    <col min="4611" max="4611" width="15.5703125" style="99" customWidth="1"/>
    <col min="4612" max="4612" width="11.85546875" style="99" customWidth="1"/>
    <col min="4613" max="4613" width="7" style="99" customWidth="1"/>
    <col min="4614" max="4614" width="32.5703125" style="99" customWidth="1"/>
    <col min="4615" max="4615" width="8.140625" style="99" customWidth="1"/>
    <col min="4616" max="4616" width="20.140625" style="99" customWidth="1"/>
    <col min="4617" max="4617" width="119.85546875" style="99" customWidth="1"/>
    <col min="4618" max="4618" width="11.5703125" style="99" customWidth="1"/>
    <col min="4619" max="4619" width="128.140625" style="99" customWidth="1"/>
    <col min="4620" max="4864" width="11.5703125" style="99" customWidth="1"/>
    <col min="4865" max="4865" width="1.140625" style="99" customWidth="1"/>
    <col min="4866" max="4866" width="29.42578125" style="99" customWidth="1"/>
    <col min="4867" max="4867" width="15.5703125" style="99" customWidth="1"/>
    <col min="4868" max="4868" width="11.85546875" style="99" customWidth="1"/>
    <col min="4869" max="4869" width="7" style="99" customWidth="1"/>
    <col min="4870" max="4870" width="32.5703125" style="99" customWidth="1"/>
    <col min="4871" max="4871" width="8.140625" style="99" customWidth="1"/>
    <col min="4872" max="4872" width="20.140625" style="99" customWidth="1"/>
    <col min="4873" max="4873" width="119.85546875" style="99" customWidth="1"/>
    <col min="4874" max="4874" width="11.5703125" style="99" customWidth="1"/>
    <col min="4875" max="4875" width="128.140625" style="99" customWidth="1"/>
    <col min="4876" max="5120" width="11.5703125" style="99" customWidth="1"/>
    <col min="5121" max="5121" width="1.140625" style="99" customWidth="1"/>
    <col min="5122" max="5122" width="29.42578125" style="99" customWidth="1"/>
    <col min="5123" max="5123" width="15.5703125" style="99" customWidth="1"/>
    <col min="5124" max="5124" width="11.85546875" style="99" customWidth="1"/>
    <col min="5125" max="5125" width="7" style="99" customWidth="1"/>
    <col min="5126" max="5126" width="32.5703125" style="99" customWidth="1"/>
    <col min="5127" max="5127" width="8.140625" style="99" customWidth="1"/>
    <col min="5128" max="5128" width="20.140625" style="99" customWidth="1"/>
    <col min="5129" max="5129" width="119.85546875" style="99" customWidth="1"/>
    <col min="5130" max="5130" width="11.5703125" style="99" customWidth="1"/>
    <col min="5131" max="5131" width="128.140625" style="99" customWidth="1"/>
    <col min="5132" max="5376" width="11.5703125" style="99" customWidth="1"/>
    <col min="5377" max="5377" width="1.140625" style="99" customWidth="1"/>
    <col min="5378" max="5378" width="29.42578125" style="99" customWidth="1"/>
    <col min="5379" max="5379" width="15.5703125" style="99" customWidth="1"/>
    <col min="5380" max="5380" width="11.85546875" style="99" customWidth="1"/>
    <col min="5381" max="5381" width="7" style="99" customWidth="1"/>
    <col min="5382" max="5382" width="32.5703125" style="99" customWidth="1"/>
    <col min="5383" max="5383" width="8.140625" style="99" customWidth="1"/>
    <col min="5384" max="5384" width="20.140625" style="99" customWidth="1"/>
    <col min="5385" max="5385" width="119.85546875" style="99" customWidth="1"/>
    <col min="5386" max="5386" width="11.5703125" style="99" customWidth="1"/>
    <col min="5387" max="5387" width="128.140625" style="99" customWidth="1"/>
    <col min="5388" max="5632" width="11.5703125" style="99" customWidth="1"/>
    <col min="5633" max="5633" width="1.140625" style="99" customWidth="1"/>
    <col min="5634" max="5634" width="29.42578125" style="99" customWidth="1"/>
    <col min="5635" max="5635" width="15.5703125" style="99" customWidth="1"/>
    <col min="5636" max="5636" width="11.85546875" style="99" customWidth="1"/>
    <col min="5637" max="5637" width="7" style="99" customWidth="1"/>
    <col min="5638" max="5638" width="32.5703125" style="99" customWidth="1"/>
    <col min="5639" max="5639" width="8.140625" style="99" customWidth="1"/>
    <col min="5640" max="5640" width="20.140625" style="99" customWidth="1"/>
    <col min="5641" max="5641" width="119.85546875" style="99" customWidth="1"/>
    <col min="5642" max="5642" width="11.5703125" style="99" customWidth="1"/>
    <col min="5643" max="5643" width="128.140625" style="99" customWidth="1"/>
    <col min="5644" max="5888" width="11.5703125" style="99" customWidth="1"/>
    <col min="5889" max="5889" width="1.140625" style="99" customWidth="1"/>
    <col min="5890" max="5890" width="29.42578125" style="99" customWidth="1"/>
    <col min="5891" max="5891" width="15.5703125" style="99" customWidth="1"/>
    <col min="5892" max="5892" width="11.85546875" style="99" customWidth="1"/>
    <col min="5893" max="5893" width="7" style="99" customWidth="1"/>
    <col min="5894" max="5894" width="32.5703125" style="99" customWidth="1"/>
    <col min="5895" max="5895" width="8.140625" style="99" customWidth="1"/>
    <col min="5896" max="5896" width="20.140625" style="99" customWidth="1"/>
    <col min="5897" max="5897" width="119.85546875" style="99" customWidth="1"/>
    <col min="5898" max="5898" width="11.5703125" style="99" customWidth="1"/>
    <col min="5899" max="5899" width="128.140625" style="99" customWidth="1"/>
    <col min="5900" max="6144" width="11.5703125" style="99" customWidth="1"/>
    <col min="6145" max="6145" width="1.140625" style="99" customWidth="1"/>
    <col min="6146" max="6146" width="29.42578125" style="99" customWidth="1"/>
    <col min="6147" max="6147" width="15.5703125" style="99" customWidth="1"/>
    <col min="6148" max="6148" width="11.85546875" style="99" customWidth="1"/>
    <col min="6149" max="6149" width="7" style="99" customWidth="1"/>
    <col min="6150" max="6150" width="32.5703125" style="99" customWidth="1"/>
    <col min="6151" max="6151" width="8.140625" style="99" customWidth="1"/>
    <col min="6152" max="6152" width="20.140625" style="99" customWidth="1"/>
    <col min="6153" max="6153" width="119.85546875" style="99" customWidth="1"/>
    <col min="6154" max="6154" width="11.5703125" style="99" customWidth="1"/>
    <col min="6155" max="6155" width="128.140625" style="99" customWidth="1"/>
    <col min="6156" max="6400" width="11.5703125" style="99" customWidth="1"/>
    <col min="6401" max="6401" width="1.140625" style="99" customWidth="1"/>
    <col min="6402" max="6402" width="29.42578125" style="99" customWidth="1"/>
    <col min="6403" max="6403" width="15.5703125" style="99" customWidth="1"/>
    <col min="6404" max="6404" width="11.85546875" style="99" customWidth="1"/>
    <col min="6405" max="6405" width="7" style="99" customWidth="1"/>
    <col min="6406" max="6406" width="32.5703125" style="99" customWidth="1"/>
    <col min="6407" max="6407" width="8.140625" style="99" customWidth="1"/>
    <col min="6408" max="6408" width="20.140625" style="99" customWidth="1"/>
    <col min="6409" max="6409" width="119.85546875" style="99" customWidth="1"/>
    <col min="6410" max="6410" width="11.5703125" style="99" customWidth="1"/>
    <col min="6411" max="6411" width="128.140625" style="99" customWidth="1"/>
    <col min="6412" max="6656" width="11.5703125" style="99" customWidth="1"/>
    <col min="6657" max="6657" width="1.140625" style="99" customWidth="1"/>
    <col min="6658" max="6658" width="29.42578125" style="99" customWidth="1"/>
    <col min="6659" max="6659" width="15.5703125" style="99" customWidth="1"/>
    <col min="6660" max="6660" width="11.85546875" style="99" customWidth="1"/>
    <col min="6661" max="6661" width="7" style="99" customWidth="1"/>
    <col min="6662" max="6662" width="32.5703125" style="99" customWidth="1"/>
    <col min="6663" max="6663" width="8.140625" style="99" customWidth="1"/>
    <col min="6664" max="6664" width="20.140625" style="99" customWidth="1"/>
    <col min="6665" max="6665" width="119.85546875" style="99" customWidth="1"/>
    <col min="6666" max="6666" width="11.5703125" style="99" customWidth="1"/>
    <col min="6667" max="6667" width="128.140625" style="99" customWidth="1"/>
    <col min="6668" max="6912" width="11.5703125" style="99" customWidth="1"/>
    <col min="6913" max="6913" width="1.140625" style="99" customWidth="1"/>
    <col min="6914" max="6914" width="29.42578125" style="99" customWidth="1"/>
    <col min="6915" max="6915" width="15.5703125" style="99" customWidth="1"/>
    <col min="6916" max="6916" width="11.85546875" style="99" customWidth="1"/>
    <col min="6917" max="6917" width="7" style="99" customWidth="1"/>
    <col min="6918" max="6918" width="32.5703125" style="99" customWidth="1"/>
    <col min="6919" max="6919" width="8.140625" style="99" customWidth="1"/>
    <col min="6920" max="6920" width="20.140625" style="99" customWidth="1"/>
    <col min="6921" max="6921" width="119.85546875" style="99" customWidth="1"/>
    <col min="6922" max="6922" width="11.5703125" style="99" customWidth="1"/>
    <col min="6923" max="6923" width="128.140625" style="99" customWidth="1"/>
    <col min="6924" max="7168" width="11.5703125" style="99" customWidth="1"/>
    <col min="7169" max="7169" width="1.140625" style="99" customWidth="1"/>
    <col min="7170" max="7170" width="29.42578125" style="99" customWidth="1"/>
    <col min="7171" max="7171" width="15.5703125" style="99" customWidth="1"/>
    <col min="7172" max="7172" width="11.85546875" style="99" customWidth="1"/>
    <col min="7173" max="7173" width="7" style="99" customWidth="1"/>
    <col min="7174" max="7174" width="32.5703125" style="99" customWidth="1"/>
    <col min="7175" max="7175" width="8.140625" style="99" customWidth="1"/>
    <col min="7176" max="7176" width="20.140625" style="99" customWidth="1"/>
    <col min="7177" max="7177" width="119.85546875" style="99" customWidth="1"/>
    <col min="7178" max="7178" width="11.5703125" style="99" customWidth="1"/>
    <col min="7179" max="7179" width="128.140625" style="99" customWidth="1"/>
    <col min="7180" max="7424" width="11.5703125" style="99" customWidth="1"/>
    <col min="7425" max="7425" width="1.140625" style="99" customWidth="1"/>
    <col min="7426" max="7426" width="29.42578125" style="99" customWidth="1"/>
    <col min="7427" max="7427" width="15.5703125" style="99" customWidth="1"/>
    <col min="7428" max="7428" width="11.85546875" style="99" customWidth="1"/>
    <col min="7429" max="7429" width="7" style="99" customWidth="1"/>
    <col min="7430" max="7430" width="32.5703125" style="99" customWidth="1"/>
    <col min="7431" max="7431" width="8.140625" style="99" customWidth="1"/>
    <col min="7432" max="7432" width="20.140625" style="99" customWidth="1"/>
    <col min="7433" max="7433" width="119.85546875" style="99" customWidth="1"/>
    <col min="7434" max="7434" width="11.5703125" style="99" customWidth="1"/>
    <col min="7435" max="7435" width="128.140625" style="99" customWidth="1"/>
    <col min="7436" max="7680" width="11.5703125" style="99" customWidth="1"/>
    <col min="7681" max="7681" width="1.140625" style="99" customWidth="1"/>
    <col min="7682" max="7682" width="29.42578125" style="99" customWidth="1"/>
    <col min="7683" max="7683" width="15.5703125" style="99" customWidth="1"/>
    <col min="7684" max="7684" width="11.85546875" style="99" customWidth="1"/>
    <col min="7685" max="7685" width="7" style="99" customWidth="1"/>
    <col min="7686" max="7686" width="32.5703125" style="99" customWidth="1"/>
    <col min="7687" max="7687" width="8.140625" style="99" customWidth="1"/>
    <col min="7688" max="7688" width="20.140625" style="99" customWidth="1"/>
    <col min="7689" max="7689" width="119.85546875" style="99" customWidth="1"/>
    <col min="7690" max="7690" width="11.5703125" style="99" customWidth="1"/>
    <col min="7691" max="7691" width="128.140625" style="99" customWidth="1"/>
    <col min="7692" max="7936" width="11.5703125" style="99" customWidth="1"/>
    <col min="7937" max="7937" width="1.140625" style="99" customWidth="1"/>
    <col min="7938" max="7938" width="29.42578125" style="99" customWidth="1"/>
    <col min="7939" max="7939" width="15.5703125" style="99" customWidth="1"/>
    <col min="7940" max="7940" width="11.85546875" style="99" customWidth="1"/>
    <col min="7941" max="7941" width="7" style="99" customWidth="1"/>
    <col min="7942" max="7942" width="32.5703125" style="99" customWidth="1"/>
    <col min="7943" max="7943" width="8.140625" style="99" customWidth="1"/>
    <col min="7944" max="7944" width="20.140625" style="99" customWidth="1"/>
    <col min="7945" max="7945" width="119.85546875" style="99" customWidth="1"/>
    <col min="7946" max="7946" width="11.5703125" style="99" customWidth="1"/>
    <col min="7947" max="7947" width="128.140625" style="99" customWidth="1"/>
    <col min="7948" max="8192" width="11.5703125" style="99" customWidth="1"/>
    <col min="8193" max="8193" width="1.140625" style="99" customWidth="1"/>
    <col min="8194" max="8194" width="29.42578125" style="99" customWidth="1"/>
    <col min="8195" max="8195" width="15.5703125" style="99" customWidth="1"/>
    <col min="8196" max="8196" width="11.85546875" style="99" customWidth="1"/>
    <col min="8197" max="8197" width="7" style="99" customWidth="1"/>
    <col min="8198" max="8198" width="32.5703125" style="99" customWidth="1"/>
    <col min="8199" max="8199" width="8.140625" style="99" customWidth="1"/>
    <col min="8200" max="8200" width="20.140625" style="99" customWidth="1"/>
    <col min="8201" max="8201" width="119.85546875" style="99" customWidth="1"/>
    <col min="8202" max="8202" width="11.5703125" style="99" customWidth="1"/>
    <col min="8203" max="8203" width="128.140625" style="99" customWidth="1"/>
    <col min="8204" max="8448" width="11.5703125" style="99" customWidth="1"/>
    <col min="8449" max="8449" width="1.140625" style="99" customWidth="1"/>
    <col min="8450" max="8450" width="29.42578125" style="99" customWidth="1"/>
    <col min="8451" max="8451" width="15.5703125" style="99" customWidth="1"/>
    <col min="8452" max="8452" width="11.85546875" style="99" customWidth="1"/>
    <col min="8453" max="8453" width="7" style="99" customWidth="1"/>
    <col min="8454" max="8454" width="32.5703125" style="99" customWidth="1"/>
    <col min="8455" max="8455" width="8.140625" style="99" customWidth="1"/>
    <col min="8456" max="8456" width="20.140625" style="99" customWidth="1"/>
    <col min="8457" max="8457" width="119.85546875" style="99" customWidth="1"/>
    <col min="8458" max="8458" width="11.5703125" style="99" customWidth="1"/>
    <col min="8459" max="8459" width="128.140625" style="99" customWidth="1"/>
    <col min="8460" max="8704" width="11.5703125" style="99" customWidth="1"/>
    <col min="8705" max="8705" width="1.140625" style="99" customWidth="1"/>
    <col min="8706" max="8706" width="29.42578125" style="99" customWidth="1"/>
    <col min="8707" max="8707" width="15.5703125" style="99" customWidth="1"/>
    <col min="8708" max="8708" width="11.85546875" style="99" customWidth="1"/>
    <col min="8709" max="8709" width="7" style="99" customWidth="1"/>
    <col min="8710" max="8710" width="32.5703125" style="99" customWidth="1"/>
    <col min="8711" max="8711" width="8.140625" style="99" customWidth="1"/>
    <col min="8712" max="8712" width="20.140625" style="99" customWidth="1"/>
    <col min="8713" max="8713" width="119.85546875" style="99" customWidth="1"/>
    <col min="8714" max="8714" width="11.5703125" style="99" customWidth="1"/>
    <col min="8715" max="8715" width="128.140625" style="99" customWidth="1"/>
    <col min="8716" max="8960" width="11.5703125" style="99" customWidth="1"/>
    <col min="8961" max="8961" width="1.140625" style="99" customWidth="1"/>
    <col min="8962" max="8962" width="29.42578125" style="99" customWidth="1"/>
    <col min="8963" max="8963" width="15.5703125" style="99" customWidth="1"/>
    <col min="8964" max="8964" width="11.85546875" style="99" customWidth="1"/>
    <col min="8965" max="8965" width="7" style="99" customWidth="1"/>
    <col min="8966" max="8966" width="32.5703125" style="99" customWidth="1"/>
    <col min="8967" max="8967" width="8.140625" style="99" customWidth="1"/>
    <col min="8968" max="8968" width="20.140625" style="99" customWidth="1"/>
    <col min="8969" max="8969" width="119.85546875" style="99" customWidth="1"/>
    <col min="8970" max="8970" width="11.5703125" style="99" customWidth="1"/>
    <col min="8971" max="8971" width="128.140625" style="99" customWidth="1"/>
    <col min="8972" max="9216" width="11.5703125" style="99" customWidth="1"/>
    <col min="9217" max="9217" width="1.140625" style="99" customWidth="1"/>
    <col min="9218" max="9218" width="29.42578125" style="99" customWidth="1"/>
    <col min="9219" max="9219" width="15.5703125" style="99" customWidth="1"/>
    <col min="9220" max="9220" width="11.85546875" style="99" customWidth="1"/>
    <col min="9221" max="9221" width="7" style="99" customWidth="1"/>
    <col min="9222" max="9222" width="32.5703125" style="99" customWidth="1"/>
    <col min="9223" max="9223" width="8.140625" style="99" customWidth="1"/>
    <col min="9224" max="9224" width="20.140625" style="99" customWidth="1"/>
    <col min="9225" max="9225" width="119.85546875" style="99" customWidth="1"/>
    <col min="9226" max="9226" width="11.5703125" style="99" customWidth="1"/>
    <col min="9227" max="9227" width="128.140625" style="99" customWidth="1"/>
    <col min="9228" max="9472" width="11.5703125" style="99" customWidth="1"/>
    <col min="9473" max="9473" width="1.140625" style="99" customWidth="1"/>
    <col min="9474" max="9474" width="29.42578125" style="99" customWidth="1"/>
    <col min="9475" max="9475" width="15.5703125" style="99" customWidth="1"/>
    <col min="9476" max="9476" width="11.85546875" style="99" customWidth="1"/>
    <col min="9477" max="9477" width="7" style="99" customWidth="1"/>
    <col min="9478" max="9478" width="32.5703125" style="99" customWidth="1"/>
    <col min="9479" max="9479" width="8.140625" style="99" customWidth="1"/>
    <col min="9480" max="9480" width="20.140625" style="99" customWidth="1"/>
    <col min="9481" max="9481" width="119.85546875" style="99" customWidth="1"/>
    <col min="9482" max="9482" width="11.5703125" style="99" customWidth="1"/>
    <col min="9483" max="9483" width="128.140625" style="99" customWidth="1"/>
    <col min="9484" max="9728" width="11.5703125" style="99" customWidth="1"/>
    <col min="9729" max="9729" width="1.140625" style="99" customWidth="1"/>
    <col min="9730" max="9730" width="29.42578125" style="99" customWidth="1"/>
    <col min="9731" max="9731" width="15.5703125" style="99" customWidth="1"/>
    <col min="9732" max="9732" width="11.85546875" style="99" customWidth="1"/>
    <col min="9733" max="9733" width="7" style="99" customWidth="1"/>
    <col min="9734" max="9734" width="32.5703125" style="99" customWidth="1"/>
    <col min="9735" max="9735" width="8.140625" style="99" customWidth="1"/>
    <col min="9736" max="9736" width="20.140625" style="99" customWidth="1"/>
    <col min="9737" max="9737" width="119.85546875" style="99" customWidth="1"/>
    <col min="9738" max="9738" width="11.5703125" style="99" customWidth="1"/>
    <col min="9739" max="9739" width="128.140625" style="99" customWidth="1"/>
    <col min="9740" max="9984" width="11.5703125" style="99" customWidth="1"/>
    <col min="9985" max="9985" width="1.140625" style="99" customWidth="1"/>
    <col min="9986" max="9986" width="29.42578125" style="99" customWidth="1"/>
    <col min="9987" max="9987" width="15.5703125" style="99" customWidth="1"/>
    <col min="9988" max="9988" width="11.85546875" style="99" customWidth="1"/>
    <col min="9989" max="9989" width="7" style="99" customWidth="1"/>
    <col min="9990" max="9990" width="32.5703125" style="99" customWidth="1"/>
    <col min="9991" max="9991" width="8.140625" style="99" customWidth="1"/>
    <col min="9992" max="9992" width="20.140625" style="99" customWidth="1"/>
    <col min="9993" max="9993" width="119.85546875" style="99" customWidth="1"/>
    <col min="9994" max="9994" width="11.5703125" style="99" customWidth="1"/>
    <col min="9995" max="9995" width="128.140625" style="99" customWidth="1"/>
    <col min="9996" max="10240" width="11.5703125" style="99" customWidth="1"/>
    <col min="10241" max="10241" width="1.140625" style="99" customWidth="1"/>
    <col min="10242" max="10242" width="29.42578125" style="99" customWidth="1"/>
    <col min="10243" max="10243" width="15.5703125" style="99" customWidth="1"/>
    <col min="10244" max="10244" width="11.85546875" style="99" customWidth="1"/>
    <col min="10245" max="10245" width="7" style="99" customWidth="1"/>
    <col min="10246" max="10246" width="32.5703125" style="99" customWidth="1"/>
    <col min="10247" max="10247" width="8.140625" style="99" customWidth="1"/>
    <col min="10248" max="10248" width="20.140625" style="99" customWidth="1"/>
    <col min="10249" max="10249" width="119.85546875" style="99" customWidth="1"/>
    <col min="10250" max="10250" width="11.5703125" style="99" customWidth="1"/>
    <col min="10251" max="10251" width="128.140625" style="99" customWidth="1"/>
    <col min="10252" max="10496" width="11.5703125" style="99" customWidth="1"/>
    <col min="10497" max="10497" width="1.140625" style="99" customWidth="1"/>
    <col min="10498" max="10498" width="29.42578125" style="99" customWidth="1"/>
    <col min="10499" max="10499" width="15.5703125" style="99" customWidth="1"/>
    <col min="10500" max="10500" width="11.85546875" style="99" customWidth="1"/>
    <col min="10501" max="10501" width="7" style="99" customWidth="1"/>
    <col min="10502" max="10502" width="32.5703125" style="99" customWidth="1"/>
    <col min="10503" max="10503" width="8.140625" style="99" customWidth="1"/>
    <col min="10504" max="10504" width="20.140625" style="99" customWidth="1"/>
    <col min="10505" max="10505" width="119.85546875" style="99" customWidth="1"/>
    <col min="10506" max="10506" width="11.5703125" style="99" customWidth="1"/>
    <col min="10507" max="10507" width="128.140625" style="99" customWidth="1"/>
    <col min="10508" max="10752" width="11.5703125" style="99" customWidth="1"/>
    <col min="10753" max="10753" width="1.140625" style="99" customWidth="1"/>
    <col min="10754" max="10754" width="29.42578125" style="99" customWidth="1"/>
    <col min="10755" max="10755" width="15.5703125" style="99" customWidth="1"/>
    <col min="10756" max="10756" width="11.85546875" style="99" customWidth="1"/>
    <col min="10757" max="10757" width="7" style="99" customWidth="1"/>
    <col min="10758" max="10758" width="32.5703125" style="99" customWidth="1"/>
    <col min="10759" max="10759" width="8.140625" style="99" customWidth="1"/>
    <col min="10760" max="10760" width="20.140625" style="99" customWidth="1"/>
    <col min="10761" max="10761" width="119.85546875" style="99" customWidth="1"/>
    <col min="10762" max="10762" width="11.5703125" style="99" customWidth="1"/>
    <col min="10763" max="10763" width="128.140625" style="99" customWidth="1"/>
    <col min="10764" max="11008" width="11.5703125" style="99" customWidth="1"/>
    <col min="11009" max="11009" width="1.140625" style="99" customWidth="1"/>
    <col min="11010" max="11010" width="29.42578125" style="99" customWidth="1"/>
    <col min="11011" max="11011" width="15.5703125" style="99" customWidth="1"/>
    <col min="11012" max="11012" width="11.85546875" style="99" customWidth="1"/>
    <col min="11013" max="11013" width="7" style="99" customWidth="1"/>
    <col min="11014" max="11014" width="32.5703125" style="99" customWidth="1"/>
    <col min="11015" max="11015" width="8.140625" style="99" customWidth="1"/>
    <col min="11016" max="11016" width="20.140625" style="99" customWidth="1"/>
    <col min="11017" max="11017" width="119.85546875" style="99" customWidth="1"/>
    <col min="11018" max="11018" width="11.5703125" style="99" customWidth="1"/>
    <col min="11019" max="11019" width="128.140625" style="99" customWidth="1"/>
    <col min="11020" max="11264" width="11.5703125" style="99" customWidth="1"/>
    <col min="11265" max="11265" width="1.140625" style="99" customWidth="1"/>
    <col min="11266" max="11266" width="29.42578125" style="99" customWidth="1"/>
    <col min="11267" max="11267" width="15.5703125" style="99" customWidth="1"/>
    <col min="11268" max="11268" width="11.85546875" style="99" customWidth="1"/>
    <col min="11269" max="11269" width="7" style="99" customWidth="1"/>
    <col min="11270" max="11270" width="32.5703125" style="99" customWidth="1"/>
    <col min="11271" max="11271" width="8.140625" style="99" customWidth="1"/>
    <col min="11272" max="11272" width="20.140625" style="99" customWidth="1"/>
    <col min="11273" max="11273" width="119.85546875" style="99" customWidth="1"/>
    <col min="11274" max="11274" width="11.5703125" style="99" customWidth="1"/>
    <col min="11275" max="11275" width="128.140625" style="99" customWidth="1"/>
    <col min="11276" max="11520" width="11.5703125" style="99" customWidth="1"/>
    <col min="11521" max="11521" width="1.140625" style="99" customWidth="1"/>
    <col min="11522" max="11522" width="29.42578125" style="99" customWidth="1"/>
    <col min="11523" max="11523" width="15.5703125" style="99" customWidth="1"/>
    <col min="11524" max="11524" width="11.85546875" style="99" customWidth="1"/>
    <col min="11525" max="11525" width="7" style="99" customWidth="1"/>
    <col min="11526" max="11526" width="32.5703125" style="99" customWidth="1"/>
    <col min="11527" max="11527" width="8.140625" style="99" customWidth="1"/>
    <col min="11528" max="11528" width="20.140625" style="99" customWidth="1"/>
    <col min="11529" max="11529" width="119.85546875" style="99" customWidth="1"/>
    <col min="11530" max="11530" width="11.5703125" style="99" customWidth="1"/>
    <col min="11531" max="11531" width="128.140625" style="99" customWidth="1"/>
    <col min="11532" max="11776" width="11.5703125" style="99" customWidth="1"/>
    <col min="11777" max="11777" width="1.140625" style="99" customWidth="1"/>
    <col min="11778" max="11778" width="29.42578125" style="99" customWidth="1"/>
    <col min="11779" max="11779" width="15.5703125" style="99" customWidth="1"/>
    <col min="11780" max="11780" width="11.85546875" style="99" customWidth="1"/>
    <col min="11781" max="11781" width="7" style="99" customWidth="1"/>
    <col min="11782" max="11782" width="32.5703125" style="99" customWidth="1"/>
    <col min="11783" max="11783" width="8.140625" style="99" customWidth="1"/>
    <col min="11784" max="11784" width="20.140625" style="99" customWidth="1"/>
    <col min="11785" max="11785" width="119.85546875" style="99" customWidth="1"/>
    <col min="11786" max="11786" width="11.5703125" style="99" customWidth="1"/>
    <col min="11787" max="11787" width="128.140625" style="99" customWidth="1"/>
    <col min="11788" max="12032" width="11.5703125" style="99" customWidth="1"/>
    <col min="12033" max="12033" width="1.140625" style="99" customWidth="1"/>
    <col min="12034" max="12034" width="29.42578125" style="99" customWidth="1"/>
    <col min="12035" max="12035" width="15.5703125" style="99" customWidth="1"/>
    <col min="12036" max="12036" width="11.85546875" style="99" customWidth="1"/>
    <col min="12037" max="12037" width="7" style="99" customWidth="1"/>
    <col min="12038" max="12038" width="32.5703125" style="99" customWidth="1"/>
    <col min="12039" max="12039" width="8.140625" style="99" customWidth="1"/>
    <col min="12040" max="12040" width="20.140625" style="99" customWidth="1"/>
    <col min="12041" max="12041" width="119.85546875" style="99" customWidth="1"/>
    <col min="12042" max="12042" width="11.5703125" style="99" customWidth="1"/>
    <col min="12043" max="12043" width="128.140625" style="99" customWidth="1"/>
    <col min="12044" max="12288" width="11.5703125" style="99" customWidth="1"/>
    <col min="12289" max="12289" width="1.140625" style="99" customWidth="1"/>
    <col min="12290" max="12290" width="29.42578125" style="99" customWidth="1"/>
    <col min="12291" max="12291" width="15.5703125" style="99" customWidth="1"/>
    <col min="12292" max="12292" width="11.85546875" style="99" customWidth="1"/>
    <col min="12293" max="12293" width="7" style="99" customWidth="1"/>
    <col min="12294" max="12294" width="32.5703125" style="99" customWidth="1"/>
    <col min="12295" max="12295" width="8.140625" style="99" customWidth="1"/>
    <col min="12296" max="12296" width="20.140625" style="99" customWidth="1"/>
    <col min="12297" max="12297" width="119.85546875" style="99" customWidth="1"/>
    <col min="12298" max="12298" width="11.5703125" style="99" customWidth="1"/>
    <col min="12299" max="12299" width="128.140625" style="99" customWidth="1"/>
    <col min="12300" max="12544" width="11.5703125" style="99" customWidth="1"/>
    <col min="12545" max="12545" width="1.140625" style="99" customWidth="1"/>
    <col min="12546" max="12546" width="29.42578125" style="99" customWidth="1"/>
    <col min="12547" max="12547" width="15.5703125" style="99" customWidth="1"/>
    <col min="12548" max="12548" width="11.85546875" style="99" customWidth="1"/>
    <col min="12549" max="12549" width="7" style="99" customWidth="1"/>
    <col min="12550" max="12550" width="32.5703125" style="99" customWidth="1"/>
    <col min="12551" max="12551" width="8.140625" style="99" customWidth="1"/>
    <col min="12552" max="12552" width="20.140625" style="99" customWidth="1"/>
    <col min="12553" max="12553" width="119.85546875" style="99" customWidth="1"/>
    <col min="12554" max="12554" width="11.5703125" style="99" customWidth="1"/>
    <col min="12555" max="12555" width="128.140625" style="99" customWidth="1"/>
    <col min="12556" max="12800" width="11.5703125" style="99" customWidth="1"/>
    <col min="12801" max="12801" width="1.140625" style="99" customWidth="1"/>
    <col min="12802" max="12802" width="29.42578125" style="99" customWidth="1"/>
    <col min="12803" max="12803" width="15.5703125" style="99" customWidth="1"/>
    <col min="12804" max="12804" width="11.85546875" style="99" customWidth="1"/>
    <col min="12805" max="12805" width="7" style="99" customWidth="1"/>
    <col min="12806" max="12806" width="32.5703125" style="99" customWidth="1"/>
    <col min="12807" max="12807" width="8.140625" style="99" customWidth="1"/>
    <col min="12808" max="12808" width="20.140625" style="99" customWidth="1"/>
    <col min="12809" max="12809" width="119.85546875" style="99" customWidth="1"/>
    <col min="12810" max="12810" width="11.5703125" style="99" customWidth="1"/>
    <col min="12811" max="12811" width="128.140625" style="99" customWidth="1"/>
    <col min="12812" max="13056" width="11.5703125" style="99" customWidth="1"/>
    <col min="13057" max="13057" width="1.140625" style="99" customWidth="1"/>
    <col min="13058" max="13058" width="29.42578125" style="99" customWidth="1"/>
    <col min="13059" max="13059" width="15.5703125" style="99" customWidth="1"/>
    <col min="13060" max="13060" width="11.85546875" style="99" customWidth="1"/>
    <col min="13061" max="13061" width="7" style="99" customWidth="1"/>
    <col min="13062" max="13062" width="32.5703125" style="99" customWidth="1"/>
    <col min="13063" max="13063" width="8.140625" style="99" customWidth="1"/>
    <col min="13064" max="13064" width="20.140625" style="99" customWidth="1"/>
    <col min="13065" max="13065" width="119.85546875" style="99" customWidth="1"/>
    <col min="13066" max="13066" width="11.5703125" style="99" customWidth="1"/>
    <col min="13067" max="13067" width="128.140625" style="99" customWidth="1"/>
    <col min="13068" max="13312" width="11.5703125" style="99" customWidth="1"/>
    <col min="13313" max="13313" width="1.140625" style="99" customWidth="1"/>
    <col min="13314" max="13314" width="29.42578125" style="99" customWidth="1"/>
    <col min="13315" max="13315" width="15.5703125" style="99" customWidth="1"/>
    <col min="13316" max="13316" width="11.85546875" style="99" customWidth="1"/>
    <col min="13317" max="13317" width="7" style="99" customWidth="1"/>
    <col min="13318" max="13318" width="32.5703125" style="99" customWidth="1"/>
    <col min="13319" max="13319" width="8.140625" style="99" customWidth="1"/>
    <col min="13320" max="13320" width="20.140625" style="99" customWidth="1"/>
    <col min="13321" max="13321" width="119.85546875" style="99" customWidth="1"/>
    <col min="13322" max="13322" width="11.5703125" style="99" customWidth="1"/>
    <col min="13323" max="13323" width="128.140625" style="99" customWidth="1"/>
    <col min="13324" max="13568" width="11.5703125" style="99" customWidth="1"/>
    <col min="13569" max="13569" width="1.140625" style="99" customWidth="1"/>
    <col min="13570" max="13570" width="29.42578125" style="99" customWidth="1"/>
    <col min="13571" max="13571" width="15.5703125" style="99" customWidth="1"/>
    <col min="13572" max="13572" width="11.85546875" style="99" customWidth="1"/>
    <col min="13573" max="13573" width="7" style="99" customWidth="1"/>
    <col min="13574" max="13574" width="32.5703125" style="99" customWidth="1"/>
    <col min="13575" max="13575" width="8.140625" style="99" customWidth="1"/>
    <col min="13576" max="13576" width="20.140625" style="99" customWidth="1"/>
    <col min="13577" max="13577" width="119.85546875" style="99" customWidth="1"/>
    <col min="13578" max="13578" width="11.5703125" style="99" customWidth="1"/>
    <col min="13579" max="13579" width="128.140625" style="99" customWidth="1"/>
    <col min="13580" max="13824" width="11.5703125" style="99" customWidth="1"/>
    <col min="13825" max="13825" width="1.140625" style="99" customWidth="1"/>
    <col min="13826" max="13826" width="29.42578125" style="99" customWidth="1"/>
    <col min="13827" max="13827" width="15.5703125" style="99" customWidth="1"/>
    <col min="13828" max="13828" width="11.85546875" style="99" customWidth="1"/>
    <col min="13829" max="13829" width="7" style="99" customWidth="1"/>
    <col min="13830" max="13830" width="32.5703125" style="99" customWidth="1"/>
    <col min="13831" max="13831" width="8.140625" style="99" customWidth="1"/>
    <col min="13832" max="13832" width="20.140625" style="99" customWidth="1"/>
    <col min="13833" max="13833" width="119.85546875" style="99" customWidth="1"/>
    <col min="13834" max="13834" width="11.5703125" style="99" customWidth="1"/>
    <col min="13835" max="13835" width="128.140625" style="99" customWidth="1"/>
    <col min="13836" max="14080" width="11.5703125" style="99" customWidth="1"/>
    <col min="14081" max="14081" width="1.140625" style="99" customWidth="1"/>
    <col min="14082" max="14082" width="29.42578125" style="99" customWidth="1"/>
    <col min="14083" max="14083" width="15.5703125" style="99" customWidth="1"/>
    <col min="14084" max="14084" width="11.85546875" style="99" customWidth="1"/>
    <col min="14085" max="14085" width="7" style="99" customWidth="1"/>
    <col min="14086" max="14086" width="32.5703125" style="99" customWidth="1"/>
    <col min="14087" max="14087" width="8.140625" style="99" customWidth="1"/>
    <col min="14088" max="14088" width="20.140625" style="99" customWidth="1"/>
    <col min="14089" max="14089" width="119.85546875" style="99" customWidth="1"/>
    <col min="14090" max="14090" width="11.5703125" style="99" customWidth="1"/>
    <col min="14091" max="14091" width="128.140625" style="99" customWidth="1"/>
    <col min="14092" max="14336" width="11.5703125" style="99" customWidth="1"/>
    <col min="14337" max="14337" width="1.140625" style="99" customWidth="1"/>
    <col min="14338" max="14338" width="29.42578125" style="99" customWidth="1"/>
    <col min="14339" max="14339" width="15.5703125" style="99" customWidth="1"/>
    <col min="14340" max="14340" width="11.85546875" style="99" customWidth="1"/>
    <col min="14341" max="14341" width="7" style="99" customWidth="1"/>
    <col min="14342" max="14342" width="32.5703125" style="99" customWidth="1"/>
    <col min="14343" max="14343" width="8.140625" style="99" customWidth="1"/>
    <col min="14344" max="14344" width="20.140625" style="99" customWidth="1"/>
    <col min="14345" max="14345" width="119.85546875" style="99" customWidth="1"/>
    <col min="14346" max="14346" width="11.5703125" style="99" customWidth="1"/>
    <col min="14347" max="14347" width="128.140625" style="99" customWidth="1"/>
    <col min="14348" max="14592" width="11.5703125" style="99" customWidth="1"/>
    <col min="14593" max="14593" width="1.140625" style="99" customWidth="1"/>
    <col min="14594" max="14594" width="29.42578125" style="99" customWidth="1"/>
    <col min="14595" max="14595" width="15.5703125" style="99" customWidth="1"/>
    <col min="14596" max="14596" width="11.85546875" style="99" customWidth="1"/>
    <col min="14597" max="14597" width="7" style="99" customWidth="1"/>
    <col min="14598" max="14598" width="32.5703125" style="99" customWidth="1"/>
    <col min="14599" max="14599" width="8.140625" style="99" customWidth="1"/>
    <col min="14600" max="14600" width="20.140625" style="99" customWidth="1"/>
    <col min="14601" max="14601" width="119.85546875" style="99" customWidth="1"/>
    <col min="14602" max="14602" width="11.5703125" style="99" customWidth="1"/>
    <col min="14603" max="14603" width="128.140625" style="99" customWidth="1"/>
    <col min="14604" max="14848" width="11.5703125" style="99" customWidth="1"/>
    <col min="14849" max="14849" width="1.140625" style="99" customWidth="1"/>
    <col min="14850" max="14850" width="29.42578125" style="99" customWidth="1"/>
    <col min="14851" max="14851" width="15.5703125" style="99" customWidth="1"/>
    <col min="14852" max="14852" width="11.85546875" style="99" customWidth="1"/>
    <col min="14853" max="14853" width="7" style="99" customWidth="1"/>
    <col min="14854" max="14854" width="32.5703125" style="99" customWidth="1"/>
    <col min="14855" max="14855" width="8.140625" style="99" customWidth="1"/>
    <col min="14856" max="14856" width="20.140625" style="99" customWidth="1"/>
    <col min="14857" max="14857" width="119.85546875" style="99" customWidth="1"/>
    <col min="14858" max="14858" width="11.5703125" style="99" customWidth="1"/>
    <col min="14859" max="14859" width="128.140625" style="99" customWidth="1"/>
    <col min="14860" max="15104" width="11.5703125" style="99" customWidth="1"/>
    <col min="15105" max="15105" width="1.140625" style="99" customWidth="1"/>
    <col min="15106" max="15106" width="29.42578125" style="99" customWidth="1"/>
    <col min="15107" max="15107" width="15.5703125" style="99" customWidth="1"/>
    <col min="15108" max="15108" width="11.85546875" style="99" customWidth="1"/>
    <col min="15109" max="15109" width="7" style="99" customWidth="1"/>
    <col min="15110" max="15110" width="32.5703125" style="99" customWidth="1"/>
    <col min="15111" max="15111" width="8.140625" style="99" customWidth="1"/>
    <col min="15112" max="15112" width="20.140625" style="99" customWidth="1"/>
    <col min="15113" max="15113" width="119.85546875" style="99" customWidth="1"/>
    <col min="15114" max="15114" width="11.5703125" style="99" customWidth="1"/>
    <col min="15115" max="15115" width="128.140625" style="99" customWidth="1"/>
    <col min="15116" max="15360" width="11.5703125" style="99" customWidth="1"/>
    <col min="15361" max="15361" width="1.140625" style="99" customWidth="1"/>
    <col min="15362" max="15362" width="29.42578125" style="99" customWidth="1"/>
    <col min="15363" max="15363" width="15.5703125" style="99" customWidth="1"/>
    <col min="15364" max="15364" width="11.85546875" style="99" customWidth="1"/>
    <col min="15365" max="15365" width="7" style="99" customWidth="1"/>
    <col min="15366" max="15366" width="32.5703125" style="99" customWidth="1"/>
    <col min="15367" max="15367" width="8.140625" style="99" customWidth="1"/>
    <col min="15368" max="15368" width="20.140625" style="99" customWidth="1"/>
    <col min="15369" max="15369" width="119.85546875" style="99" customWidth="1"/>
    <col min="15370" max="15370" width="11.5703125" style="99" customWidth="1"/>
    <col min="15371" max="15371" width="128.140625" style="99" customWidth="1"/>
    <col min="15372" max="15616" width="11.5703125" style="99" customWidth="1"/>
    <col min="15617" max="15617" width="1.140625" style="99" customWidth="1"/>
    <col min="15618" max="15618" width="29.42578125" style="99" customWidth="1"/>
    <col min="15619" max="15619" width="15.5703125" style="99" customWidth="1"/>
    <col min="15620" max="15620" width="11.85546875" style="99" customWidth="1"/>
    <col min="15621" max="15621" width="7" style="99" customWidth="1"/>
    <col min="15622" max="15622" width="32.5703125" style="99" customWidth="1"/>
    <col min="15623" max="15623" width="8.140625" style="99" customWidth="1"/>
    <col min="15624" max="15624" width="20.140625" style="99" customWidth="1"/>
    <col min="15625" max="15625" width="119.85546875" style="99" customWidth="1"/>
    <col min="15626" max="15626" width="11.5703125" style="99" customWidth="1"/>
    <col min="15627" max="15627" width="128.140625" style="99" customWidth="1"/>
    <col min="15628" max="15872" width="11.5703125" style="99" customWidth="1"/>
    <col min="15873" max="15873" width="1.140625" style="99" customWidth="1"/>
    <col min="15874" max="15874" width="29.42578125" style="99" customWidth="1"/>
    <col min="15875" max="15875" width="15.5703125" style="99" customWidth="1"/>
    <col min="15876" max="15876" width="11.85546875" style="99" customWidth="1"/>
    <col min="15877" max="15877" width="7" style="99" customWidth="1"/>
    <col min="15878" max="15878" width="32.5703125" style="99" customWidth="1"/>
    <col min="15879" max="15879" width="8.140625" style="99" customWidth="1"/>
    <col min="15880" max="15880" width="20.140625" style="99" customWidth="1"/>
    <col min="15881" max="15881" width="119.85546875" style="99" customWidth="1"/>
    <col min="15882" max="15882" width="11.5703125" style="99" customWidth="1"/>
    <col min="15883" max="15883" width="128.140625" style="99" customWidth="1"/>
    <col min="15884" max="16128" width="11.5703125" style="99" customWidth="1"/>
    <col min="16129" max="16129" width="1.140625" style="99" customWidth="1"/>
    <col min="16130" max="16130" width="29.42578125" style="99" customWidth="1"/>
    <col min="16131" max="16131" width="15.5703125" style="99" customWidth="1"/>
    <col min="16132" max="16132" width="11.85546875" style="99" customWidth="1"/>
    <col min="16133" max="16133" width="7" style="99" customWidth="1"/>
    <col min="16134" max="16134" width="32.5703125" style="99" customWidth="1"/>
    <col min="16135" max="16135" width="8.140625" style="99" customWidth="1"/>
    <col min="16136" max="16136" width="20.140625" style="99" customWidth="1"/>
    <col min="16137" max="16137" width="119.85546875" style="99" customWidth="1"/>
    <col min="16138" max="16138" width="11.5703125" style="99" customWidth="1"/>
    <col min="16139" max="16139" width="128.140625" style="99" customWidth="1"/>
    <col min="16140" max="16384" width="11.5703125" style="99" customWidth="1"/>
  </cols>
  <sheetData>
    <row r="1" spans="2:10">
      <c r="B1" s="192" t="s">
        <v>783</v>
      </c>
    </row>
    <row r="2" spans="2:10">
      <c r="B2" s="393" t="s">
        <v>738</v>
      </c>
      <c r="C2" s="394"/>
      <c r="D2" s="394"/>
      <c r="E2" s="394"/>
      <c r="F2" s="394"/>
      <c r="G2" s="394"/>
      <c r="H2" s="394"/>
      <c r="I2" s="395"/>
      <c r="J2" s="180"/>
    </row>
    <row r="4" spans="2:10">
      <c r="B4" s="54" t="s">
        <v>252</v>
      </c>
      <c r="C4" s="55"/>
      <c r="D4" s="55"/>
      <c r="E4" s="55"/>
      <c r="F4" s="55"/>
      <c r="G4" s="80"/>
    </row>
    <row r="5" spans="2:10" s="56" customFormat="1"/>
    <row r="6" spans="2:10" s="56" customFormat="1">
      <c r="B6" s="57" t="s">
        <v>253</v>
      </c>
      <c r="C6" s="291" t="s">
        <v>254</v>
      </c>
      <c r="D6" s="291"/>
      <c r="E6" s="291"/>
      <c r="F6" s="291"/>
      <c r="G6" s="81"/>
    </row>
    <row r="7" spans="2:10" s="56" customFormat="1">
      <c r="B7" s="144" t="s">
        <v>255</v>
      </c>
      <c r="C7" s="292" t="s">
        <v>739</v>
      </c>
      <c r="D7" s="292"/>
      <c r="E7" s="292"/>
      <c r="F7" s="292"/>
      <c r="G7" s="75"/>
    </row>
    <row r="8" spans="2:10" s="56" customFormat="1">
      <c r="B8" s="57" t="s">
        <v>257</v>
      </c>
      <c r="C8" s="291" t="s">
        <v>584</v>
      </c>
      <c r="D8" s="291"/>
      <c r="E8" s="291"/>
      <c r="F8" s="291"/>
      <c r="G8" s="81"/>
    </row>
    <row r="9" spans="2:10" s="56" customFormat="1">
      <c r="B9" s="57" t="s">
        <v>259</v>
      </c>
      <c r="C9" s="291" t="s">
        <v>740</v>
      </c>
      <c r="D9" s="291"/>
      <c r="E9" s="291"/>
      <c r="F9" s="291"/>
      <c r="G9" s="81"/>
    </row>
    <row r="10" spans="2:10" s="56" customFormat="1">
      <c r="B10" s="57" t="s">
        <v>261</v>
      </c>
      <c r="C10" s="291" t="s">
        <v>197</v>
      </c>
      <c r="D10" s="291"/>
      <c r="E10" s="291"/>
      <c r="F10" s="291"/>
      <c r="G10" s="81"/>
    </row>
    <row r="11" spans="2:10" s="56" customFormat="1">
      <c r="B11" s="57" t="s">
        <v>263</v>
      </c>
      <c r="C11" s="291">
        <v>3</v>
      </c>
      <c r="D11" s="291"/>
      <c r="E11" s="291"/>
      <c r="F11" s="291"/>
      <c r="G11" s="81"/>
    </row>
    <row r="12" spans="2:10" s="56" customFormat="1"/>
    <row r="13" spans="2:10" s="56" customFormat="1">
      <c r="B13" s="296" t="s">
        <v>264</v>
      </c>
      <c r="C13" s="296"/>
      <c r="D13" s="296"/>
      <c r="E13" s="296"/>
      <c r="F13" s="296"/>
      <c r="G13" s="82"/>
    </row>
    <row r="14" spans="2:10" s="56" customFormat="1">
      <c r="B14" s="297" t="s">
        <v>265</v>
      </c>
      <c r="C14" s="298"/>
      <c r="D14" s="296" t="s">
        <v>266</v>
      </c>
      <c r="E14" s="296"/>
      <c r="F14" s="296"/>
      <c r="G14" s="82"/>
    </row>
    <row r="15" spans="2:10" s="56" customFormat="1">
      <c r="B15" s="299"/>
      <c r="C15" s="300"/>
      <c r="D15" s="291"/>
      <c r="E15" s="291"/>
      <c r="F15" s="291"/>
      <c r="G15" s="81"/>
    </row>
    <row r="16" spans="2:10" s="56" customFormat="1"/>
    <row r="17" spans="2:7" s="56" customFormat="1">
      <c r="B17" s="59" t="s">
        <v>267</v>
      </c>
      <c r="C17" s="59" t="s">
        <v>268</v>
      </c>
      <c r="D17" s="59" t="s">
        <v>269</v>
      </c>
      <c r="E17" s="59" t="s">
        <v>270</v>
      </c>
      <c r="F17" s="59" t="s">
        <v>271</v>
      </c>
      <c r="G17" s="82"/>
    </row>
    <row r="18" spans="2:7" s="56" customFormat="1">
      <c r="B18" s="26" t="s">
        <v>741</v>
      </c>
      <c r="C18" s="21">
        <v>21</v>
      </c>
      <c r="D18" s="21">
        <v>2</v>
      </c>
      <c r="E18" s="21">
        <v>2</v>
      </c>
      <c r="F18" s="21" t="s">
        <v>272</v>
      </c>
      <c r="G18" s="75"/>
    </row>
    <row r="19" spans="2:7" s="56" customFormat="1">
      <c r="B19" s="74"/>
      <c r="C19" s="75"/>
      <c r="D19" s="75"/>
      <c r="E19" s="75"/>
      <c r="F19" s="75"/>
      <c r="G19" s="75"/>
    </row>
    <row r="20" spans="2:7" s="56" customFormat="1">
      <c r="B20" s="305" t="s">
        <v>273</v>
      </c>
      <c r="C20" s="306"/>
      <c r="D20" s="306"/>
      <c r="E20" s="306"/>
      <c r="F20" s="307"/>
      <c r="G20" s="83"/>
    </row>
    <row r="21" spans="2:7" s="56" customFormat="1">
      <c r="B21" s="308" t="s">
        <v>742</v>
      </c>
      <c r="C21" s="365"/>
      <c r="D21" s="365"/>
      <c r="E21" s="365"/>
      <c r="F21" s="366"/>
      <c r="G21" s="84"/>
    </row>
    <row r="22" spans="2:7" s="56" customFormat="1">
      <c r="B22" s="305" t="s">
        <v>275</v>
      </c>
      <c r="C22" s="306"/>
      <c r="D22" s="306"/>
      <c r="E22" s="306"/>
      <c r="F22" s="307"/>
      <c r="G22" s="83"/>
    </row>
    <row r="23" spans="2:7" s="56" customFormat="1">
      <c r="B23" s="308" t="s">
        <v>743</v>
      </c>
      <c r="C23" s="294"/>
      <c r="D23" s="294"/>
      <c r="E23" s="294"/>
      <c r="F23" s="295"/>
      <c r="G23" s="143"/>
    </row>
    <row r="24" spans="2:7" s="56" customFormat="1"/>
    <row r="25" spans="2:7" s="56" customFormat="1">
      <c r="B25" s="305" t="s">
        <v>277</v>
      </c>
      <c r="C25" s="306"/>
      <c r="D25" s="306"/>
      <c r="E25" s="306"/>
      <c r="F25" s="307"/>
      <c r="G25" s="83"/>
    </row>
    <row r="26" spans="2:7" s="56" customFormat="1">
      <c r="B26" s="293" t="s">
        <v>744</v>
      </c>
      <c r="C26" s="365"/>
      <c r="D26" s="365"/>
      <c r="E26" s="365"/>
      <c r="F26" s="366"/>
      <c r="G26" s="84"/>
    </row>
    <row r="27" spans="2:7" s="56" customFormat="1"/>
    <row r="28" spans="2:7" s="56" customFormat="1">
      <c r="B28" s="305" t="s">
        <v>279</v>
      </c>
      <c r="C28" s="306"/>
      <c r="D28" s="306"/>
      <c r="E28" s="306"/>
      <c r="F28" s="307"/>
      <c r="G28" s="82"/>
    </row>
    <row r="29" spans="2:7" s="56" customFormat="1">
      <c r="B29" s="384" t="s">
        <v>745</v>
      </c>
      <c r="C29" s="385"/>
      <c r="D29" s="385"/>
      <c r="E29" s="385"/>
      <c r="F29" s="386"/>
      <c r="G29" s="94"/>
    </row>
    <row r="30" spans="2:7" s="56" customFormat="1">
      <c r="B30" s="384" t="s">
        <v>746</v>
      </c>
      <c r="C30" s="385"/>
      <c r="D30" s="385"/>
      <c r="E30" s="385"/>
      <c r="F30" s="386"/>
      <c r="G30" s="94"/>
    </row>
    <row r="31" spans="2:7" s="56" customFormat="1">
      <c r="B31" s="384" t="s">
        <v>747</v>
      </c>
      <c r="C31" s="385"/>
      <c r="D31" s="385"/>
      <c r="E31" s="385"/>
      <c r="F31" s="386"/>
      <c r="G31" s="94"/>
    </row>
    <row r="32" spans="2:7" s="56" customFormat="1">
      <c r="G32" s="94"/>
    </row>
    <row r="33" spans="2:7" s="56" customFormat="1">
      <c r="B33" s="384"/>
      <c r="C33" s="385"/>
      <c r="D33" s="385"/>
      <c r="E33" s="385"/>
      <c r="F33" s="386"/>
      <c r="G33" s="94"/>
    </row>
    <row r="34" spans="2:7" s="56" customFormat="1">
      <c r="B34" s="384"/>
      <c r="C34" s="385"/>
      <c r="D34" s="385"/>
      <c r="E34" s="385"/>
      <c r="F34" s="386"/>
      <c r="G34" s="94"/>
    </row>
    <row r="35" spans="2:7" s="56" customFormat="1">
      <c r="B35" s="384"/>
      <c r="C35" s="385"/>
      <c r="D35" s="385"/>
      <c r="E35" s="385"/>
      <c r="F35" s="386"/>
      <c r="G35" s="94"/>
    </row>
    <row r="36" spans="2:7" s="56" customFormat="1">
      <c r="B36" s="384"/>
      <c r="C36" s="385"/>
      <c r="D36" s="385"/>
      <c r="E36" s="385"/>
      <c r="F36" s="386"/>
      <c r="G36" s="94"/>
    </row>
    <row r="37" spans="2:7" s="56" customFormat="1">
      <c r="B37" s="387"/>
      <c r="C37" s="388"/>
      <c r="D37" s="388"/>
      <c r="E37" s="388"/>
      <c r="F37" s="389"/>
      <c r="G37" s="143"/>
    </row>
    <row r="38" spans="2:7" s="56" customFormat="1"/>
    <row r="39" spans="2:7" s="56" customFormat="1">
      <c r="B39" s="305" t="s">
        <v>284</v>
      </c>
      <c r="C39" s="306"/>
      <c r="D39" s="306"/>
      <c r="E39" s="306"/>
      <c r="F39" s="307"/>
      <c r="G39" s="83"/>
    </row>
    <row r="40" spans="2:7" s="56" customFormat="1" ht="283.35000000000002" customHeight="1">
      <c r="B40" s="390" t="s">
        <v>748</v>
      </c>
      <c r="C40" s="391"/>
      <c r="D40" s="391"/>
      <c r="E40" s="391"/>
      <c r="F40" s="392"/>
      <c r="G40" s="143"/>
    </row>
    <row r="41" spans="2:7" s="56" customFormat="1">
      <c r="B41" s="60"/>
      <c r="C41" s="61"/>
      <c r="D41" s="61"/>
      <c r="E41" s="61"/>
      <c r="F41" s="61"/>
      <c r="G41" s="61"/>
    </row>
    <row r="42" spans="2:7" s="56" customFormat="1">
      <c r="B42" s="305" t="s">
        <v>749</v>
      </c>
      <c r="C42" s="306"/>
      <c r="D42" s="306"/>
      <c r="E42" s="306"/>
      <c r="F42" s="307"/>
      <c r="G42" s="83"/>
    </row>
    <row r="43" spans="2:7" s="56" customFormat="1">
      <c r="B43" s="100" t="s">
        <v>587</v>
      </c>
      <c r="C43" s="379"/>
      <c r="D43" s="379"/>
      <c r="E43" s="379"/>
      <c r="F43" s="379"/>
      <c r="G43" s="143"/>
    </row>
    <row r="44" spans="2:7" s="56" customFormat="1">
      <c r="B44" s="100" t="s">
        <v>589</v>
      </c>
      <c r="C44" s="379"/>
      <c r="D44" s="379"/>
      <c r="E44" s="379"/>
      <c r="F44" s="379"/>
      <c r="G44" s="143"/>
    </row>
    <row r="45" spans="2:7" s="56" customFormat="1">
      <c r="B45" s="100" t="s">
        <v>591</v>
      </c>
      <c r="C45" s="293"/>
      <c r="D45" s="294"/>
      <c r="E45" s="294"/>
      <c r="F45" s="295"/>
      <c r="G45" s="143"/>
    </row>
    <row r="46" spans="2:7" s="56" customFormat="1">
      <c r="B46" s="100"/>
      <c r="C46" s="379"/>
      <c r="D46" s="379"/>
      <c r="E46" s="379"/>
      <c r="F46" s="379"/>
      <c r="G46" s="143"/>
    </row>
    <row r="47" spans="2:7" s="56" customFormat="1">
      <c r="B47" s="100"/>
      <c r="C47" s="379"/>
      <c r="D47" s="379"/>
      <c r="E47" s="379"/>
      <c r="F47" s="379"/>
      <c r="G47" s="143"/>
    </row>
    <row r="48" spans="2:7" s="56" customFormat="1"/>
    <row r="49" spans="1:7" s="56" customFormat="1">
      <c r="B49" s="305" t="s">
        <v>287</v>
      </c>
      <c r="C49" s="306"/>
      <c r="D49" s="306"/>
      <c r="E49" s="306"/>
      <c r="F49" s="307"/>
      <c r="G49" s="83"/>
    </row>
    <row r="50" spans="1:7" s="56" customFormat="1">
      <c r="B50" s="293"/>
      <c r="C50" s="294"/>
      <c r="D50" s="294"/>
      <c r="E50" s="294"/>
      <c r="F50" s="295"/>
      <c r="G50" s="61"/>
    </row>
    <row r="51" spans="1:7" s="56" customFormat="1"/>
    <row r="52" spans="1:7" s="56" customFormat="1">
      <c r="B52" s="305" t="s">
        <v>289</v>
      </c>
      <c r="C52" s="306"/>
      <c r="D52" s="306"/>
      <c r="E52" s="306"/>
      <c r="F52" s="307"/>
      <c r="G52" s="83"/>
    </row>
    <row r="53" spans="1:7" s="56" customFormat="1">
      <c r="B53" s="62" t="s">
        <v>290</v>
      </c>
      <c r="C53" s="62" t="s">
        <v>291</v>
      </c>
      <c r="D53" s="305" t="s">
        <v>292</v>
      </c>
      <c r="E53" s="306"/>
      <c r="F53" s="307"/>
      <c r="G53" s="83"/>
    </row>
    <row r="54" spans="1:7" s="56" customFormat="1">
      <c r="A54" s="181"/>
      <c r="B54" s="100"/>
      <c r="C54" s="100"/>
      <c r="D54" s="370"/>
      <c r="E54" s="317"/>
      <c r="F54" s="318"/>
      <c r="G54" s="98"/>
    </row>
    <row r="55" spans="1:7" s="56" customFormat="1">
      <c r="B55" s="63"/>
      <c r="C55" s="63"/>
      <c r="D55" s="316"/>
      <c r="E55" s="317"/>
      <c r="F55" s="318"/>
      <c r="G55" s="98"/>
    </row>
    <row r="56" spans="1:7" s="56" customFormat="1">
      <c r="B56" s="64"/>
      <c r="C56" s="64"/>
      <c r="D56" s="316"/>
      <c r="E56" s="317"/>
      <c r="F56" s="318"/>
      <c r="G56" s="98"/>
    </row>
    <row r="57" spans="1:7" s="56" customFormat="1"/>
    <row r="58" spans="1:7" s="56" customFormat="1">
      <c r="B58" s="305" t="s">
        <v>293</v>
      </c>
      <c r="C58" s="306"/>
      <c r="D58" s="306"/>
      <c r="E58" s="306"/>
      <c r="F58" s="307"/>
      <c r="G58" s="83"/>
    </row>
    <row r="59" spans="1:7" s="56" customFormat="1">
      <c r="B59" s="381"/>
      <c r="C59" s="382"/>
      <c r="D59" s="382"/>
      <c r="E59" s="382"/>
      <c r="F59" s="383"/>
      <c r="G59" s="61"/>
    </row>
    <row r="60" spans="1:7" s="56" customFormat="1"/>
    <row r="61" spans="1:7" s="56" customFormat="1">
      <c r="B61" s="305" t="s">
        <v>428</v>
      </c>
      <c r="C61" s="306"/>
      <c r="D61" s="306"/>
      <c r="E61" s="306"/>
      <c r="F61" s="307"/>
      <c r="G61" s="83"/>
    </row>
    <row r="62" spans="1:7">
      <c r="B62" s="381"/>
      <c r="C62" s="382"/>
      <c r="D62" s="382"/>
      <c r="E62" s="382"/>
      <c r="F62" s="383"/>
      <c r="G62" s="61"/>
    </row>
  </sheetData>
  <mergeCells count="46">
    <mergeCell ref="C10:F10"/>
    <mergeCell ref="B2:I2"/>
    <mergeCell ref="C6:F6"/>
    <mergeCell ref="C7:F7"/>
    <mergeCell ref="C8:F8"/>
    <mergeCell ref="C9:F9"/>
    <mergeCell ref="C11:F11"/>
    <mergeCell ref="B13:F13"/>
    <mergeCell ref="B14:C14"/>
    <mergeCell ref="D14:F14"/>
    <mergeCell ref="B15:C15"/>
    <mergeCell ref="D15:F15"/>
    <mergeCell ref="B34:F34"/>
    <mergeCell ref="B20:F20"/>
    <mergeCell ref="B21:F21"/>
    <mergeCell ref="B22:F22"/>
    <mergeCell ref="B23:F23"/>
    <mergeCell ref="B25:F25"/>
    <mergeCell ref="B26:F26"/>
    <mergeCell ref="B28:F28"/>
    <mergeCell ref="B29:F29"/>
    <mergeCell ref="B30:F30"/>
    <mergeCell ref="B31:F31"/>
    <mergeCell ref="B33:F33"/>
    <mergeCell ref="B49:F49"/>
    <mergeCell ref="B35:F35"/>
    <mergeCell ref="B36:F36"/>
    <mergeCell ref="B37:F37"/>
    <mergeCell ref="B39:F39"/>
    <mergeCell ref="B40:F40"/>
    <mergeCell ref="B42:F42"/>
    <mergeCell ref="C43:F43"/>
    <mergeCell ref="C44:F44"/>
    <mergeCell ref="C45:F45"/>
    <mergeCell ref="C46:F46"/>
    <mergeCell ref="C47:F47"/>
    <mergeCell ref="B58:F58"/>
    <mergeCell ref="B59:F59"/>
    <mergeCell ref="B61:F61"/>
    <mergeCell ref="B62:F62"/>
    <mergeCell ref="B50:F50"/>
    <mergeCell ref="B52:F52"/>
    <mergeCell ref="D53:F53"/>
    <mergeCell ref="D54:F54"/>
    <mergeCell ref="D55:F55"/>
    <mergeCell ref="D56:F56"/>
  </mergeCells>
  <dataValidations count="2">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 type="list" allowBlank="1" showInputMessage="1" showErrorMessage="1" sqref="C54:C56 IY54:IY56 SU54:SU56 ACQ54:ACQ56 AMM54:AMM56 AWI54:AWI56 BGE54:BGE56 BQA54:BQA56 BZW54:BZW56 CJS54:CJS56 CTO54:CTO56 DDK54:DDK56 DNG54:DNG56 DXC54:DXC56 EGY54:EGY56 EQU54:EQU56 FAQ54:FAQ56 FKM54:FKM56 FUI54:FUI56 GEE54:GEE56 GOA54:GOA56 GXW54:GXW56 HHS54:HHS56 HRO54:HRO56 IBK54:IBK56 ILG54:ILG56 IVC54:IVC56 JEY54:JEY56 JOU54:JOU56 JYQ54:JYQ56 KIM54:KIM56 KSI54:KSI56 LCE54:LCE56 LMA54:LMA56 LVW54:LVW56 MFS54:MFS56 MPO54:MPO56 MZK54:MZK56 NJG54:NJG56 NTC54:NTC56 OCY54:OCY56 OMU54:OMU56 OWQ54:OWQ56 PGM54:PGM56 PQI54:PQI56 QAE54:QAE56 QKA54:QKA56 QTW54:QTW56 RDS54:RDS56 RNO54:RNO56 RXK54:RXK56 SHG54:SHG56 SRC54:SRC56 TAY54:TAY56 TKU54:TKU56 TUQ54:TUQ56 UEM54:UEM56 UOI54:UOI56 UYE54:UYE56 VIA54:VIA56 VRW54:VRW56 WBS54:WBS56 WLO54:WLO56 WVK54:WVK56 C65590:C65592 IY65590:IY65592 SU65590:SU65592 ACQ65590:ACQ65592 AMM65590:AMM65592 AWI65590:AWI65592 BGE65590:BGE65592 BQA65590:BQA65592 BZW65590:BZW65592 CJS65590:CJS65592 CTO65590:CTO65592 DDK65590:DDK65592 DNG65590:DNG65592 DXC65590:DXC65592 EGY65590:EGY65592 EQU65590:EQU65592 FAQ65590:FAQ65592 FKM65590:FKM65592 FUI65590:FUI65592 GEE65590:GEE65592 GOA65590:GOA65592 GXW65590:GXW65592 HHS65590:HHS65592 HRO65590:HRO65592 IBK65590:IBK65592 ILG65590:ILG65592 IVC65590:IVC65592 JEY65590:JEY65592 JOU65590:JOU65592 JYQ65590:JYQ65592 KIM65590:KIM65592 KSI65590:KSI65592 LCE65590:LCE65592 LMA65590:LMA65592 LVW65590:LVW65592 MFS65590:MFS65592 MPO65590:MPO65592 MZK65590:MZK65592 NJG65590:NJG65592 NTC65590:NTC65592 OCY65590:OCY65592 OMU65590:OMU65592 OWQ65590:OWQ65592 PGM65590:PGM65592 PQI65590:PQI65592 QAE65590:QAE65592 QKA65590:QKA65592 QTW65590:QTW65592 RDS65590:RDS65592 RNO65590:RNO65592 RXK65590:RXK65592 SHG65590:SHG65592 SRC65590:SRC65592 TAY65590:TAY65592 TKU65590:TKU65592 TUQ65590:TUQ65592 UEM65590:UEM65592 UOI65590:UOI65592 UYE65590:UYE65592 VIA65590:VIA65592 VRW65590:VRW65592 WBS65590:WBS65592 WLO65590:WLO65592 WVK65590:WVK65592 C131126:C131128 IY131126:IY131128 SU131126:SU131128 ACQ131126:ACQ131128 AMM131126:AMM131128 AWI131126:AWI131128 BGE131126:BGE131128 BQA131126:BQA131128 BZW131126:BZW131128 CJS131126:CJS131128 CTO131126:CTO131128 DDK131126:DDK131128 DNG131126:DNG131128 DXC131126:DXC131128 EGY131126:EGY131128 EQU131126:EQU131128 FAQ131126:FAQ131128 FKM131126:FKM131128 FUI131126:FUI131128 GEE131126:GEE131128 GOA131126:GOA131128 GXW131126:GXW131128 HHS131126:HHS131128 HRO131126:HRO131128 IBK131126:IBK131128 ILG131126:ILG131128 IVC131126:IVC131128 JEY131126:JEY131128 JOU131126:JOU131128 JYQ131126:JYQ131128 KIM131126:KIM131128 KSI131126:KSI131128 LCE131126:LCE131128 LMA131126:LMA131128 LVW131126:LVW131128 MFS131126:MFS131128 MPO131126:MPO131128 MZK131126:MZK131128 NJG131126:NJG131128 NTC131126:NTC131128 OCY131126:OCY131128 OMU131126:OMU131128 OWQ131126:OWQ131128 PGM131126:PGM131128 PQI131126:PQI131128 QAE131126:QAE131128 QKA131126:QKA131128 QTW131126:QTW131128 RDS131126:RDS131128 RNO131126:RNO131128 RXK131126:RXK131128 SHG131126:SHG131128 SRC131126:SRC131128 TAY131126:TAY131128 TKU131126:TKU131128 TUQ131126:TUQ131128 UEM131126:UEM131128 UOI131126:UOI131128 UYE131126:UYE131128 VIA131126:VIA131128 VRW131126:VRW131128 WBS131126:WBS131128 WLO131126:WLO131128 WVK131126:WVK131128 C196662:C196664 IY196662:IY196664 SU196662:SU196664 ACQ196662:ACQ196664 AMM196662:AMM196664 AWI196662:AWI196664 BGE196662:BGE196664 BQA196662:BQA196664 BZW196662:BZW196664 CJS196662:CJS196664 CTO196662:CTO196664 DDK196662:DDK196664 DNG196662:DNG196664 DXC196662:DXC196664 EGY196662:EGY196664 EQU196662:EQU196664 FAQ196662:FAQ196664 FKM196662:FKM196664 FUI196662:FUI196664 GEE196662:GEE196664 GOA196662:GOA196664 GXW196662:GXW196664 HHS196662:HHS196664 HRO196662:HRO196664 IBK196662:IBK196664 ILG196662:ILG196664 IVC196662:IVC196664 JEY196662:JEY196664 JOU196662:JOU196664 JYQ196662:JYQ196664 KIM196662:KIM196664 KSI196662:KSI196664 LCE196662:LCE196664 LMA196662:LMA196664 LVW196662:LVW196664 MFS196662:MFS196664 MPO196662:MPO196664 MZK196662:MZK196664 NJG196662:NJG196664 NTC196662:NTC196664 OCY196662:OCY196664 OMU196662:OMU196664 OWQ196662:OWQ196664 PGM196662:PGM196664 PQI196662:PQI196664 QAE196662:QAE196664 QKA196662:QKA196664 QTW196662:QTW196664 RDS196662:RDS196664 RNO196662:RNO196664 RXK196662:RXK196664 SHG196662:SHG196664 SRC196662:SRC196664 TAY196662:TAY196664 TKU196662:TKU196664 TUQ196662:TUQ196664 UEM196662:UEM196664 UOI196662:UOI196664 UYE196662:UYE196664 VIA196662:VIA196664 VRW196662:VRW196664 WBS196662:WBS196664 WLO196662:WLO196664 WVK196662:WVK196664 C262198:C262200 IY262198:IY262200 SU262198:SU262200 ACQ262198:ACQ262200 AMM262198:AMM262200 AWI262198:AWI262200 BGE262198:BGE262200 BQA262198:BQA262200 BZW262198:BZW262200 CJS262198:CJS262200 CTO262198:CTO262200 DDK262198:DDK262200 DNG262198:DNG262200 DXC262198:DXC262200 EGY262198:EGY262200 EQU262198:EQU262200 FAQ262198:FAQ262200 FKM262198:FKM262200 FUI262198:FUI262200 GEE262198:GEE262200 GOA262198:GOA262200 GXW262198:GXW262200 HHS262198:HHS262200 HRO262198:HRO262200 IBK262198:IBK262200 ILG262198:ILG262200 IVC262198:IVC262200 JEY262198:JEY262200 JOU262198:JOU262200 JYQ262198:JYQ262200 KIM262198:KIM262200 KSI262198:KSI262200 LCE262198:LCE262200 LMA262198:LMA262200 LVW262198:LVW262200 MFS262198:MFS262200 MPO262198:MPO262200 MZK262198:MZK262200 NJG262198:NJG262200 NTC262198:NTC262200 OCY262198:OCY262200 OMU262198:OMU262200 OWQ262198:OWQ262200 PGM262198:PGM262200 PQI262198:PQI262200 QAE262198:QAE262200 QKA262198:QKA262200 QTW262198:QTW262200 RDS262198:RDS262200 RNO262198:RNO262200 RXK262198:RXK262200 SHG262198:SHG262200 SRC262198:SRC262200 TAY262198:TAY262200 TKU262198:TKU262200 TUQ262198:TUQ262200 UEM262198:UEM262200 UOI262198:UOI262200 UYE262198:UYE262200 VIA262198:VIA262200 VRW262198:VRW262200 WBS262198:WBS262200 WLO262198:WLO262200 WVK262198:WVK262200 C327734:C327736 IY327734:IY327736 SU327734:SU327736 ACQ327734:ACQ327736 AMM327734:AMM327736 AWI327734:AWI327736 BGE327734:BGE327736 BQA327734:BQA327736 BZW327734:BZW327736 CJS327734:CJS327736 CTO327734:CTO327736 DDK327734:DDK327736 DNG327734:DNG327736 DXC327734:DXC327736 EGY327734:EGY327736 EQU327734:EQU327736 FAQ327734:FAQ327736 FKM327734:FKM327736 FUI327734:FUI327736 GEE327734:GEE327736 GOA327734:GOA327736 GXW327734:GXW327736 HHS327734:HHS327736 HRO327734:HRO327736 IBK327734:IBK327736 ILG327734:ILG327736 IVC327734:IVC327736 JEY327734:JEY327736 JOU327734:JOU327736 JYQ327734:JYQ327736 KIM327734:KIM327736 KSI327734:KSI327736 LCE327734:LCE327736 LMA327734:LMA327736 LVW327734:LVW327736 MFS327734:MFS327736 MPO327734:MPO327736 MZK327734:MZK327736 NJG327734:NJG327736 NTC327734:NTC327736 OCY327734:OCY327736 OMU327734:OMU327736 OWQ327734:OWQ327736 PGM327734:PGM327736 PQI327734:PQI327736 QAE327734:QAE327736 QKA327734:QKA327736 QTW327734:QTW327736 RDS327734:RDS327736 RNO327734:RNO327736 RXK327734:RXK327736 SHG327734:SHG327736 SRC327734:SRC327736 TAY327734:TAY327736 TKU327734:TKU327736 TUQ327734:TUQ327736 UEM327734:UEM327736 UOI327734:UOI327736 UYE327734:UYE327736 VIA327734:VIA327736 VRW327734:VRW327736 WBS327734:WBS327736 WLO327734:WLO327736 WVK327734:WVK327736 C393270:C393272 IY393270:IY393272 SU393270:SU393272 ACQ393270:ACQ393272 AMM393270:AMM393272 AWI393270:AWI393272 BGE393270:BGE393272 BQA393270:BQA393272 BZW393270:BZW393272 CJS393270:CJS393272 CTO393270:CTO393272 DDK393270:DDK393272 DNG393270:DNG393272 DXC393270:DXC393272 EGY393270:EGY393272 EQU393270:EQU393272 FAQ393270:FAQ393272 FKM393270:FKM393272 FUI393270:FUI393272 GEE393270:GEE393272 GOA393270:GOA393272 GXW393270:GXW393272 HHS393270:HHS393272 HRO393270:HRO393272 IBK393270:IBK393272 ILG393270:ILG393272 IVC393270:IVC393272 JEY393270:JEY393272 JOU393270:JOU393272 JYQ393270:JYQ393272 KIM393270:KIM393272 KSI393270:KSI393272 LCE393270:LCE393272 LMA393270:LMA393272 LVW393270:LVW393272 MFS393270:MFS393272 MPO393270:MPO393272 MZK393270:MZK393272 NJG393270:NJG393272 NTC393270:NTC393272 OCY393270:OCY393272 OMU393270:OMU393272 OWQ393270:OWQ393272 PGM393270:PGM393272 PQI393270:PQI393272 QAE393270:QAE393272 QKA393270:QKA393272 QTW393270:QTW393272 RDS393270:RDS393272 RNO393270:RNO393272 RXK393270:RXK393272 SHG393270:SHG393272 SRC393270:SRC393272 TAY393270:TAY393272 TKU393270:TKU393272 TUQ393270:TUQ393272 UEM393270:UEM393272 UOI393270:UOI393272 UYE393270:UYE393272 VIA393270:VIA393272 VRW393270:VRW393272 WBS393270:WBS393272 WLO393270:WLO393272 WVK393270:WVK393272 C458806:C458808 IY458806:IY458808 SU458806:SU458808 ACQ458806:ACQ458808 AMM458806:AMM458808 AWI458806:AWI458808 BGE458806:BGE458808 BQA458806:BQA458808 BZW458806:BZW458808 CJS458806:CJS458808 CTO458806:CTO458808 DDK458806:DDK458808 DNG458806:DNG458808 DXC458806:DXC458808 EGY458806:EGY458808 EQU458806:EQU458808 FAQ458806:FAQ458808 FKM458806:FKM458808 FUI458806:FUI458808 GEE458806:GEE458808 GOA458806:GOA458808 GXW458806:GXW458808 HHS458806:HHS458808 HRO458806:HRO458808 IBK458806:IBK458808 ILG458806:ILG458808 IVC458806:IVC458808 JEY458806:JEY458808 JOU458806:JOU458808 JYQ458806:JYQ458808 KIM458806:KIM458808 KSI458806:KSI458808 LCE458806:LCE458808 LMA458806:LMA458808 LVW458806:LVW458808 MFS458806:MFS458808 MPO458806:MPO458808 MZK458806:MZK458808 NJG458806:NJG458808 NTC458806:NTC458808 OCY458806:OCY458808 OMU458806:OMU458808 OWQ458806:OWQ458808 PGM458806:PGM458808 PQI458806:PQI458808 QAE458806:QAE458808 QKA458806:QKA458808 QTW458806:QTW458808 RDS458806:RDS458808 RNO458806:RNO458808 RXK458806:RXK458808 SHG458806:SHG458808 SRC458806:SRC458808 TAY458806:TAY458808 TKU458806:TKU458808 TUQ458806:TUQ458808 UEM458806:UEM458808 UOI458806:UOI458808 UYE458806:UYE458808 VIA458806:VIA458808 VRW458806:VRW458808 WBS458806:WBS458808 WLO458806:WLO458808 WVK458806:WVK458808 C524342:C524344 IY524342:IY524344 SU524342:SU524344 ACQ524342:ACQ524344 AMM524342:AMM524344 AWI524342:AWI524344 BGE524342:BGE524344 BQA524342:BQA524344 BZW524342:BZW524344 CJS524342:CJS524344 CTO524342:CTO524344 DDK524342:DDK524344 DNG524342:DNG524344 DXC524342:DXC524344 EGY524342:EGY524344 EQU524342:EQU524344 FAQ524342:FAQ524344 FKM524342:FKM524344 FUI524342:FUI524344 GEE524342:GEE524344 GOA524342:GOA524344 GXW524342:GXW524344 HHS524342:HHS524344 HRO524342:HRO524344 IBK524342:IBK524344 ILG524342:ILG524344 IVC524342:IVC524344 JEY524342:JEY524344 JOU524342:JOU524344 JYQ524342:JYQ524344 KIM524342:KIM524344 KSI524342:KSI524344 LCE524342:LCE524344 LMA524342:LMA524344 LVW524342:LVW524344 MFS524342:MFS524344 MPO524342:MPO524344 MZK524342:MZK524344 NJG524342:NJG524344 NTC524342:NTC524344 OCY524342:OCY524344 OMU524342:OMU524344 OWQ524342:OWQ524344 PGM524342:PGM524344 PQI524342:PQI524344 QAE524342:QAE524344 QKA524342:QKA524344 QTW524342:QTW524344 RDS524342:RDS524344 RNO524342:RNO524344 RXK524342:RXK524344 SHG524342:SHG524344 SRC524342:SRC524344 TAY524342:TAY524344 TKU524342:TKU524344 TUQ524342:TUQ524344 UEM524342:UEM524344 UOI524342:UOI524344 UYE524342:UYE524344 VIA524342:VIA524344 VRW524342:VRW524344 WBS524342:WBS524344 WLO524342:WLO524344 WVK524342:WVK524344 C589878:C589880 IY589878:IY589880 SU589878:SU589880 ACQ589878:ACQ589880 AMM589878:AMM589880 AWI589878:AWI589880 BGE589878:BGE589880 BQA589878:BQA589880 BZW589878:BZW589880 CJS589878:CJS589880 CTO589878:CTO589880 DDK589878:DDK589880 DNG589878:DNG589880 DXC589878:DXC589880 EGY589878:EGY589880 EQU589878:EQU589880 FAQ589878:FAQ589880 FKM589878:FKM589880 FUI589878:FUI589880 GEE589878:GEE589880 GOA589878:GOA589880 GXW589878:GXW589880 HHS589878:HHS589880 HRO589878:HRO589880 IBK589878:IBK589880 ILG589878:ILG589880 IVC589878:IVC589880 JEY589878:JEY589880 JOU589878:JOU589880 JYQ589878:JYQ589880 KIM589878:KIM589880 KSI589878:KSI589880 LCE589878:LCE589880 LMA589878:LMA589880 LVW589878:LVW589880 MFS589878:MFS589880 MPO589878:MPO589880 MZK589878:MZK589880 NJG589878:NJG589880 NTC589878:NTC589880 OCY589878:OCY589880 OMU589878:OMU589880 OWQ589878:OWQ589880 PGM589878:PGM589880 PQI589878:PQI589880 QAE589878:QAE589880 QKA589878:QKA589880 QTW589878:QTW589880 RDS589878:RDS589880 RNO589878:RNO589880 RXK589878:RXK589880 SHG589878:SHG589880 SRC589878:SRC589880 TAY589878:TAY589880 TKU589878:TKU589880 TUQ589878:TUQ589880 UEM589878:UEM589880 UOI589878:UOI589880 UYE589878:UYE589880 VIA589878:VIA589880 VRW589878:VRW589880 WBS589878:WBS589880 WLO589878:WLO589880 WVK589878:WVK589880 C655414:C655416 IY655414:IY655416 SU655414:SU655416 ACQ655414:ACQ655416 AMM655414:AMM655416 AWI655414:AWI655416 BGE655414:BGE655416 BQA655414:BQA655416 BZW655414:BZW655416 CJS655414:CJS655416 CTO655414:CTO655416 DDK655414:DDK655416 DNG655414:DNG655416 DXC655414:DXC655416 EGY655414:EGY655416 EQU655414:EQU655416 FAQ655414:FAQ655416 FKM655414:FKM655416 FUI655414:FUI655416 GEE655414:GEE655416 GOA655414:GOA655416 GXW655414:GXW655416 HHS655414:HHS655416 HRO655414:HRO655416 IBK655414:IBK655416 ILG655414:ILG655416 IVC655414:IVC655416 JEY655414:JEY655416 JOU655414:JOU655416 JYQ655414:JYQ655416 KIM655414:KIM655416 KSI655414:KSI655416 LCE655414:LCE655416 LMA655414:LMA655416 LVW655414:LVW655416 MFS655414:MFS655416 MPO655414:MPO655416 MZK655414:MZK655416 NJG655414:NJG655416 NTC655414:NTC655416 OCY655414:OCY655416 OMU655414:OMU655416 OWQ655414:OWQ655416 PGM655414:PGM655416 PQI655414:PQI655416 QAE655414:QAE655416 QKA655414:QKA655416 QTW655414:QTW655416 RDS655414:RDS655416 RNO655414:RNO655416 RXK655414:RXK655416 SHG655414:SHG655416 SRC655414:SRC655416 TAY655414:TAY655416 TKU655414:TKU655416 TUQ655414:TUQ655416 UEM655414:UEM655416 UOI655414:UOI655416 UYE655414:UYE655416 VIA655414:VIA655416 VRW655414:VRW655416 WBS655414:WBS655416 WLO655414:WLO655416 WVK655414:WVK655416 C720950:C720952 IY720950:IY720952 SU720950:SU720952 ACQ720950:ACQ720952 AMM720950:AMM720952 AWI720950:AWI720952 BGE720950:BGE720952 BQA720950:BQA720952 BZW720950:BZW720952 CJS720950:CJS720952 CTO720950:CTO720952 DDK720950:DDK720952 DNG720950:DNG720952 DXC720950:DXC720952 EGY720950:EGY720952 EQU720950:EQU720952 FAQ720950:FAQ720952 FKM720950:FKM720952 FUI720950:FUI720952 GEE720950:GEE720952 GOA720950:GOA720952 GXW720950:GXW720952 HHS720950:HHS720952 HRO720950:HRO720952 IBK720950:IBK720952 ILG720950:ILG720952 IVC720950:IVC720952 JEY720950:JEY720952 JOU720950:JOU720952 JYQ720950:JYQ720952 KIM720950:KIM720952 KSI720950:KSI720952 LCE720950:LCE720952 LMA720950:LMA720952 LVW720950:LVW720952 MFS720950:MFS720952 MPO720950:MPO720952 MZK720950:MZK720952 NJG720950:NJG720952 NTC720950:NTC720952 OCY720950:OCY720952 OMU720950:OMU720952 OWQ720950:OWQ720952 PGM720950:PGM720952 PQI720950:PQI720952 QAE720950:QAE720952 QKA720950:QKA720952 QTW720950:QTW720952 RDS720950:RDS720952 RNO720950:RNO720952 RXK720950:RXK720952 SHG720950:SHG720952 SRC720950:SRC720952 TAY720950:TAY720952 TKU720950:TKU720952 TUQ720950:TUQ720952 UEM720950:UEM720952 UOI720950:UOI720952 UYE720950:UYE720952 VIA720950:VIA720952 VRW720950:VRW720952 WBS720950:WBS720952 WLO720950:WLO720952 WVK720950:WVK720952 C786486:C786488 IY786486:IY786488 SU786486:SU786488 ACQ786486:ACQ786488 AMM786486:AMM786488 AWI786486:AWI786488 BGE786486:BGE786488 BQA786486:BQA786488 BZW786486:BZW786488 CJS786486:CJS786488 CTO786486:CTO786488 DDK786486:DDK786488 DNG786486:DNG786488 DXC786486:DXC786488 EGY786486:EGY786488 EQU786486:EQU786488 FAQ786486:FAQ786488 FKM786486:FKM786488 FUI786486:FUI786488 GEE786486:GEE786488 GOA786486:GOA786488 GXW786486:GXW786488 HHS786486:HHS786488 HRO786486:HRO786488 IBK786486:IBK786488 ILG786486:ILG786488 IVC786486:IVC786488 JEY786486:JEY786488 JOU786486:JOU786488 JYQ786486:JYQ786488 KIM786486:KIM786488 KSI786486:KSI786488 LCE786486:LCE786488 LMA786486:LMA786488 LVW786486:LVW786488 MFS786486:MFS786488 MPO786486:MPO786488 MZK786486:MZK786488 NJG786486:NJG786488 NTC786486:NTC786488 OCY786486:OCY786488 OMU786486:OMU786488 OWQ786486:OWQ786488 PGM786486:PGM786488 PQI786486:PQI786488 QAE786486:QAE786488 QKA786486:QKA786488 QTW786486:QTW786488 RDS786486:RDS786488 RNO786486:RNO786488 RXK786486:RXK786488 SHG786486:SHG786488 SRC786486:SRC786488 TAY786486:TAY786488 TKU786486:TKU786488 TUQ786486:TUQ786488 UEM786486:UEM786488 UOI786486:UOI786488 UYE786486:UYE786488 VIA786486:VIA786488 VRW786486:VRW786488 WBS786486:WBS786488 WLO786486:WLO786488 WVK786486:WVK786488 C852022:C852024 IY852022:IY852024 SU852022:SU852024 ACQ852022:ACQ852024 AMM852022:AMM852024 AWI852022:AWI852024 BGE852022:BGE852024 BQA852022:BQA852024 BZW852022:BZW852024 CJS852022:CJS852024 CTO852022:CTO852024 DDK852022:DDK852024 DNG852022:DNG852024 DXC852022:DXC852024 EGY852022:EGY852024 EQU852022:EQU852024 FAQ852022:FAQ852024 FKM852022:FKM852024 FUI852022:FUI852024 GEE852022:GEE852024 GOA852022:GOA852024 GXW852022:GXW852024 HHS852022:HHS852024 HRO852022:HRO852024 IBK852022:IBK852024 ILG852022:ILG852024 IVC852022:IVC852024 JEY852022:JEY852024 JOU852022:JOU852024 JYQ852022:JYQ852024 KIM852022:KIM852024 KSI852022:KSI852024 LCE852022:LCE852024 LMA852022:LMA852024 LVW852022:LVW852024 MFS852022:MFS852024 MPO852022:MPO852024 MZK852022:MZK852024 NJG852022:NJG852024 NTC852022:NTC852024 OCY852022:OCY852024 OMU852022:OMU852024 OWQ852022:OWQ852024 PGM852022:PGM852024 PQI852022:PQI852024 QAE852022:QAE852024 QKA852022:QKA852024 QTW852022:QTW852024 RDS852022:RDS852024 RNO852022:RNO852024 RXK852022:RXK852024 SHG852022:SHG852024 SRC852022:SRC852024 TAY852022:TAY852024 TKU852022:TKU852024 TUQ852022:TUQ852024 UEM852022:UEM852024 UOI852022:UOI852024 UYE852022:UYE852024 VIA852022:VIA852024 VRW852022:VRW852024 WBS852022:WBS852024 WLO852022:WLO852024 WVK852022:WVK852024 C917558:C917560 IY917558:IY917560 SU917558:SU917560 ACQ917558:ACQ917560 AMM917558:AMM917560 AWI917558:AWI917560 BGE917558:BGE917560 BQA917558:BQA917560 BZW917558:BZW917560 CJS917558:CJS917560 CTO917558:CTO917560 DDK917558:DDK917560 DNG917558:DNG917560 DXC917558:DXC917560 EGY917558:EGY917560 EQU917558:EQU917560 FAQ917558:FAQ917560 FKM917558:FKM917560 FUI917558:FUI917560 GEE917558:GEE917560 GOA917558:GOA917560 GXW917558:GXW917560 HHS917558:HHS917560 HRO917558:HRO917560 IBK917558:IBK917560 ILG917558:ILG917560 IVC917558:IVC917560 JEY917558:JEY917560 JOU917558:JOU917560 JYQ917558:JYQ917560 KIM917558:KIM917560 KSI917558:KSI917560 LCE917558:LCE917560 LMA917558:LMA917560 LVW917558:LVW917560 MFS917558:MFS917560 MPO917558:MPO917560 MZK917558:MZK917560 NJG917558:NJG917560 NTC917558:NTC917560 OCY917558:OCY917560 OMU917558:OMU917560 OWQ917558:OWQ917560 PGM917558:PGM917560 PQI917558:PQI917560 QAE917558:QAE917560 QKA917558:QKA917560 QTW917558:QTW917560 RDS917558:RDS917560 RNO917558:RNO917560 RXK917558:RXK917560 SHG917558:SHG917560 SRC917558:SRC917560 TAY917558:TAY917560 TKU917558:TKU917560 TUQ917558:TUQ917560 UEM917558:UEM917560 UOI917558:UOI917560 UYE917558:UYE917560 VIA917558:VIA917560 VRW917558:VRW917560 WBS917558:WBS917560 WLO917558:WLO917560 WVK917558:WVK917560 C983094:C983096 IY983094:IY983096 SU983094:SU983096 ACQ983094:ACQ983096 AMM983094:AMM983096 AWI983094:AWI983096 BGE983094:BGE983096 BQA983094:BQA983096 BZW983094:BZW983096 CJS983094:CJS983096 CTO983094:CTO983096 DDK983094:DDK983096 DNG983094:DNG983096 DXC983094:DXC983096 EGY983094:EGY983096 EQU983094:EQU983096 FAQ983094:FAQ983096 FKM983094:FKM983096 FUI983094:FUI983096 GEE983094:GEE983096 GOA983094:GOA983096 GXW983094:GXW983096 HHS983094:HHS983096 HRO983094:HRO983096 IBK983094:IBK983096 ILG983094:ILG983096 IVC983094:IVC983096 JEY983094:JEY983096 JOU983094:JOU983096 JYQ983094:JYQ983096 KIM983094:KIM983096 KSI983094:KSI983096 LCE983094:LCE983096 LMA983094:LMA983096 LVW983094:LVW983096 MFS983094:MFS983096 MPO983094:MPO983096 MZK983094:MZK983096 NJG983094:NJG983096 NTC983094:NTC983096 OCY983094:OCY983096 OMU983094:OMU983096 OWQ983094:OWQ983096 PGM983094:PGM983096 PQI983094:PQI983096 QAE983094:QAE983096 QKA983094:QKA983096 QTW983094:QTW983096 RDS983094:RDS983096 RNO983094:RNO983096 RXK983094:RXK983096 SHG983094:SHG983096 SRC983094:SRC983096 TAY983094:TAY983096 TKU983094:TKU983096 TUQ983094:TUQ983096 UEM983094:UEM983096 UOI983094:UOI983096 UYE983094:UYE983096 VIA983094:VIA983096 VRW983094:VRW983096 WBS983094:WBS983096 WLO983094:WLO983096 WVK983094:WVK983096">
      <formula1>"Académique, Professionnel, Associatif, Autre"</formula1>
    </dataValidation>
  </dataValidations>
  <hyperlinks>
    <hyperlink ref="B1" location="'Schéma d''enseignement'!G16" display="Schéma d'enseignement"/>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8080"/>
  </sheetPr>
  <dimension ref="B1:F58"/>
  <sheetViews>
    <sheetView zoomScale="80" zoomScaleNormal="80" workbookViewId="0">
      <selection activeCell="B1" sqref="B1"/>
    </sheetView>
  </sheetViews>
  <sheetFormatPr baseColWidth="10" defaultColWidth="2.85546875" defaultRowHeight="15"/>
  <cols>
    <col min="1" max="1" width="2.85546875" style="1"/>
    <col min="2" max="2" width="24.5703125" style="1" customWidth="1"/>
    <col min="3" max="3" width="19.42578125" style="1" customWidth="1"/>
    <col min="4" max="4" width="12.85546875" style="1" customWidth="1"/>
    <col min="5" max="5" width="13.140625" style="1" customWidth="1"/>
    <col min="6" max="6" width="39.42578125" style="1" customWidth="1"/>
    <col min="7" max="16384" width="2.85546875" style="1"/>
  </cols>
  <sheetData>
    <row r="1" spans="2:6">
      <c r="B1" s="192" t="s">
        <v>783</v>
      </c>
    </row>
    <row r="4" spans="2:6" ht="15.75">
      <c r="B4" s="54" t="s">
        <v>252</v>
      </c>
      <c r="C4" s="55"/>
      <c r="D4" s="55"/>
      <c r="E4" s="55"/>
      <c r="F4" s="55"/>
    </row>
    <row r="5" spans="2:6" ht="15.75">
      <c r="B5" s="56"/>
      <c r="C5" s="56"/>
      <c r="D5" s="56"/>
      <c r="E5" s="56"/>
      <c r="F5" s="56"/>
    </row>
    <row r="6" spans="2:6" ht="15.75">
      <c r="B6" s="57" t="s">
        <v>253</v>
      </c>
      <c r="C6" s="291" t="s">
        <v>254</v>
      </c>
      <c r="D6" s="291"/>
      <c r="E6" s="291"/>
      <c r="F6" s="291"/>
    </row>
    <row r="7" spans="2:6" ht="18.95" customHeight="1">
      <c r="B7" s="102" t="s">
        <v>255</v>
      </c>
      <c r="C7" s="292" t="s">
        <v>583</v>
      </c>
      <c r="D7" s="292"/>
      <c r="E7" s="292"/>
      <c r="F7" s="292"/>
    </row>
    <row r="8" spans="2:6" ht="15.75">
      <c r="B8" s="57" t="s">
        <v>257</v>
      </c>
      <c r="C8" s="291" t="s">
        <v>584</v>
      </c>
      <c r="D8" s="291"/>
      <c r="E8" s="291"/>
      <c r="F8" s="291"/>
    </row>
    <row r="9" spans="2:6" ht="15.75">
      <c r="B9" s="57" t="s">
        <v>259</v>
      </c>
      <c r="C9" s="291" t="s">
        <v>585</v>
      </c>
      <c r="D9" s="291"/>
      <c r="E9" s="291"/>
      <c r="F9" s="291"/>
    </row>
    <row r="10" spans="2:6" ht="15.75">
      <c r="B10" s="57" t="s">
        <v>261</v>
      </c>
      <c r="C10" s="291" t="s">
        <v>197</v>
      </c>
      <c r="D10" s="291"/>
      <c r="E10" s="291"/>
      <c r="F10" s="291"/>
    </row>
    <row r="11" spans="2:6" ht="15.75">
      <c r="B11" s="57" t="s">
        <v>263</v>
      </c>
      <c r="C11" s="291">
        <v>4</v>
      </c>
      <c r="D11" s="291"/>
      <c r="E11" s="291"/>
      <c r="F11" s="291"/>
    </row>
    <row r="12" spans="2:6" ht="15.75">
      <c r="B12" s="56"/>
      <c r="C12" s="56"/>
      <c r="D12" s="56"/>
      <c r="E12" s="56"/>
      <c r="F12" s="56"/>
    </row>
    <row r="13" spans="2:6" ht="15.75">
      <c r="B13" s="296" t="s">
        <v>264</v>
      </c>
      <c r="C13" s="296"/>
      <c r="D13" s="296"/>
      <c r="E13" s="296"/>
      <c r="F13" s="296"/>
    </row>
    <row r="14" spans="2:6" ht="15.75">
      <c r="B14" s="297" t="s">
        <v>265</v>
      </c>
      <c r="C14" s="298"/>
      <c r="D14" s="296" t="s">
        <v>266</v>
      </c>
      <c r="E14" s="296"/>
      <c r="F14" s="296"/>
    </row>
    <row r="15" spans="2:6" ht="15.75">
      <c r="B15" s="299"/>
      <c r="C15" s="300"/>
      <c r="D15" s="291" t="s">
        <v>254</v>
      </c>
      <c r="E15" s="291"/>
      <c r="F15" s="291"/>
    </row>
    <row r="16" spans="2:6" ht="15.75">
      <c r="B16" s="56"/>
      <c r="C16" s="56"/>
      <c r="D16" s="56"/>
      <c r="E16" s="56"/>
      <c r="F16" s="56"/>
    </row>
    <row r="17" spans="2:6" ht="15.75">
      <c r="B17" s="59" t="s">
        <v>267</v>
      </c>
      <c r="C17" s="59" t="s">
        <v>268</v>
      </c>
      <c r="D17" s="59" t="s">
        <v>269</v>
      </c>
      <c r="E17" s="59" t="s">
        <v>270</v>
      </c>
      <c r="F17" s="59" t="s">
        <v>271</v>
      </c>
    </row>
    <row r="18" spans="2:6" ht="30" customHeight="1">
      <c r="B18" s="26" t="s">
        <v>65</v>
      </c>
      <c r="C18" s="21">
        <v>42</v>
      </c>
      <c r="D18" s="21">
        <v>2</v>
      </c>
      <c r="E18" s="21">
        <v>2</v>
      </c>
      <c r="F18" s="21" t="s">
        <v>272</v>
      </c>
    </row>
    <row r="19" spans="2:6" ht="15.75">
      <c r="B19" s="74"/>
      <c r="C19" s="75"/>
      <c r="D19" s="75"/>
      <c r="E19" s="75"/>
      <c r="F19" s="75"/>
    </row>
    <row r="20" spans="2:6" ht="15.75">
      <c r="B20" s="305" t="s">
        <v>273</v>
      </c>
      <c r="C20" s="306"/>
      <c r="D20" s="306"/>
      <c r="E20" s="306"/>
      <c r="F20" s="307"/>
    </row>
    <row r="21" spans="2:6" ht="14.45" customHeight="1">
      <c r="B21" s="401" t="s">
        <v>614</v>
      </c>
      <c r="C21" s="402"/>
      <c r="D21" s="402"/>
      <c r="E21" s="402"/>
      <c r="F21" s="403"/>
    </row>
    <row r="22" spans="2:6" ht="14.45" customHeight="1">
      <c r="B22" s="404"/>
      <c r="C22" s="405"/>
      <c r="D22" s="405"/>
      <c r="E22" s="405"/>
      <c r="F22" s="406"/>
    </row>
    <row r="23" spans="2:6" ht="15.75">
      <c r="B23" s="305" t="s">
        <v>275</v>
      </c>
      <c r="C23" s="306"/>
      <c r="D23" s="306"/>
      <c r="E23" s="306"/>
      <c r="F23" s="307"/>
    </row>
    <row r="24" spans="2:6" ht="15.75">
      <c r="B24" s="65"/>
      <c r="C24" s="66"/>
      <c r="D24" s="66"/>
      <c r="E24" s="66"/>
      <c r="F24" s="67"/>
    </row>
    <row r="25" spans="2:6" ht="14.45" customHeight="1">
      <c r="B25" s="325" t="s">
        <v>615</v>
      </c>
      <c r="C25" s="326"/>
      <c r="D25" s="326"/>
      <c r="E25" s="326"/>
      <c r="F25" s="327"/>
    </row>
    <row r="26" spans="2:6" ht="14.45" customHeight="1">
      <c r="B26" s="362"/>
      <c r="C26" s="363"/>
      <c r="D26" s="363"/>
      <c r="E26" s="363"/>
      <c r="F26" s="364"/>
    </row>
    <row r="27" spans="2:6" ht="14.45" customHeight="1">
      <c r="B27" s="362"/>
      <c r="C27" s="363"/>
      <c r="D27" s="363"/>
      <c r="E27" s="363"/>
      <c r="F27" s="364"/>
    </row>
    <row r="28" spans="2:6" ht="69.95" customHeight="1">
      <c r="B28" s="328"/>
      <c r="C28" s="329"/>
      <c r="D28" s="329"/>
      <c r="E28" s="329"/>
      <c r="F28" s="330"/>
    </row>
    <row r="29" spans="2:6" ht="15.75">
      <c r="B29" s="305" t="s">
        <v>277</v>
      </c>
      <c r="C29" s="306"/>
      <c r="D29" s="306"/>
      <c r="E29" s="306"/>
      <c r="F29" s="307"/>
    </row>
    <row r="30" spans="2:6" ht="33.6" customHeight="1">
      <c r="B30" s="308" t="s">
        <v>616</v>
      </c>
      <c r="C30" s="396"/>
      <c r="D30" s="396"/>
      <c r="E30" s="396"/>
      <c r="F30" s="397"/>
    </row>
    <row r="31" spans="2:6" ht="15.75">
      <c r="B31" s="56"/>
      <c r="C31" s="56"/>
      <c r="D31" s="56"/>
      <c r="E31" s="56"/>
      <c r="F31" s="56"/>
    </row>
    <row r="32" spans="2:6" ht="15.75">
      <c r="B32" s="305" t="s">
        <v>279</v>
      </c>
      <c r="C32" s="306"/>
      <c r="D32" s="306"/>
      <c r="E32" s="306"/>
      <c r="F32" s="307"/>
    </row>
    <row r="33" spans="2:6" ht="15.75">
      <c r="B33" s="319" t="s">
        <v>107</v>
      </c>
      <c r="C33" s="320"/>
      <c r="D33" s="320"/>
      <c r="E33" s="320"/>
      <c r="F33" s="321"/>
    </row>
    <row r="34" spans="2:6" ht="15.75">
      <c r="B34" s="319" t="s">
        <v>14</v>
      </c>
      <c r="C34" s="320"/>
      <c r="D34" s="320"/>
      <c r="E34" s="320"/>
      <c r="F34" s="321"/>
    </row>
    <row r="35" spans="2:6" ht="15.75">
      <c r="B35" s="319" t="s">
        <v>617</v>
      </c>
      <c r="C35" s="320"/>
      <c r="D35" s="320"/>
      <c r="E35" s="320"/>
      <c r="F35" s="321"/>
    </row>
    <row r="36" spans="2:6" ht="15.75">
      <c r="B36" s="319" t="s">
        <v>618</v>
      </c>
      <c r="C36" s="320"/>
      <c r="D36" s="320"/>
      <c r="E36" s="320"/>
      <c r="F36" s="321"/>
    </row>
    <row r="37" spans="2:6" ht="15.75">
      <c r="B37" s="319" t="s">
        <v>619</v>
      </c>
      <c r="C37" s="320"/>
      <c r="D37" s="320"/>
      <c r="E37" s="320"/>
      <c r="F37" s="321"/>
    </row>
    <row r="38" spans="2:6" ht="15.75">
      <c r="B38" s="351" t="s">
        <v>174</v>
      </c>
      <c r="C38" s="351"/>
      <c r="D38" s="351"/>
      <c r="E38" s="351"/>
      <c r="F38" s="351"/>
    </row>
    <row r="39" spans="2:6" ht="15.75">
      <c r="B39" s="56"/>
      <c r="C39" s="56"/>
      <c r="D39" s="56"/>
      <c r="E39" s="56"/>
      <c r="F39" s="56"/>
    </row>
    <row r="40" spans="2:6" ht="15.75">
      <c r="B40" s="305" t="s">
        <v>284</v>
      </c>
      <c r="C40" s="306"/>
      <c r="D40" s="306"/>
      <c r="E40" s="306"/>
      <c r="F40" s="307"/>
    </row>
    <row r="41" spans="2:6" ht="349.5" customHeight="1">
      <c r="B41" s="398" t="s">
        <v>631</v>
      </c>
      <c r="C41" s="399"/>
      <c r="D41" s="399"/>
      <c r="E41" s="399"/>
      <c r="F41" s="400"/>
    </row>
    <row r="42" spans="2:6" ht="15.75">
      <c r="B42" s="60"/>
      <c r="C42" s="61"/>
      <c r="D42" s="61"/>
      <c r="E42" s="61"/>
      <c r="F42" s="61"/>
    </row>
    <row r="43" spans="2:6" ht="15.75">
      <c r="B43" s="305" t="s">
        <v>324</v>
      </c>
      <c r="C43" s="306"/>
      <c r="D43" s="306"/>
      <c r="E43" s="306"/>
      <c r="F43" s="307"/>
    </row>
    <row r="44" spans="2:6" ht="15.75">
      <c r="B44" s="100" t="s">
        <v>591</v>
      </c>
      <c r="C44" s="379" t="s">
        <v>620</v>
      </c>
      <c r="D44" s="379"/>
      <c r="E44" s="379"/>
      <c r="F44" s="379"/>
    </row>
    <row r="45" spans="2:6" ht="15.75">
      <c r="B45" s="100" t="s">
        <v>621</v>
      </c>
      <c r="C45" s="379" t="s">
        <v>622</v>
      </c>
      <c r="D45" s="379"/>
      <c r="E45" s="379"/>
      <c r="F45" s="379"/>
    </row>
    <row r="46" spans="2:6" ht="15.75">
      <c r="B46" s="100" t="s">
        <v>623</v>
      </c>
      <c r="C46" s="293" t="s">
        <v>624</v>
      </c>
      <c r="D46" s="294"/>
      <c r="E46" s="294"/>
      <c r="F46" s="295"/>
    </row>
    <row r="47" spans="2:6" ht="15.75">
      <c r="B47" s="56"/>
      <c r="C47" s="56"/>
      <c r="D47" s="56"/>
      <c r="E47" s="56"/>
      <c r="F47" s="56"/>
    </row>
    <row r="48" spans="2:6" ht="15.75">
      <c r="B48" s="305" t="s">
        <v>287</v>
      </c>
      <c r="C48" s="306"/>
      <c r="D48" s="306"/>
      <c r="E48" s="306"/>
      <c r="F48" s="307"/>
    </row>
    <row r="49" spans="2:6" ht="15.75">
      <c r="B49" s="293" t="s">
        <v>625</v>
      </c>
      <c r="C49" s="294"/>
      <c r="D49" s="294"/>
      <c r="E49" s="294"/>
      <c r="F49" s="295"/>
    </row>
    <row r="50" spans="2:6" ht="15.75">
      <c r="B50" s="56"/>
      <c r="C50" s="56"/>
      <c r="D50" s="56"/>
      <c r="E50" s="56"/>
      <c r="F50" s="56"/>
    </row>
    <row r="51" spans="2:6" ht="15.75">
      <c r="B51" s="305" t="s">
        <v>289</v>
      </c>
      <c r="C51" s="306"/>
      <c r="D51" s="306"/>
      <c r="E51" s="306"/>
      <c r="F51" s="307"/>
    </row>
    <row r="52" spans="2:6" ht="15.75">
      <c r="B52" s="62" t="s">
        <v>290</v>
      </c>
      <c r="C52" s="62" t="s">
        <v>291</v>
      </c>
      <c r="D52" s="305" t="s">
        <v>292</v>
      </c>
      <c r="E52" s="306"/>
      <c r="F52" s="307"/>
    </row>
    <row r="53" spans="2:6" ht="15.75">
      <c r="B53" s="103" t="s">
        <v>626</v>
      </c>
      <c r="C53" s="103"/>
      <c r="D53" s="293" t="s">
        <v>627</v>
      </c>
      <c r="E53" s="294"/>
      <c r="F53" s="295"/>
    </row>
    <row r="54" spans="2:6" ht="15.75">
      <c r="B54" s="103" t="s">
        <v>628</v>
      </c>
      <c r="C54" s="103"/>
      <c r="D54" s="293" t="s">
        <v>629</v>
      </c>
      <c r="E54" s="294"/>
      <c r="F54" s="295"/>
    </row>
    <row r="55" spans="2:6" ht="15.75">
      <c r="B55" s="64"/>
      <c r="C55" s="64"/>
      <c r="D55" s="316"/>
      <c r="E55" s="317"/>
      <c r="F55" s="318"/>
    </row>
    <row r="56" spans="2:6" ht="15.75">
      <c r="B56" s="56"/>
      <c r="C56" s="56"/>
      <c r="D56" s="56"/>
      <c r="E56" s="56"/>
      <c r="F56" s="56"/>
    </row>
    <row r="57" spans="2:6" ht="15.75">
      <c r="B57" s="305" t="s">
        <v>293</v>
      </c>
      <c r="C57" s="306"/>
      <c r="D57" s="306"/>
      <c r="E57" s="306"/>
      <c r="F57" s="307"/>
    </row>
    <row r="58" spans="2:6" ht="15.75">
      <c r="B58" s="381"/>
      <c r="C58" s="382"/>
      <c r="D58" s="382"/>
      <c r="E58" s="382"/>
      <c r="F58" s="383"/>
    </row>
  </sheetData>
  <mergeCells count="39">
    <mergeCell ref="C11:F11"/>
    <mergeCell ref="B13:F13"/>
    <mergeCell ref="B14:C14"/>
    <mergeCell ref="D14:F14"/>
    <mergeCell ref="B41:F41"/>
    <mergeCell ref="B15:C15"/>
    <mergeCell ref="D15:F15"/>
    <mergeCell ref="B20:F20"/>
    <mergeCell ref="B21:F22"/>
    <mergeCell ref="B23:F23"/>
    <mergeCell ref="B25:F28"/>
    <mergeCell ref="B43:F43"/>
    <mergeCell ref="B29:F29"/>
    <mergeCell ref="B30:F30"/>
    <mergeCell ref="B32:F32"/>
    <mergeCell ref="B33:F33"/>
    <mergeCell ref="B40:F40"/>
    <mergeCell ref="B34:F34"/>
    <mergeCell ref="B35:F35"/>
    <mergeCell ref="B36:F36"/>
    <mergeCell ref="B37:F37"/>
    <mergeCell ref="B38:F38"/>
    <mergeCell ref="C6:F6"/>
    <mergeCell ref="C7:F7"/>
    <mergeCell ref="C8:F8"/>
    <mergeCell ref="C9:F9"/>
    <mergeCell ref="C10:F10"/>
    <mergeCell ref="B58:F58"/>
    <mergeCell ref="C44:F44"/>
    <mergeCell ref="C45:F45"/>
    <mergeCell ref="C46:F46"/>
    <mergeCell ref="B48:F48"/>
    <mergeCell ref="B49:F49"/>
    <mergeCell ref="B51:F51"/>
    <mergeCell ref="D52:F52"/>
    <mergeCell ref="D53:F53"/>
    <mergeCell ref="D54:F54"/>
    <mergeCell ref="D55:F55"/>
    <mergeCell ref="B57:F57"/>
  </mergeCells>
  <hyperlinks>
    <hyperlink ref="B1" location="'Schéma d''enseignement'!G17" display="Schéma d'enseignement"/>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C000"/>
  </sheetPr>
  <dimension ref="B2:C17"/>
  <sheetViews>
    <sheetView workbookViewId="0">
      <selection activeCell="C16" sqref="C16"/>
    </sheetView>
  </sheetViews>
  <sheetFormatPr baseColWidth="10" defaultColWidth="8.85546875" defaultRowHeight="15"/>
  <cols>
    <col min="1" max="1" width="8.85546875" style="1"/>
    <col min="2" max="2" width="32.140625" style="1" customWidth="1"/>
    <col min="3" max="3" width="50.140625" style="1" customWidth="1"/>
    <col min="4" max="16384" width="8.85546875" style="1"/>
  </cols>
  <sheetData>
    <row r="2" spans="2:3">
      <c r="B2" s="3" t="s">
        <v>1</v>
      </c>
      <c r="C2" s="40" t="s">
        <v>79</v>
      </c>
    </row>
    <row r="4" spans="2:3">
      <c r="B4" s="290" t="s">
        <v>75</v>
      </c>
      <c r="C4" s="290"/>
    </row>
    <row r="5" spans="2:3">
      <c r="B5" s="37" t="s">
        <v>78</v>
      </c>
      <c r="C5" s="37" t="s">
        <v>19</v>
      </c>
    </row>
    <row r="6" spans="2:3">
      <c r="B6" s="259" t="s">
        <v>193</v>
      </c>
      <c r="C6" s="35" t="s">
        <v>184</v>
      </c>
    </row>
    <row r="7" spans="2:3">
      <c r="B7" s="259"/>
      <c r="C7" s="35" t="s">
        <v>185</v>
      </c>
    </row>
    <row r="8" spans="2:3">
      <c r="B8" s="259" t="s">
        <v>194</v>
      </c>
      <c r="C8" s="35" t="s">
        <v>113</v>
      </c>
    </row>
    <row r="9" spans="2:3">
      <c r="B9" s="259"/>
      <c r="C9" s="35" t="s">
        <v>186</v>
      </c>
    </row>
    <row r="10" spans="2:3">
      <c r="B10" s="259" t="s">
        <v>195</v>
      </c>
      <c r="C10" s="35" t="s">
        <v>187</v>
      </c>
    </row>
    <row r="11" spans="2:3">
      <c r="B11" s="259"/>
      <c r="C11" s="35" t="s">
        <v>188</v>
      </c>
    </row>
    <row r="12" spans="2:3">
      <c r="B12" s="259"/>
      <c r="C12" s="35" t="s">
        <v>189</v>
      </c>
    </row>
    <row r="13" spans="2:3">
      <c r="B13" s="259" t="s">
        <v>196</v>
      </c>
      <c r="C13" s="35" t="s">
        <v>190</v>
      </c>
    </row>
    <row r="14" spans="2:3">
      <c r="B14" s="259"/>
      <c r="C14" s="35" t="s">
        <v>191</v>
      </c>
    </row>
    <row r="15" spans="2:3">
      <c r="B15" s="259"/>
      <c r="C15" s="35" t="s">
        <v>192</v>
      </c>
    </row>
    <row r="16" spans="2:3">
      <c r="B16" s="259" t="s">
        <v>114</v>
      </c>
      <c r="C16" s="35" t="s">
        <v>181</v>
      </c>
    </row>
    <row r="17" spans="2:3">
      <c r="B17" s="259"/>
      <c r="C17" s="35" t="s">
        <v>64</v>
      </c>
    </row>
  </sheetData>
  <mergeCells count="6">
    <mergeCell ref="B10:B12"/>
    <mergeCell ref="B13:B15"/>
    <mergeCell ref="B16:B17"/>
    <mergeCell ref="B4:C4"/>
    <mergeCell ref="B6:B7"/>
    <mergeCell ref="B8:B9"/>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theme="5"/>
  </sheetPr>
  <dimension ref="B1:F48"/>
  <sheetViews>
    <sheetView zoomScale="96" zoomScaleNormal="96" workbookViewId="0">
      <selection activeCell="B1" sqref="B1"/>
    </sheetView>
  </sheetViews>
  <sheetFormatPr baseColWidth="10" defaultColWidth="8.85546875" defaultRowHeight="15"/>
  <cols>
    <col min="1" max="1" width="3.8554687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c r="B1" s="192" t="s">
        <v>783</v>
      </c>
    </row>
    <row r="2" spans="2:6" ht="15.75">
      <c r="B2" s="407" t="s">
        <v>252</v>
      </c>
      <c r="C2" s="407"/>
      <c r="D2" s="407"/>
      <c r="E2" s="407"/>
      <c r="F2" s="407"/>
    </row>
    <row r="3" spans="2:6" ht="15.75">
      <c r="B3" s="56"/>
      <c r="C3" s="56"/>
      <c r="D3" s="56"/>
      <c r="E3" s="56"/>
      <c r="F3" s="56"/>
    </row>
    <row r="4" spans="2:6" ht="15.75">
      <c r="B4" s="57" t="s">
        <v>253</v>
      </c>
      <c r="C4" s="291" t="s">
        <v>311</v>
      </c>
      <c r="D4" s="291"/>
      <c r="E4" s="291"/>
      <c r="F4" s="291"/>
    </row>
    <row r="5" spans="2:6" ht="20.100000000000001" customHeight="1">
      <c r="B5" s="58" t="s">
        <v>255</v>
      </c>
      <c r="C5" s="292" t="s">
        <v>256</v>
      </c>
      <c r="D5" s="292"/>
      <c r="E5" s="292"/>
      <c r="F5" s="292"/>
    </row>
    <row r="6" spans="2:6" ht="15.75">
      <c r="B6" s="57" t="s">
        <v>257</v>
      </c>
      <c r="C6" s="291" t="s">
        <v>258</v>
      </c>
      <c r="D6" s="291"/>
      <c r="E6" s="291"/>
      <c r="F6" s="291"/>
    </row>
    <row r="7" spans="2:6" ht="15.75">
      <c r="B7" s="57" t="s">
        <v>259</v>
      </c>
      <c r="C7" s="291" t="s">
        <v>260</v>
      </c>
      <c r="D7" s="291"/>
      <c r="E7" s="291"/>
      <c r="F7" s="291"/>
    </row>
    <row r="8" spans="2:6" ht="15.75">
      <c r="B8" s="57" t="s">
        <v>261</v>
      </c>
      <c r="C8" s="291" t="s">
        <v>193</v>
      </c>
      <c r="D8" s="291"/>
      <c r="E8" s="291"/>
      <c r="F8" s="291"/>
    </row>
    <row r="9" spans="2:6" ht="15.75">
      <c r="B9" s="57" t="s">
        <v>263</v>
      </c>
      <c r="C9" s="291">
        <v>4</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v>43201</v>
      </c>
      <c r="C13" s="300"/>
      <c r="D13" s="291" t="s">
        <v>409</v>
      </c>
      <c r="E13" s="291"/>
      <c r="F13" s="291"/>
    </row>
    <row r="14" spans="2:6" ht="15.75">
      <c r="B14" s="56"/>
      <c r="C14" s="56"/>
      <c r="D14" s="56"/>
      <c r="E14" s="56"/>
      <c r="F14" s="56"/>
    </row>
    <row r="15" spans="2:6" ht="15.75">
      <c r="B15" s="59" t="s">
        <v>267</v>
      </c>
      <c r="C15" s="59" t="s">
        <v>268</v>
      </c>
      <c r="D15" s="59" t="s">
        <v>269</v>
      </c>
      <c r="E15" s="59" t="s">
        <v>270</v>
      </c>
      <c r="F15" s="59" t="s">
        <v>271</v>
      </c>
    </row>
    <row r="16" spans="2:6" ht="34.5" customHeight="1">
      <c r="B16" s="26" t="s">
        <v>410</v>
      </c>
      <c r="C16" s="21">
        <v>42</v>
      </c>
      <c r="D16" s="21">
        <v>2</v>
      </c>
      <c r="E16" s="21">
        <v>2</v>
      </c>
      <c r="F16" s="21" t="s">
        <v>403</v>
      </c>
    </row>
    <row r="17" spans="2:6" ht="15.75">
      <c r="B17" s="74"/>
      <c r="C17" s="75"/>
      <c r="D17" s="75"/>
      <c r="E17" s="75"/>
      <c r="F17" s="75"/>
    </row>
    <row r="18" spans="2:6" ht="15.75">
      <c r="B18" s="305" t="s">
        <v>273</v>
      </c>
      <c r="C18" s="306"/>
      <c r="D18" s="306"/>
      <c r="E18" s="306"/>
      <c r="F18" s="307"/>
    </row>
    <row r="19" spans="2:6" ht="15" customHeight="1">
      <c r="B19" s="308" t="s">
        <v>404</v>
      </c>
      <c r="C19" s="294"/>
      <c r="D19" s="294"/>
      <c r="E19" s="294"/>
      <c r="F19" s="295"/>
    </row>
    <row r="20" spans="2:6" ht="15.75">
      <c r="B20" s="305" t="s">
        <v>275</v>
      </c>
      <c r="C20" s="306"/>
      <c r="D20" s="306"/>
      <c r="E20" s="306"/>
      <c r="F20" s="307"/>
    </row>
    <row r="21" spans="2:6" ht="125.45" customHeight="1">
      <c r="B21" s="308" t="s">
        <v>405</v>
      </c>
      <c r="C21" s="294"/>
      <c r="D21" s="294"/>
      <c r="E21" s="294"/>
      <c r="F21" s="295"/>
    </row>
    <row r="22" spans="2:6" ht="15.75">
      <c r="B22" s="56"/>
      <c r="C22" s="56"/>
      <c r="D22" s="56"/>
      <c r="E22" s="56"/>
      <c r="F22" s="56"/>
    </row>
    <row r="23" spans="2:6" ht="15.75">
      <c r="B23" s="305" t="s">
        <v>277</v>
      </c>
      <c r="C23" s="306"/>
      <c r="D23" s="306"/>
      <c r="E23" s="306"/>
      <c r="F23" s="307"/>
    </row>
    <row r="24" spans="2:6" ht="15.75">
      <c r="B24" s="293" t="s">
        <v>406</v>
      </c>
      <c r="C24" s="294"/>
      <c r="D24" s="294"/>
      <c r="E24" s="294"/>
      <c r="F24" s="295"/>
    </row>
    <row r="25" spans="2:6" ht="15.75">
      <c r="B25" s="56"/>
      <c r="C25" s="56"/>
      <c r="D25" s="56"/>
      <c r="E25" s="56"/>
      <c r="F25" s="56"/>
    </row>
    <row r="26" spans="2:6" ht="15.75">
      <c r="B26" s="305" t="s">
        <v>279</v>
      </c>
      <c r="C26" s="306"/>
      <c r="D26" s="306"/>
      <c r="E26" s="306"/>
      <c r="F26" s="307"/>
    </row>
    <row r="27" spans="2:6" ht="15.75">
      <c r="B27" s="408" t="s">
        <v>411</v>
      </c>
      <c r="C27" s="409"/>
      <c r="D27" s="409"/>
      <c r="E27" s="409"/>
      <c r="F27" s="410"/>
    </row>
    <row r="28" spans="2:6" ht="15.75">
      <c r="B28" s="411" t="s">
        <v>412</v>
      </c>
      <c r="C28" s="411"/>
      <c r="D28" s="411"/>
      <c r="E28" s="411"/>
      <c r="F28" s="411"/>
    </row>
    <row r="29" spans="2:6" ht="15.75">
      <c r="B29" s="56"/>
      <c r="C29" s="56"/>
      <c r="D29" s="56"/>
      <c r="E29" s="56"/>
      <c r="F29" s="56"/>
    </row>
    <row r="30" spans="2:6" ht="15.75">
      <c r="B30" s="305" t="s">
        <v>284</v>
      </c>
      <c r="C30" s="306"/>
      <c r="D30" s="306"/>
      <c r="E30" s="306"/>
      <c r="F30" s="307"/>
    </row>
    <row r="31" spans="2:6" ht="299.10000000000002" customHeight="1">
      <c r="B31" s="308" t="s">
        <v>413</v>
      </c>
      <c r="C31" s="294"/>
      <c r="D31" s="294"/>
      <c r="E31" s="294"/>
      <c r="F31" s="295"/>
    </row>
    <row r="32" spans="2:6" ht="15.75">
      <c r="B32" s="60"/>
      <c r="C32" s="61"/>
      <c r="D32" s="61"/>
      <c r="E32" s="61"/>
      <c r="F32" s="61"/>
    </row>
    <row r="33" spans="2:6" ht="15.75">
      <c r="B33" s="305" t="s">
        <v>297</v>
      </c>
      <c r="C33" s="306"/>
      <c r="D33" s="306"/>
      <c r="E33" s="306"/>
      <c r="F33" s="307"/>
    </row>
    <row r="34" spans="2:6" ht="15.75">
      <c r="B34" s="100" t="s">
        <v>306</v>
      </c>
      <c r="C34" s="379"/>
      <c r="D34" s="379"/>
      <c r="E34" s="379"/>
      <c r="F34" s="379"/>
    </row>
    <row r="35" spans="2:6" ht="29.45" customHeight="1">
      <c r="B35" s="104" t="s">
        <v>371</v>
      </c>
      <c r="C35" s="379"/>
      <c r="D35" s="379"/>
      <c r="E35" s="379"/>
      <c r="F35" s="379"/>
    </row>
    <row r="36" spans="2:6" ht="15.75">
      <c r="B36" s="100" t="s">
        <v>363</v>
      </c>
      <c r="C36" s="293"/>
      <c r="D36" s="294"/>
      <c r="E36" s="294"/>
      <c r="F36" s="295"/>
    </row>
    <row r="37" spans="2:6" ht="15.75">
      <c r="B37" s="56"/>
      <c r="C37" s="56"/>
      <c r="D37" s="56"/>
      <c r="E37" s="56"/>
      <c r="F37" s="56"/>
    </row>
    <row r="38" spans="2:6" ht="15.75">
      <c r="B38" s="305" t="s">
        <v>287</v>
      </c>
      <c r="C38" s="306"/>
      <c r="D38" s="306"/>
      <c r="E38" s="306"/>
      <c r="F38" s="307"/>
    </row>
    <row r="39" spans="2:6" ht="63.95" customHeight="1">
      <c r="B39" s="308" t="s">
        <v>407</v>
      </c>
      <c r="C39" s="294"/>
      <c r="D39" s="294"/>
      <c r="E39" s="294"/>
      <c r="F39" s="295"/>
    </row>
    <row r="40" spans="2:6" ht="15.75">
      <c r="B40" s="56"/>
      <c r="C40" s="56"/>
      <c r="D40" s="56"/>
      <c r="E40" s="56"/>
      <c r="F40" s="56"/>
    </row>
    <row r="41" spans="2:6" ht="31.5" customHeight="1">
      <c r="B41" s="313" t="s">
        <v>289</v>
      </c>
      <c r="C41" s="314"/>
      <c r="D41" s="314"/>
      <c r="E41" s="314"/>
      <c r="F41" s="315"/>
    </row>
    <row r="42" spans="2:6" ht="15.75">
      <c r="B42" s="62" t="s">
        <v>290</v>
      </c>
      <c r="C42" s="62" t="s">
        <v>291</v>
      </c>
      <c r="D42" s="305" t="s">
        <v>292</v>
      </c>
      <c r="E42" s="306"/>
      <c r="F42" s="307"/>
    </row>
    <row r="43" spans="2:6" ht="15.75">
      <c r="B43" s="63"/>
      <c r="C43" s="63"/>
      <c r="D43" s="316"/>
      <c r="E43" s="317"/>
      <c r="F43" s="318"/>
    </row>
    <row r="44" spans="2:6" ht="15.75">
      <c r="B44" s="63"/>
      <c r="C44" s="63"/>
      <c r="D44" s="316"/>
      <c r="E44" s="317"/>
      <c r="F44" s="318"/>
    </row>
    <row r="45" spans="2:6" ht="15.75">
      <c r="B45" s="64"/>
      <c r="C45" s="64"/>
      <c r="D45" s="316"/>
      <c r="E45" s="317"/>
      <c r="F45" s="318"/>
    </row>
    <row r="46" spans="2:6" ht="15.75">
      <c r="B46" s="56"/>
      <c r="C46" s="56"/>
      <c r="D46" s="56"/>
      <c r="E46" s="56"/>
      <c r="F46" s="56"/>
    </row>
    <row r="47" spans="2:6" ht="15.75">
      <c r="B47" s="305" t="s">
        <v>293</v>
      </c>
      <c r="C47" s="306"/>
      <c r="D47" s="306"/>
      <c r="E47" s="306"/>
      <c r="F47" s="307"/>
    </row>
    <row r="48" spans="2:6" ht="30" customHeight="1">
      <c r="B48" s="308" t="s">
        <v>408</v>
      </c>
      <c r="C48" s="294"/>
      <c r="D48" s="294"/>
      <c r="E48" s="294"/>
      <c r="F48" s="295"/>
    </row>
  </sheetData>
  <mergeCells count="36">
    <mergeCell ref="D45:F45"/>
    <mergeCell ref="B47:F47"/>
    <mergeCell ref="B48:F48"/>
    <mergeCell ref="B38:F38"/>
    <mergeCell ref="B39:F39"/>
    <mergeCell ref="B41:F41"/>
    <mergeCell ref="D42:F42"/>
    <mergeCell ref="D43:F43"/>
    <mergeCell ref="D44:F44"/>
    <mergeCell ref="B33:F33"/>
    <mergeCell ref="C34:F34"/>
    <mergeCell ref="C35:F35"/>
    <mergeCell ref="C36:F36"/>
    <mergeCell ref="B30:F30"/>
    <mergeCell ref="B31:F31"/>
    <mergeCell ref="B27:F27"/>
    <mergeCell ref="B28:F28"/>
    <mergeCell ref="B19:F19"/>
    <mergeCell ref="B20:F20"/>
    <mergeCell ref="B21:F21"/>
    <mergeCell ref="B23:F23"/>
    <mergeCell ref="B24:F24"/>
    <mergeCell ref="B26:F26"/>
    <mergeCell ref="B2:F2"/>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3:C45">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21" display="Schéma d'enseignement"/>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theme="5"/>
  </sheetPr>
  <dimension ref="B1:F59"/>
  <sheetViews>
    <sheetView zoomScaleNormal="100" workbookViewId="0">
      <selection activeCell="B1" sqref="B1"/>
    </sheetView>
  </sheetViews>
  <sheetFormatPr baseColWidth="10" defaultColWidth="8.85546875" defaultRowHeight="15"/>
  <cols>
    <col min="1" max="1" width="3.42578125" style="1" customWidth="1"/>
    <col min="2" max="2" width="29.42578125" style="1" customWidth="1"/>
    <col min="3" max="3" width="15.5703125" style="1" customWidth="1"/>
    <col min="4" max="4" width="11.85546875" style="1" customWidth="1"/>
    <col min="5" max="5" width="7" style="1" customWidth="1"/>
    <col min="6" max="6" width="67.42578125" style="1" customWidth="1"/>
    <col min="7" max="16384" width="8.85546875" style="1"/>
  </cols>
  <sheetData>
    <row r="1" spans="2:6">
      <c r="B1" s="192" t="s">
        <v>783</v>
      </c>
    </row>
    <row r="2" spans="2:6" ht="15.75">
      <c r="B2" s="407" t="s">
        <v>252</v>
      </c>
      <c r="C2" s="407"/>
      <c r="D2" s="407"/>
      <c r="E2" s="407"/>
      <c r="F2" s="407"/>
    </row>
    <row r="3" spans="2:6" ht="15.75">
      <c r="B3" s="56"/>
      <c r="C3" s="56"/>
      <c r="D3" s="56"/>
      <c r="E3" s="56"/>
      <c r="F3" s="56"/>
    </row>
    <row r="4" spans="2:6" ht="15.75">
      <c r="B4" s="57" t="s">
        <v>253</v>
      </c>
      <c r="C4" s="291" t="s">
        <v>254</v>
      </c>
      <c r="D4" s="291"/>
      <c r="E4" s="291"/>
      <c r="F4" s="291"/>
    </row>
    <row r="5" spans="2:6" ht="19.5" customHeight="1">
      <c r="B5" s="58" t="s">
        <v>255</v>
      </c>
      <c r="C5" s="292" t="s">
        <v>256</v>
      </c>
      <c r="D5" s="292"/>
      <c r="E5" s="292"/>
      <c r="F5" s="292"/>
    </row>
    <row r="6" spans="2:6" ht="15.75">
      <c r="B6" s="57" t="s">
        <v>257</v>
      </c>
      <c r="C6" s="291" t="s">
        <v>258</v>
      </c>
      <c r="D6" s="291"/>
      <c r="E6" s="291"/>
      <c r="F6" s="291"/>
    </row>
    <row r="7" spans="2:6" ht="15.75">
      <c r="B7" s="57" t="s">
        <v>259</v>
      </c>
      <c r="C7" s="291" t="s">
        <v>260</v>
      </c>
      <c r="D7" s="291"/>
      <c r="E7" s="291"/>
      <c r="F7" s="291"/>
    </row>
    <row r="8" spans="2:6" ht="15.75">
      <c r="B8" s="57" t="s">
        <v>261</v>
      </c>
      <c r="C8" s="291" t="s">
        <v>193</v>
      </c>
      <c r="D8" s="291"/>
      <c r="E8" s="291"/>
      <c r="F8" s="291"/>
    </row>
    <row r="9" spans="2:6" ht="15.75">
      <c r="B9" s="57" t="s">
        <v>263</v>
      </c>
      <c r="C9" s="291">
        <v>4</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v>43200</v>
      </c>
      <c r="C13" s="300"/>
      <c r="D13" s="291" t="s">
        <v>414</v>
      </c>
      <c r="E13" s="291"/>
      <c r="F13" s="291"/>
    </row>
    <row r="14" spans="2:6" ht="15.75">
      <c r="B14" s="56"/>
      <c r="C14" s="56"/>
      <c r="D14" s="56"/>
      <c r="E14" s="56"/>
      <c r="F14" s="56"/>
    </row>
    <row r="15" spans="2:6" ht="15.75">
      <c r="B15" s="59" t="s">
        <v>267</v>
      </c>
      <c r="C15" s="59" t="s">
        <v>268</v>
      </c>
      <c r="D15" s="59" t="s">
        <v>269</v>
      </c>
      <c r="E15" s="59" t="s">
        <v>270</v>
      </c>
      <c r="F15" s="59" t="s">
        <v>271</v>
      </c>
    </row>
    <row r="16" spans="2:6" ht="20.45" customHeight="1">
      <c r="B16" s="26" t="s">
        <v>415</v>
      </c>
      <c r="C16" s="21" t="s">
        <v>390</v>
      </c>
      <c r="D16" s="21">
        <v>2</v>
      </c>
      <c r="E16" s="21">
        <v>2</v>
      </c>
      <c r="F16" s="21" t="s">
        <v>430</v>
      </c>
    </row>
    <row r="17" spans="2:6" ht="15.75">
      <c r="B17" s="74"/>
      <c r="C17" s="75"/>
      <c r="D17" s="75"/>
      <c r="E17" s="75"/>
      <c r="F17" s="75"/>
    </row>
    <row r="18" spans="2:6" ht="15.75">
      <c r="B18" s="305" t="s">
        <v>273</v>
      </c>
      <c r="C18" s="306"/>
      <c r="D18" s="306"/>
      <c r="E18" s="306"/>
      <c r="F18" s="307"/>
    </row>
    <row r="19" spans="2:6" ht="33.6" customHeight="1">
      <c r="B19" s="308" t="s">
        <v>416</v>
      </c>
      <c r="C19" s="365"/>
      <c r="D19" s="365"/>
      <c r="E19" s="365"/>
      <c r="F19" s="366"/>
    </row>
    <row r="20" spans="2:6" ht="15.75">
      <c r="B20" s="305" t="s">
        <v>275</v>
      </c>
      <c r="C20" s="306"/>
      <c r="D20" s="306"/>
      <c r="E20" s="306"/>
      <c r="F20" s="307"/>
    </row>
    <row r="21" spans="2:6" ht="48.6" customHeight="1">
      <c r="B21" s="312" t="s">
        <v>417</v>
      </c>
      <c r="C21" s="294"/>
      <c r="D21" s="294"/>
      <c r="E21" s="294"/>
      <c r="F21" s="295"/>
    </row>
    <row r="22" spans="2:6" ht="15.75">
      <c r="B22" s="56"/>
      <c r="C22" s="56"/>
      <c r="D22" s="56"/>
      <c r="E22" s="56"/>
      <c r="F22" s="56"/>
    </row>
    <row r="23" spans="2:6" ht="15.75">
      <c r="B23" s="305" t="s">
        <v>277</v>
      </c>
      <c r="C23" s="306"/>
      <c r="D23" s="306"/>
      <c r="E23" s="306"/>
      <c r="F23" s="307"/>
    </row>
    <row r="24" spans="2:6" ht="30.6" customHeight="1">
      <c r="B24" s="308" t="s">
        <v>418</v>
      </c>
      <c r="C24" s="365"/>
      <c r="D24" s="365"/>
      <c r="E24" s="365"/>
      <c r="F24" s="366"/>
    </row>
    <row r="25" spans="2:6" ht="15.75">
      <c r="B25" s="56"/>
      <c r="C25" s="56"/>
      <c r="D25" s="56"/>
      <c r="E25" s="56"/>
      <c r="F25" s="56"/>
    </row>
    <row r="26" spans="2:6" ht="15.75">
      <c r="B26" s="305" t="s">
        <v>279</v>
      </c>
      <c r="C26" s="306"/>
      <c r="D26" s="306"/>
      <c r="E26" s="306"/>
      <c r="F26" s="307"/>
    </row>
    <row r="27" spans="2:6" ht="15.75">
      <c r="B27" s="412" t="s">
        <v>419</v>
      </c>
      <c r="C27" s="320"/>
      <c r="D27" s="320"/>
      <c r="E27" s="320"/>
      <c r="F27" s="321"/>
    </row>
    <row r="28" spans="2:6" ht="15.75">
      <c r="B28" s="319" t="s">
        <v>420</v>
      </c>
      <c r="C28" s="320"/>
      <c r="D28" s="320"/>
      <c r="E28" s="320"/>
      <c r="F28" s="321"/>
    </row>
    <row r="29" spans="2:6" ht="15.75">
      <c r="B29" s="319" t="s">
        <v>421</v>
      </c>
      <c r="C29" s="320"/>
      <c r="D29" s="320"/>
      <c r="E29" s="320"/>
      <c r="F29" s="321"/>
    </row>
    <row r="30" spans="2:6" ht="15.75">
      <c r="B30" s="319" t="s">
        <v>419</v>
      </c>
      <c r="C30" s="320"/>
      <c r="D30" s="320"/>
      <c r="E30" s="320"/>
      <c r="F30" s="321"/>
    </row>
    <row r="31" spans="2:6" ht="15.75">
      <c r="B31" s="319" t="s">
        <v>422</v>
      </c>
      <c r="C31" s="320"/>
      <c r="D31" s="320"/>
      <c r="E31" s="320"/>
      <c r="F31" s="321"/>
    </row>
    <row r="32" spans="2:6" ht="15.75">
      <c r="B32" s="319" t="s">
        <v>423</v>
      </c>
      <c r="C32" s="320"/>
      <c r="D32" s="320"/>
      <c r="E32" s="320"/>
      <c r="F32" s="321"/>
    </row>
    <row r="33" spans="2:6" ht="15.75">
      <c r="B33" s="319" t="s">
        <v>424</v>
      </c>
      <c r="C33" s="320"/>
      <c r="D33" s="320"/>
      <c r="E33" s="320"/>
      <c r="F33" s="321"/>
    </row>
    <row r="34" spans="2:6" ht="15.75">
      <c r="B34" s="351" t="s">
        <v>425</v>
      </c>
      <c r="C34" s="351"/>
      <c r="D34" s="351"/>
      <c r="E34" s="351"/>
      <c r="F34" s="351"/>
    </row>
    <row r="35" spans="2:6" ht="15.75">
      <c r="B35" s="56"/>
      <c r="C35" s="56"/>
      <c r="D35" s="56"/>
      <c r="E35" s="56"/>
      <c r="F35" s="56"/>
    </row>
    <row r="36" spans="2:6" ht="15.75">
      <c r="B36" s="305" t="s">
        <v>284</v>
      </c>
      <c r="C36" s="306"/>
      <c r="D36" s="306"/>
      <c r="E36" s="306"/>
      <c r="F36" s="307"/>
    </row>
    <row r="37" spans="2:6" ht="409.6" customHeight="1">
      <c r="B37" s="312" t="s">
        <v>426</v>
      </c>
      <c r="C37" s="294"/>
      <c r="D37" s="294"/>
      <c r="E37" s="294"/>
      <c r="F37" s="295"/>
    </row>
    <row r="38" spans="2:6" ht="15.75">
      <c r="B38" s="60"/>
      <c r="C38" s="61"/>
      <c r="D38" s="61"/>
      <c r="E38" s="61"/>
      <c r="F38" s="61"/>
    </row>
    <row r="39" spans="2:6" ht="15.75">
      <c r="B39" s="305" t="s">
        <v>297</v>
      </c>
      <c r="C39" s="306"/>
      <c r="D39" s="306"/>
      <c r="E39" s="306"/>
      <c r="F39" s="307"/>
    </row>
    <row r="40" spans="2:6" ht="15.75">
      <c r="B40" s="100"/>
      <c r="C40" s="379"/>
      <c r="D40" s="379"/>
      <c r="E40" s="379"/>
      <c r="F40" s="379"/>
    </row>
    <row r="41" spans="2:6" ht="15.75">
      <c r="B41" s="100"/>
      <c r="C41" s="379"/>
      <c r="D41" s="379"/>
      <c r="E41" s="379"/>
      <c r="F41" s="379"/>
    </row>
    <row r="42" spans="2:6" ht="15.75">
      <c r="B42" s="100"/>
      <c r="C42" s="293"/>
      <c r="D42" s="294"/>
      <c r="E42" s="294"/>
      <c r="F42" s="295"/>
    </row>
    <row r="43" spans="2:6" ht="15.75">
      <c r="B43" s="100"/>
      <c r="C43" s="379"/>
      <c r="D43" s="379"/>
      <c r="E43" s="379"/>
      <c r="F43" s="379"/>
    </row>
    <row r="44" spans="2:6" ht="15.75">
      <c r="B44" s="100"/>
      <c r="C44" s="379"/>
      <c r="D44" s="379"/>
      <c r="E44" s="379"/>
      <c r="F44" s="379"/>
    </row>
    <row r="45" spans="2:6" ht="15.75">
      <c r="B45" s="56"/>
      <c r="C45" s="56"/>
      <c r="D45" s="56"/>
      <c r="E45" s="56"/>
      <c r="F45" s="56"/>
    </row>
    <row r="46" spans="2:6" ht="15.75">
      <c r="B46" s="305" t="s">
        <v>287</v>
      </c>
      <c r="C46" s="306"/>
      <c r="D46" s="306"/>
      <c r="E46" s="306"/>
      <c r="F46" s="307"/>
    </row>
    <row r="47" spans="2:6" ht="15.75">
      <c r="B47" s="308" t="s">
        <v>431</v>
      </c>
      <c r="C47" s="294"/>
      <c r="D47" s="294"/>
      <c r="E47" s="294"/>
      <c r="F47" s="295"/>
    </row>
    <row r="48" spans="2:6" ht="15.75">
      <c r="B48" s="56"/>
      <c r="C48" s="56"/>
      <c r="D48" s="56"/>
      <c r="E48" s="56"/>
      <c r="F48" s="56"/>
    </row>
    <row r="49" spans="2:6" ht="15.75">
      <c r="B49" s="305" t="s">
        <v>289</v>
      </c>
      <c r="C49" s="306"/>
      <c r="D49" s="306"/>
      <c r="E49" s="306"/>
      <c r="F49" s="307"/>
    </row>
    <row r="50" spans="2:6" ht="15.75">
      <c r="B50" s="62" t="s">
        <v>290</v>
      </c>
      <c r="C50" s="62" t="s">
        <v>291</v>
      </c>
      <c r="D50" s="305" t="s">
        <v>292</v>
      </c>
      <c r="E50" s="306"/>
      <c r="F50" s="307"/>
    </row>
    <row r="51" spans="2:6" ht="15.75">
      <c r="B51" s="100"/>
      <c r="C51" s="100"/>
      <c r="D51" s="316"/>
      <c r="E51" s="317"/>
      <c r="F51" s="318"/>
    </row>
    <row r="52" spans="2:6" ht="15.75">
      <c r="B52" s="63"/>
      <c r="C52" s="63"/>
      <c r="D52" s="316"/>
      <c r="E52" s="317"/>
      <c r="F52" s="318"/>
    </row>
    <row r="53" spans="2:6" ht="15.75">
      <c r="B53" s="64"/>
      <c r="C53" s="64"/>
      <c r="D53" s="316"/>
      <c r="E53" s="317"/>
      <c r="F53" s="318"/>
    </row>
    <row r="54" spans="2:6" ht="15.75">
      <c r="B54" s="56"/>
      <c r="C54" s="56"/>
      <c r="D54" s="56"/>
      <c r="E54" s="56"/>
      <c r="F54" s="56"/>
    </row>
    <row r="55" spans="2:6" ht="15.75">
      <c r="B55" s="305" t="s">
        <v>293</v>
      </c>
      <c r="C55" s="306"/>
      <c r="D55" s="306"/>
      <c r="E55" s="306"/>
      <c r="F55" s="307"/>
    </row>
    <row r="56" spans="2:6" ht="70.5" customHeight="1">
      <c r="B56" s="308" t="s">
        <v>427</v>
      </c>
      <c r="C56" s="294"/>
      <c r="D56" s="294"/>
      <c r="E56" s="294"/>
      <c r="F56" s="295"/>
    </row>
    <row r="57" spans="2:6" ht="15.75">
      <c r="B57" s="56"/>
      <c r="C57" s="56"/>
      <c r="D57" s="56"/>
      <c r="E57" s="56"/>
      <c r="F57" s="56"/>
    </row>
    <row r="58" spans="2:6" ht="15.75">
      <c r="B58" s="305" t="s">
        <v>428</v>
      </c>
      <c r="C58" s="306"/>
      <c r="D58" s="306"/>
      <c r="E58" s="306"/>
      <c r="F58" s="307"/>
    </row>
    <row r="59" spans="2:6" ht="15.75">
      <c r="B59" s="308" t="s">
        <v>429</v>
      </c>
      <c r="C59" s="294"/>
      <c r="D59" s="294"/>
      <c r="E59" s="294"/>
      <c r="F59" s="295"/>
    </row>
  </sheetData>
  <mergeCells count="46">
    <mergeCell ref="B55:F55"/>
    <mergeCell ref="B56:F56"/>
    <mergeCell ref="B58:F58"/>
    <mergeCell ref="B59:F59"/>
    <mergeCell ref="B47:F47"/>
    <mergeCell ref="B49:F49"/>
    <mergeCell ref="D50:F50"/>
    <mergeCell ref="D51:F51"/>
    <mergeCell ref="D52:F52"/>
    <mergeCell ref="D53:F53"/>
    <mergeCell ref="B46:F46"/>
    <mergeCell ref="B33:F33"/>
    <mergeCell ref="B34:F34"/>
    <mergeCell ref="B36:F36"/>
    <mergeCell ref="B37:F37"/>
    <mergeCell ref="B39:F39"/>
    <mergeCell ref="C40:F40"/>
    <mergeCell ref="C41:F41"/>
    <mergeCell ref="C42:F42"/>
    <mergeCell ref="C43:F43"/>
    <mergeCell ref="C44:F44"/>
    <mergeCell ref="B32:F32"/>
    <mergeCell ref="B19:F19"/>
    <mergeCell ref="B20:F20"/>
    <mergeCell ref="B21:F21"/>
    <mergeCell ref="B23:F23"/>
    <mergeCell ref="B24:F24"/>
    <mergeCell ref="B26:F26"/>
    <mergeCell ref="B27:F27"/>
    <mergeCell ref="B28:F28"/>
    <mergeCell ref="B29:F29"/>
    <mergeCell ref="B30:F30"/>
    <mergeCell ref="B31:F31"/>
    <mergeCell ref="B2:F2"/>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51:C53">
      <formula1>"Académique, Professionnel, Associatif, Autre"</formula1>
    </dataValidation>
  </dataValidations>
  <hyperlinks>
    <hyperlink ref="B1" location="'Schéma d''enseignement'!G22" display="Schéma d'enseignement"/>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theme="5"/>
  </sheetPr>
  <dimension ref="B1:I1048541"/>
  <sheetViews>
    <sheetView workbookViewId="0">
      <selection activeCell="B1" sqref="B1"/>
    </sheetView>
  </sheetViews>
  <sheetFormatPr baseColWidth="10" defaultColWidth="8.85546875" defaultRowHeight="15.75"/>
  <cols>
    <col min="1" max="1" width="1.140625" style="99" customWidth="1"/>
    <col min="2" max="2" width="29.42578125" style="99" customWidth="1"/>
    <col min="3" max="3" width="15.5703125" style="99" customWidth="1"/>
    <col min="4" max="4" width="11.85546875" style="99" customWidth="1"/>
    <col min="5" max="5" width="7" style="99" customWidth="1"/>
    <col min="6" max="6" width="21.8554687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407" t="s">
        <v>252</v>
      </c>
      <c r="C3" s="407"/>
      <c r="D3" s="407"/>
      <c r="E3" s="407"/>
      <c r="F3" s="407"/>
      <c r="G3" s="80"/>
    </row>
    <row r="4" spans="2:7" s="56" customFormat="1"/>
    <row r="5" spans="2:7" s="56" customFormat="1">
      <c r="B5" s="57" t="s">
        <v>253</v>
      </c>
      <c r="C5" s="291" t="s">
        <v>311</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194</v>
      </c>
      <c r="D9" s="291"/>
      <c r="E9" s="291"/>
      <c r="F9" s="291"/>
      <c r="G9" s="81"/>
    </row>
    <row r="10" spans="2:7" s="56" customFormat="1">
      <c r="B10" s="57" t="s">
        <v>263</v>
      </c>
      <c r="C10" s="291">
        <v>4</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43200</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22.5" customHeight="1">
      <c r="B17" s="26" t="s">
        <v>437</v>
      </c>
      <c r="C17" s="21">
        <v>21</v>
      </c>
      <c r="D17" s="21">
        <v>3</v>
      </c>
      <c r="E17" s="21">
        <v>3</v>
      </c>
      <c r="F17" s="21" t="s">
        <v>272</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66.75" customHeight="1">
      <c r="B20" s="308" t="s">
        <v>436</v>
      </c>
      <c r="C20" s="294"/>
      <c r="D20" s="294"/>
      <c r="E20" s="294"/>
      <c r="F20" s="295"/>
      <c r="G20" s="84"/>
    </row>
    <row r="21" spans="2:7" s="56" customFormat="1">
      <c r="B21" s="305" t="s">
        <v>275</v>
      </c>
      <c r="C21" s="306"/>
      <c r="D21" s="306"/>
      <c r="E21" s="306"/>
      <c r="F21" s="307"/>
      <c r="G21" s="83"/>
    </row>
    <row r="22" spans="2:7" s="56" customFormat="1" ht="89.25" customHeight="1">
      <c r="B22" s="312" t="s">
        <v>476</v>
      </c>
      <c r="C22" s="294"/>
      <c r="D22" s="294"/>
      <c r="E22" s="294"/>
      <c r="F22" s="295"/>
      <c r="G22" s="85"/>
    </row>
    <row r="23" spans="2:7" s="56" customFormat="1"/>
    <row r="24" spans="2:7" s="56" customFormat="1">
      <c r="B24" s="305" t="s">
        <v>277</v>
      </c>
      <c r="C24" s="306"/>
      <c r="D24" s="306"/>
      <c r="E24" s="306"/>
      <c r="F24" s="307"/>
      <c r="G24" s="83"/>
    </row>
    <row r="25" spans="2:7" s="56" customFormat="1" ht="25.5" customHeight="1">
      <c r="B25" s="308" t="s">
        <v>435</v>
      </c>
      <c r="C25" s="294"/>
      <c r="D25" s="294"/>
      <c r="E25" s="294"/>
      <c r="F25" s="295"/>
      <c r="G25" s="84"/>
    </row>
    <row r="26" spans="2:7" s="56" customFormat="1"/>
    <row r="27" spans="2:7" s="56" customFormat="1">
      <c r="B27" s="305" t="s">
        <v>279</v>
      </c>
      <c r="C27" s="306"/>
      <c r="D27" s="306"/>
      <c r="E27" s="306"/>
      <c r="F27" s="307"/>
      <c r="G27" s="82"/>
    </row>
    <row r="28" spans="2:7" s="56" customFormat="1">
      <c r="B28" s="319" t="s">
        <v>148</v>
      </c>
      <c r="C28" s="320"/>
      <c r="D28" s="320"/>
      <c r="E28" s="320"/>
      <c r="F28" s="321"/>
      <c r="G28" s="94"/>
    </row>
    <row r="29" spans="2:7" s="56" customFormat="1">
      <c r="B29" s="319" t="s">
        <v>163</v>
      </c>
      <c r="C29" s="320"/>
      <c r="D29" s="320"/>
      <c r="E29" s="320"/>
      <c r="F29" s="321"/>
      <c r="G29" s="94"/>
    </row>
    <row r="30" spans="2:7" s="56" customFormat="1">
      <c r="B30" s="319" t="s">
        <v>105</v>
      </c>
      <c r="C30" s="320"/>
      <c r="D30" s="320"/>
      <c r="E30" s="320"/>
      <c r="F30" s="321"/>
      <c r="G30" s="94"/>
    </row>
    <row r="31" spans="2:7" s="56" customFormat="1">
      <c r="B31" s="319" t="s">
        <v>169</v>
      </c>
      <c r="C31" s="320"/>
      <c r="D31" s="320"/>
      <c r="E31" s="320"/>
      <c r="F31" s="321"/>
      <c r="G31" s="94"/>
    </row>
    <row r="32" spans="2:7" s="56" customFormat="1">
      <c r="B32" s="319" t="s">
        <v>165</v>
      </c>
      <c r="C32" s="320"/>
      <c r="D32" s="320"/>
      <c r="E32" s="320"/>
      <c r="F32" s="321"/>
      <c r="G32" s="94"/>
    </row>
    <row r="33" spans="2:7" s="56" customFormat="1">
      <c r="B33" s="351" t="s">
        <v>359</v>
      </c>
      <c r="C33" s="351"/>
      <c r="D33" s="351"/>
      <c r="E33" s="351"/>
      <c r="F33" s="351"/>
      <c r="G33" s="94"/>
    </row>
    <row r="34" spans="2:7" s="56" customFormat="1"/>
    <row r="35" spans="2:7" s="56" customFormat="1">
      <c r="B35" s="305" t="s">
        <v>284</v>
      </c>
      <c r="C35" s="306"/>
      <c r="D35" s="306"/>
      <c r="E35" s="306"/>
      <c r="F35" s="307"/>
      <c r="G35" s="83"/>
    </row>
    <row r="36" spans="2:7" s="56" customFormat="1" ht="237" customHeight="1">
      <c r="B36" s="376" t="s">
        <v>434</v>
      </c>
      <c r="C36" s="377"/>
      <c r="D36" s="377"/>
      <c r="E36" s="377"/>
      <c r="F36" s="378"/>
      <c r="G36" s="85"/>
    </row>
    <row r="37" spans="2:7" s="56" customFormat="1" ht="16.5" customHeight="1">
      <c r="B37" s="60"/>
      <c r="C37" s="61"/>
      <c r="D37" s="61"/>
      <c r="E37" s="61"/>
      <c r="F37" s="61"/>
      <c r="G37" s="61"/>
    </row>
    <row r="38" spans="2:7" s="56" customFormat="1">
      <c r="B38" s="305" t="s">
        <v>297</v>
      </c>
      <c r="C38" s="306"/>
      <c r="D38" s="306"/>
      <c r="E38" s="306"/>
      <c r="F38" s="307"/>
      <c r="G38" s="83"/>
    </row>
    <row r="39" spans="2:7" s="56" customFormat="1">
      <c r="B39" s="100" t="s">
        <v>337</v>
      </c>
      <c r="C39" s="379"/>
      <c r="D39" s="379"/>
      <c r="E39" s="379"/>
      <c r="F39" s="379"/>
      <c r="G39" s="85"/>
    </row>
    <row r="40" spans="2:7" s="56" customFormat="1">
      <c r="B40" s="100" t="s">
        <v>338</v>
      </c>
      <c r="C40" s="379"/>
      <c r="D40" s="379"/>
      <c r="E40" s="379"/>
      <c r="F40" s="379"/>
      <c r="G40" s="85"/>
    </row>
    <row r="41" spans="2:7" s="56" customFormat="1">
      <c r="B41" s="100" t="s">
        <v>361</v>
      </c>
      <c r="C41" s="293"/>
      <c r="D41" s="294"/>
      <c r="E41" s="294"/>
      <c r="F41" s="295"/>
      <c r="G41" s="85"/>
    </row>
    <row r="42" spans="2:7" s="56" customFormat="1">
      <c r="B42" s="100" t="s">
        <v>362</v>
      </c>
      <c r="C42" s="379"/>
      <c r="D42" s="379"/>
      <c r="E42" s="379"/>
      <c r="F42" s="379"/>
      <c r="G42" s="85"/>
    </row>
    <row r="43" spans="2:7" s="56" customFormat="1">
      <c r="B43" s="100" t="s">
        <v>363</v>
      </c>
      <c r="C43" s="379"/>
      <c r="D43" s="379"/>
      <c r="E43" s="379"/>
      <c r="F43" s="379"/>
      <c r="G43" s="85"/>
    </row>
    <row r="44" spans="2:7" s="56" customFormat="1"/>
    <row r="45" spans="2:7" s="56" customFormat="1">
      <c r="B45" s="305" t="s">
        <v>287</v>
      </c>
      <c r="C45" s="306"/>
      <c r="D45" s="306"/>
      <c r="E45" s="306"/>
      <c r="F45" s="307"/>
      <c r="G45" s="83"/>
    </row>
    <row r="46" spans="2:7" s="56" customFormat="1" ht="75.95" customHeight="1">
      <c r="B46" s="308" t="s">
        <v>433</v>
      </c>
      <c r="C46" s="294"/>
      <c r="D46" s="294"/>
      <c r="E46" s="294"/>
      <c r="F46" s="295"/>
      <c r="G46" s="61"/>
    </row>
    <row r="47" spans="2:7" s="56" customFormat="1"/>
    <row r="48" spans="2:7" s="56" customFormat="1" ht="30" customHeight="1">
      <c r="B48" s="313" t="s">
        <v>289</v>
      </c>
      <c r="C48" s="314"/>
      <c r="D48" s="314"/>
      <c r="E48" s="314"/>
      <c r="F48" s="315"/>
      <c r="G48" s="83"/>
    </row>
    <row r="49" spans="2:7" s="56" customFormat="1">
      <c r="B49" s="62" t="s">
        <v>290</v>
      </c>
      <c r="C49" s="62" t="s">
        <v>291</v>
      </c>
      <c r="D49" s="305" t="s">
        <v>292</v>
      </c>
      <c r="E49" s="306"/>
      <c r="F49" s="307"/>
      <c r="G49" s="83"/>
    </row>
    <row r="50" spans="2:7" s="56" customFormat="1">
      <c r="B50" s="63"/>
      <c r="C50" s="63"/>
      <c r="D50" s="316"/>
      <c r="E50" s="317"/>
      <c r="F50" s="318"/>
      <c r="G50" s="98"/>
    </row>
    <row r="51" spans="2:7" s="56" customFormat="1">
      <c r="B51" s="63"/>
      <c r="C51" s="63"/>
      <c r="D51" s="316"/>
      <c r="E51" s="317"/>
      <c r="F51" s="318"/>
      <c r="G51" s="98"/>
    </row>
    <row r="52" spans="2:7" s="56" customFormat="1">
      <c r="B52" s="64"/>
      <c r="C52" s="64"/>
      <c r="D52" s="316"/>
      <c r="E52" s="317"/>
      <c r="F52" s="318"/>
      <c r="G52" s="98"/>
    </row>
    <row r="53" spans="2:7" s="56" customFormat="1"/>
    <row r="54" spans="2:7" s="56" customFormat="1">
      <c r="B54" s="305" t="s">
        <v>293</v>
      </c>
      <c r="C54" s="306"/>
      <c r="D54" s="306"/>
      <c r="E54" s="306"/>
      <c r="F54" s="307"/>
      <c r="G54" s="83"/>
    </row>
    <row r="55" spans="2:7" s="56" customFormat="1" ht="82.5" customHeight="1">
      <c r="B55" s="312" t="s">
        <v>432</v>
      </c>
      <c r="C55" s="294"/>
      <c r="D55" s="294"/>
      <c r="E55" s="294"/>
      <c r="F55" s="295"/>
      <c r="G55" s="61"/>
    </row>
    <row r="56" spans="2:7" s="56" customFormat="1"/>
    <row r="1048541" spans="8:9">
      <c r="H1048541" s="83"/>
      <c r="I1048541" s="83"/>
    </row>
  </sheetData>
  <mergeCells count="42">
    <mergeCell ref="B54:F54"/>
    <mergeCell ref="B55:F55"/>
    <mergeCell ref="C42:F42"/>
    <mergeCell ref="C43:F43"/>
    <mergeCell ref="B45:F45"/>
    <mergeCell ref="B46:F46"/>
    <mergeCell ref="D49:F49"/>
    <mergeCell ref="D50:F50"/>
    <mergeCell ref="D51:F51"/>
    <mergeCell ref="D52:F52"/>
    <mergeCell ref="B30:F30"/>
    <mergeCell ref="B31:F31"/>
    <mergeCell ref="B48:F48"/>
    <mergeCell ref="B33:F33"/>
    <mergeCell ref="B35:F35"/>
    <mergeCell ref="B36:F36"/>
    <mergeCell ref="B38:F38"/>
    <mergeCell ref="C39:F39"/>
    <mergeCell ref="C40:F40"/>
    <mergeCell ref="C41:F41"/>
    <mergeCell ref="B32:F32"/>
    <mergeCell ref="B25:F25"/>
    <mergeCell ref="B27:F27"/>
    <mergeCell ref="B28:F28"/>
    <mergeCell ref="B29:F29"/>
    <mergeCell ref="C10:F10"/>
    <mergeCell ref="B12:F12"/>
    <mergeCell ref="B13:C13"/>
    <mergeCell ref="D13:F13"/>
    <mergeCell ref="B14:C14"/>
    <mergeCell ref="D14:F14"/>
    <mergeCell ref="B19:F19"/>
    <mergeCell ref="B20:F20"/>
    <mergeCell ref="B21:F21"/>
    <mergeCell ref="B22:F22"/>
    <mergeCell ref="B24:F24"/>
    <mergeCell ref="B3:F3"/>
    <mergeCell ref="C9:F9"/>
    <mergeCell ref="C5:F5"/>
    <mergeCell ref="C6:F6"/>
    <mergeCell ref="C7:F7"/>
    <mergeCell ref="C8:F8"/>
  </mergeCells>
  <dataValidations disablePrompts="1" count="2">
    <dataValidation type="list" allowBlank="1" showInputMessage="1" showErrorMessage="1" sqref="C5">
      <formula1>"Mise à jour à partir du plan d'études, Nouvelle création"</formula1>
    </dataValidation>
    <dataValidation type="list" allowBlank="1" showInputMessage="1" showErrorMessage="1" sqref="C50:C52">
      <formula1>"Académique, Professionnel, Associatif, Autre"</formula1>
    </dataValidation>
  </dataValidations>
  <hyperlinks>
    <hyperlink ref="B1" location="'Schéma d''enseignement'!G23" display="Schéma d'enseignement"/>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theme="5"/>
  </sheetPr>
  <dimension ref="B1:I1048539"/>
  <sheetViews>
    <sheetView workbookViewId="0">
      <selection activeCell="B1" sqref="B1"/>
    </sheetView>
  </sheetViews>
  <sheetFormatPr baseColWidth="10" defaultColWidth="8.85546875" defaultRowHeight="15.75"/>
  <cols>
    <col min="1" max="1" width="1.140625" style="99" customWidth="1"/>
    <col min="2" max="2" width="29.42578125" style="99" customWidth="1"/>
    <col min="3" max="3" width="15.5703125" style="99" customWidth="1"/>
    <col min="4" max="4" width="11.85546875" style="99" customWidth="1"/>
    <col min="5" max="5" width="7" style="99" customWidth="1"/>
    <col min="6" max="6" width="21.8554687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407" t="s">
        <v>252</v>
      </c>
      <c r="C3" s="407"/>
      <c r="D3" s="407"/>
      <c r="E3" s="407"/>
      <c r="F3" s="407"/>
      <c r="G3" s="80"/>
    </row>
    <row r="4" spans="2:7" s="56" customFormat="1"/>
    <row r="5" spans="2:7" s="56" customFormat="1">
      <c r="B5" s="57" t="s">
        <v>253</v>
      </c>
      <c r="C5" s="291" t="s">
        <v>311</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194</v>
      </c>
      <c r="D9" s="291"/>
      <c r="E9" s="291"/>
      <c r="F9" s="291"/>
      <c r="G9" s="81"/>
    </row>
    <row r="10" spans="2:7" s="56" customFormat="1">
      <c r="B10" s="57" t="s">
        <v>263</v>
      </c>
      <c r="C10" s="291">
        <v>4</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43200</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30" customHeight="1">
      <c r="B17" s="26" t="s">
        <v>442</v>
      </c>
      <c r="C17" s="21">
        <v>42</v>
      </c>
      <c r="D17" s="21">
        <v>3</v>
      </c>
      <c r="E17" s="21">
        <v>3</v>
      </c>
      <c r="F17" s="21" t="s">
        <v>272</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44.25" customHeight="1">
      <c r="B20" s="308" t="s">
        <v>441</v>
      </c>
      <c r="C20" s="294"/>
      <c r="D20" s="294"/>
      <c r="E20" s="294"/>
      <c r="F20" s="295"/>
      <c r="G20" s="84"/>
    </row>
    <row r="21" spans="2:7" s="56" customFormat="1">
      <c r="B21" s="305" t="s">
        <v>275</v>
      </c>
      <c r="C21" s="306"/>
      <c r="D21" s="306"/>
      <c r="E21" s="306"/>
      <c r="F21" s="307"/>
      <c r="G21" s="83"/>
    </row>
    <row r="22" spans="2:7" s="56" customFormat="1" ht="100.5" customHeight="1">
      <c r="B22" s="312" t="s">
        <v>440</v>
      </c>
      <c r="C22" s="294"/>
      <c r="D22" s="294"/>
      <c r="E22" s="294"/>
      <c r="F22" s="295"/>
      <c r="G22" s="85"/>
    </row>
    <row r="23" spans="2:7" s="56" customFormat="1"/>
    <row r="24" spans="2:7" s="56" customFormat="1">
      <c r="B24" s="305" t="s">
        <v>277</v>
      </c>
      <c r="C24" s="306"/>
      <c r="D24" s="306"/>
      <c r="E24" s="306"/>
      <c r="F24" s="307"/>
      <c r="G24" s="83"/>
    </row>
    <row r="25" spans="2:7" s="56" customFormat="1" ht="34.5" customHeight="1">
      <c r="B25" s="308" t="s">
        <v>439</v>
      </c>
      <c r="C25" s="294"/>
      <c r="D25" s="294"/>
      <c r="E25" s="294"/>
      <c r="F25" s="295"/>
      <c r="G25" s="84"/>
    </row>
    <row r="26" spans="2:7" s="56" customFormat="1"/>
    <row r="27" spans="2:7" s="56" customFormat="1">
      <c r="B27" s="305" t="s">
        <v>279</v>
      </c>
      <c r="C27" s="306"/>
      <c r="D27" s="306"/>
      <c r="E27" s="306"/>
      <c r="F27" s="307"/>
      <c r="G27" s="82"/>
    </row>
    <row r="28" spans="2:7" s="56" customFormat="1">
      <c r="B28" s="319" t="s">
        <v>148</v>
      </c>
      <c r="C28" s="320"/>
      <c r="D28" s="320"/>
      <c r="E28" s="320"/>
      <c r="F28" s="321"/>
      <c r="G28" s="94"/>
    </row>
    <row r="29" spans="2:7" s="56" customFormat="1">
      <c r="B29" s="319" t="s">
        <v>163</v>
      </c>
      <c r="C29" s="320"/>
      <c r="D29" s="320"/>
      <c r="E29" s="320"/>
      <c r="F29" s="321"/>
      <c r="G29" s="94"/>
    </row>
    <row r="30" spans="2:7" s="56" customFormat="1">
      <c r="B30" s="319" t="s">
        <v>105</v>
      </c>
      <c r="C30" s="320"/>
      <c r="D30" s="320"/>
      <c r="E30" s="320"/>
      <c r="F30" s="321"/>
      <c r="G30" s="94"/>
    </row>
    <row r="31" spans="2:7" s="56" customFormat="1">
      <c r="B31" s="319" t="s">
        <v>169</v>
      </c>
      <c r="C31" s="320"/>
      <c r="D31" s="320"/>
      <c r="E31" s="320"/>
      <c r="F31" s="321"/>
      <c r="G31" s="94"/>
    </row>
    <row r="32" spans="2:7" s="56" customFormat="1">
      <c r="B32" s="319" t="s">
        <v>165</v>
      </c>
      <c r="C32" s="320"/>
      <c r="D32" s="320"/>
      <c r="E32" s="320"/>
      <c r="F32" s="321"/>
      <c r="G32" s="94"/>
    </row>
    <row r="33" spans="2:7" s="56" customFormat="1">
      <c r="B33" s="351" t="s">
        <v>359</v>
      </c>
      <c r="C33" s="351"/>
      <c r="D33" s="351"/>
      <c r="E33" s="351"/>
      <c r="F33" s="351"/>
      <c r="G33" s="94"/>
    </row>
    <row r="34" spans="2:7" s="105" customFormat="1">
      <c r="B34" s="75"/>
      <c r="C34" s="75"/>
      <c r="D34" s="75"/>
      <c r="E34" s="75"/>
      <c r="F34" s="75"/>
      <c r="G34" s="85"/>
    </row>
    <row r="35" spans="2:7" s="56" customFormat="1">
      <c r="B35" s="380" t="s">
        <v>284</v>
      </c>
      <c r="C35" s="380"/>
      <c r="D35" s="380"/>
      <c r="E35" s="380"/>
      <c r="F35" s="380"/>
      <c r="G35" s="83"/>
    </row>
    <row r="36" spans="2:7" s="56" customFormat="1" ht="122.1" customHeight="1">
      <c r="B36" s="312" t="s">
        <v>438</v>
      </c>
      <c r="C36" s="294"/>
      <c r="D36" s="294"/>
      <c r="E36" s="294"/>
      <c r="F36" s="295"/>
      <c r="G36" s="85"/>
    </row>
    <row r="37" spans="2:7" s="56" customFormat="1" ht="16.5" customHeight="1">
      <c r="B37" s="60"/>
      <c r="C37" s="61"/>
      <c r="D37" s="61"/>
      <c r="E37" s="61"/>
      <c r="F37" s="61"/>
      <c r="G37" s="61"/>
    </row>
    <row r="38" spans="2:7" s="56" customFormat="1">
      <c r="B38" s="305" t="s">
        <v>297</v>
      </c>
      <c r="C38" s="306"/>
      <c r="D38" s="306"/>
      <c r="E38" s="306"/>
      <c r="F38" s="307"/>
      <c r="G38" s="83"/>
    </row>
    <row r="39" spans="2:7" s="56" customFormat="1">
      <c r="B39" s="100" t="s">
        <v>306</v>
      </c>
      <c r="C39" s="379"/>
      <c r="D39" s="379"/>
      <c r="E39" s="379"/>
      <c r="F39" s="379"/>
      <c r="G39" s="85"/>
    </row>
    <row r="40" spans="2:7" s="56" customFormat="1" ht="31.5">
      <c r="B40" s="104" t="s">
        <v>371</v>
      </c>
      <c r="C40" s="379"/>
      <c r="D40" s="379"/>
      <c r="E40" s="379"/>
      <c r="F40" s="379"/>
      <c r="G40" s="85"/>
    </row>
    <row r="41" spans="2:7" s="56" customFormat="1">
      <c r="B41" s="100" t="s">
        <v>363</v>
      </c>
      <c r="C41" s="293"/>
      <c r="D41" s="294"/>
      <c r="E41" s="294"/>
      <c r="F41" s="295"/>
      <c r="G41" s="85"/>
    </row>
    <row r="42" spans="2:7" s="56" customFormat="1"/>
    <row r="43" spans="2:7" s="56" customFormat="1">
      <c r="B43" s="305" t="s">
        <v>287</v>
      </c>
      <c r="C43" s="306"/>
      <c r="D43" s="306"/>
      <c r="E43" s="306"/>
      <c r="F43" s="307"/>
      <c r="G43" s="83"/>
    </row>
    <row r="44" spans="2:7" s="56" customFormat="1" ht="85.5" customHeight="1">
      <c r="B44" s="308" t="s">
        <v>433</v>
      </c>
      <c r="C44" s="294"/>
      <c r="D44" s="294"/>
      <c r="E44" s="294"/>
      <c r="F44" s="295"/>
      <c r="G44" s="61"/>
    </row>
    <row r="45" spans="2:7" s="56" customFormat="1"/>
    <row r="46" spans="2:7" s="56" customFormat="1" ht="32.25" customHeight="1">
      <c r="B46" s="313" t="s">
        <v>289</v>
      </c>
      <c r="C46" s="314"/>
      <c r="D46" s="314"/>
      <c r="E46" s="314"/>
      <c r="F46" s="315"/>
      <c r="G46" s="83"/>
    </row>
    <row r="47" spans="2:7" s="56" customFormat="1">
      <c r="B47" s="62" t="s">
        <v>290</v>
      </c>
      <c r="C47" s="62" t="s">
        <v>291</v>
      </c>
      <c r="D47" s="305" t="s">
        <v>292</v>
      </c>
      <c r="E47" s="306"/>
      <c r="F47" s="307"/>
      <c r="G47" s="83"/>
    </row>
    <row r="48" spans="2:7" s="56" customFormat="1">
      <c r="B48" s="63"/>
      <c r="C48" s="63"/>
      <c r="D48" s="316"/>
      <c r="E48" s="317"/>
      <c r="F48" s="318"/>
      <c r="G48" s="98"/>
    </row>
    <row r="49" spans="2:7" s="56" customFormat="1">
      <c r="B49" s="63"/>
      <c r="C49" s="63"/>
      <c r="D49" s="316"/>
      <c r="E49" s="317"/>
      <c r="F49" s="318"/>
      <c r="G49" s="98"/>
    </row>
    <row r="50" spans="2:7" s="56" customFormat="1">
      <c r="B50" s="64"/>
      <c r="C50" s="64"/>
      <c r="D50" s="316"/>
      <c r="E50" s="317"/>
      <c r="F50" s="318"/>
      <c r="G50" s="98"/>
    </row>
    <row r="51" spans="2:7" s="56" customFormat="1"/>
    <row r="52" spans="2:7" s="56" customFormat="1">
      <c r="B52" s="305" t="s">
        <v>293</v>
      </c>
      <c r="C52" s="306"/>
      <c r="D52" s="306"/>
      <c r="E52" s="306"/>
      <c r="F52" s="307"/>
      <c r="G52" s="83"/>
    </row>
    <row r="53" spans="2:7" s="56" customFormat="1" ht="84" customHeight="1">
      <c r="B53" s="312" t="s">
        <v>432</v>
      </c>
      <c r="C53" s="294"/>
      <c r="D53" s="294"/>
      <c r="E53" s="294"/>
      <c r="F53" s="295"/>
      <c r="G53" s="61"/>
    </row>
    <row r="54" spans="2:7" s="56" customFormat="1"/>
    <row r="1048539" spans="8:9">
      <c r="H1048539" s="83"/>
      <c r="I1048539" s="83"/>
    </row>
  </sheetData>
  <mergeCells count="40">
    <mergeCell ref="B52:F52"/>
    <mergeCell ref="B53:F53"/>
    <mergeCell ref="B43:F43"/>
    <mergeCell ref="B44:F44"/>
    <mergeCell ref="D47:F47"/>
    <mergeCell ref="D48:F48"/>
    <mergeCell ref="D49:F49"/>
    <mergeCell ref="D50:F50"/>
    <mergeCell ref="B30:F30"/>
    <mergeCell ref="B31:F31"/>
    <mergeCell ref="B46:F46"/>
    <mergeCell ref="B33:F33"/>
    <mergeCell ref="B35:F35"/>
    <mergeCell ref="B36:F36"/>
    <mergeCell ref="B38:F38"/>
    <mergeCell ref="C39:F39"/>
    <mergeCell ref="C40:F40"/>
    <mergeCell ref="C41:F41"/>
    <mergeCell ref="B32:F32"/>
    <mergeCell ref="B25:F25"/>
    <mergeCell ref="B27:F27"/>
    <mergeCell ref="B28:F28"/>
    <mergeCell ref="B29:F29"/>
    <mergeCell ref="C10:F10"/>
    <mergeCell ref="B12:F12"/>
    <mergeCell ref="B13:C13"/>
    <mergeCell ref="D13:F13"/>
    <mergeCell ref="B14:C14"/>
    <mergeCell ref="D14:F14"/>
    <mergeCell ref="B19:F19"/>
    <mergeCell ref="B20:F20"/>
    <mergeCell ref="B21:F21"/>
    <mergeCell ref="B22:F22"/>
    <mergeCell ref="B24:F24"/>
    <mergeCell ref="B3:F3"/>
    <mergeCell ref="C9:F9"/>
    <mergeCell ref="C5:F5"/>
    <mergeCell ref="C6:F6"/>
    <mergeCell ref="C7:F7"/>
    <mergeCell ref="C8:F8"/>
  </mergeCells>
  <dataValidations count="2">
    <dataValidation type="list" allowBlank="1" showInputMessage="1" showErrorMessage="1" sqref="C5">
      <formula1>"Mise à jour à partir du plan d'études, Nouvelle création"</formula1>
    </dataValidation>
    <dataValidation type="list" allowBlank="1" showInputMessage="1" showErrorMessage="1" sqref="C48:C50">
      <formula1>"Académique, Professionnel, Associatif, Autre"</formula1>
    </dataValidation>
  </dataValidations>
  <hyperlinks>
    <hyperlink ref="B1" location="'Schéma d''enseignement'!G24" display="Schéma d'enseignement"/>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theme="5"/>
  </sheetPr>
  <dimension ref="B1:I1048537"/>
  <sheetViews>
    <sheetView workbookViewId="0">
      <selection activeCell="B1" sqref="B1"/>
    </sheetView>
  </sheetViews>
  <sheetFormatPr baseColWidth="10" defaultColWidth="8.85546875" defaultRowHeight="15.75"/>
  <cols>
    <col min="1" max="1" width="1.140625" style="99" customWidth="1"/>
    <col min="2" max="2" width="47.85546875" style="99" customWidth="1"/>
    <col min="3" max="3" width="15.5703125" style="99" customWidth="1"/>
    <col min="4" max="4" width="11.85546875" style="99" customWidth="1"/>
    <col min="5" max="5" width="7" style="99" customWidth="1"/>
    <col min="6" max="6" width="21.8554687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407" t="s">
        <v>252</v>
      </c>
      <c r="C3" s="407"/>
      <c r="D3" s="407"/>
      <c r="E3" s="407"/>
      <c r="F3" s="407"/>
      <c r="G3" s="80"/>
    </row>
    <row r="4" spans="2:7" s="56" customFormat="1"/>
    <row r="5" spans="2:7" s="56" customFormat="1">
      <c r="B5" s="57" t="s">
        <v>253</v>
      </c>
      <c r="C5" s="291" t="s">
        <v>311</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195</v>
      </c>
      <c r="D9" s="291"/>
      <c r="E9" s="291"/>
      <c r="F9" s="291"/>
      <c r="G9" s="81"/>
    </row>
    <row r="10" spans="2:7" s="56" customFormat="1">
      <c r="B10" s="57" t="s">
        <v>263</v>
      </c>
      <c r="C10" s="291" t="s">
        <v>388</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43201</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23.25" customHeight="1">
      <c r="B17" s="26" t="s">
        <v>450</v>
      </c>
      <c r="C17" s="21">
        <v>21</v>
      </c>
      <c r="D17" s="21">
        <v>2</v>
      </c>
      <c r="E17" s="21">
        <v>2</v>
      </c>
      <c r="F17" s="21" t="s">
        <v>449</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31.5" customHeight="1">
      <c r="B20" s="308" t="s">
        <v>448</v>
      </c>
      <c r="C20" s="365"/>
      <c r="D20" s="365"/>
      <c r="E20" s="365"/>
      <c r="F20" s="366"/>
      <c r="G20" s="84"/>
    </row>
    <row r="21" spans="2:7" s="56" customFormat="1">
      <c r="B21" s="305" t="s">
        <v>275</v>
      </c>
      <c r="C21" s="306"/>
      <c r="D21" s="306"/>
      <c r="E21" s="306"/>
      <c r="F21" s="307"/>
      <c r="G21" s="83"/>
    </row>
    <row r="22" spans="2:7" s="56" customFormat="1" ht="28.5" customHeight="1">
      <c r="B22" s="312" t="s">
        <v>447</v>
      </c>
      <c r="C22" s="294"/>
      <c r="D22" s="294"/>
      <c r="E22" s="294"/>
      <c r="F22" s="295"/>
      <c r="G22" s="85"/>
    </row>
    <row r="23" spans="2:7" s="56" customFormat="1"/>
    <row r="24" spans="2:7" s="56" customFormat="1">
      <c r="B24" s="305" t="s">
        <v>277</v>
      </c>
      <c r="C24" s="306"/>
      <c r="D24" s="306"/>
      <c r="E24" s="306"/>
      <c r="F24" s="307"/>
      <c r="G24" s="83"/>
    </row>
    <row r="25" spans="2:7" s="56" customFormat="1" ht="14.1" customHeight="1">
      <c r="B25" s="293" t="s">
        <v>446</v>
      </c>
      <c r="C25" s="365"/>
      <c r="D25" s="365"/>
      <c r="E25" s="365"/>
      <c r="F25" s="366"/>
      <c r="G25" s="84"/>
    </row>
    <row r="26" spans="2:7" s="56" customFormat="1"/>
    <row r="27" spans="2:7" s="56" customFormat="1">
      <c r="B27" s="305" t="s">
        <v>279</v>
      </c>
      <c r="C27" s="306"/>
      <c r="D27" s="306"/>
      <c r="E27" s="306"/>
      <c r="F27" s="307"/>
      <c r="G27" s="82"/>
    </row>
    <row r="28" spans="2:7" s="56" customFormat="1">
      <c r="B28" s="319" t="s">
        <v>147</v>
      </c>
      <c r="C28" s="320"/>
      <c r="D28" s="320"/>
      <c r="E28" s="320"/>
      <c r="F28" s="321"/>
      <c r="G28" s="94"/>
    </row>
    <row r="29" spans="2:7" s="56" customFormat="1">
      <c r="B29" s="319" t="s">
        <v>152</v>
      </c>
      <c r="C29" s="320"/>
      <c r="D29" s="320"/>
      <c r="E29" s="320"/>
      <c r="F29" s="321"/>
      <c r="G29" s="94"/>
    </row>
    <row r="30" spans="2:7" s="56" customFormat="1" ht="15" customHeight="1">
      <c r="B30" s="351" t="s">
        <v>157</v>
      </c>
      <c r="C30" s="351"/>
      <c r="D30" s="351"/>
      <c r="E30" s="351"/>
      <c r="F30" s="351"/>
      <c r="G30" s="94"/>
    </row>
    <row r="31" spans="2:7" s="56" customFormat="1"/>
    <row r="32" spans="2:7" s="56" customFormat="1">
      <c r="B32" s="305" t="s">
        <v>284</v>
      </c>
      <c r="C32" s="306"/>
      <c r="D32" s="306"/>
      <c r="E32" s="306"/>
      <c r="F32" s="307"/>
      <c r="G32" s="83"/>
    </row>
    <row r="33" spans="2:7" s="56" customFormat="1" ht="125.1" customHeight="1">
      <c r="B33" s="312" t="s">
        <v>477</v>
      </c>
      <c r="C33" s="294"/>
      <c r="D33" s="294"/>
      <c r="E33" s="294"/>
      <c r="F33" s="295"/>
      <c r="G33" s="85"/>
    </row>
    <row r="34" spans="2:7" s="56" customFormat="1" ht="16.5" customHeight="1">
      <c r="B34" s="60"/>
      <c r="C34" s="61"/>
      <c r="D34" s="61"/>
      <c r="E34" s="61"/>
      <c r="F34" s="61"/>
      <c r="G34" s="61"/>
    </row>
    <row r="35" spans="2:7" s="56" customFormat="1">
      <c r="B35" s="305" t="s">
        <v>297</v>
      </c>
      <c r="C35" s="306"/>
      <c r="D35" s="306"/>
      <c r="E35" s="306"/>
      <c r="F35" s="307"/>
      <c r="G35" s="83"/>
    </row>
    <row r="36" spans="2:7" s="56" customFormat="1">
      <c r="B36" s="100" t="s">
        <v>342</v>
      </c>
      <c r="C36" s="379"/>
      <c r="D36" s="379"/>
      <c r="E36" s="379"/>
      <c r="F36" s="379"/>
      <c r="G36" s="85"/>
    </row>
    <row r="37" spans="2:7" s="56" customFormat="1">
      <c r="B37" s="100" t="s">
        <v>445</v>
      </c>
      <c r="C37" s="293"/>
      <c r="D37" s="294"/>
      <c r="E37" s="294"/>
      <c r="F37" s="295"/>
      <c r="G37" s="85"/>
    </row>
    <row r="38" spans="2:7" s="56" customFormat="1">
      <c r="B38" s="100" t="s">
        <v>444</v>
      </c>
      <c r="C38" s="379"/>
      <c r="D38" s="379"/>
      <c r="E38" s="379"/>
      <c r="F38" s="379"/>
      <c r="G38" s="85"/>
    </row>
    <row r="39" spans="2:7" s="56" customFormat="1">
      <c r="B39" s="100" t="s">
        <v>443</v>
      </c>
      <c r="C39" s="379"/>
      <c r="D39" s="379"/>
      <c r="E39" s="379"/>
      <c r="F39" s="379"/>
      <c r="G39" s="85"/>
    </row>
    <row r="40" spans="2:7" s="56" customFormat="1"/>
    <row r="41" spans="2:7" s="56" customFormat="1">
      <c r="B41" s="305" t="s">
        <v>287</v>
      </c>
      <c r="C41" s="306"/>
      <c r="D41" s="306"/>
      <c r="E41" s="306"/>
      <c r="F41" s="307"/>
      <c r="G41" s="83"/>
    </row>
    <row r="42" spans="2:7" s="56" customFormat="1" ht="39.75" customHeight="1">
      <c r="B42" s="312" t="s">
        <v>478</v>
      </c>
      <c r="C42" s="294"/>
      <c r="D42" s="294"/>
      <c r="E42" s="294"/>
      <c r="F42" s="295"/>
      <c r="G42" s="61"/>
    </row>
    <row r="43" spans="2:7" s="56" customFormat="1"/>
    <row r="44" spans="2:7" s="56" customFormat="1">
      <c r="B44" s="305" t="s">
        <v>289</v>
      </c>
      <c r="C44" s="306"/>
      <c r="D44" s="306"/>
      <c r="E44" s="306"/>
      <c r="F44" s="307"/>
      <c r="G44" s="83"/>
    </row>
    <row r="45" spans="2:7" s="56" customFormat="1">
      <c r="B45" s="62" t="s">
        <v>290</v>
      </c>
      <c r="C45" s="62" t="s">
        <v>291</v>
      </c>
      <c r="D45" s="305" t="s">
        <v>292</v>
      </c>
      <c r="E45" s="306"/>
      <c r="F45" s="307"/>
      <c r="G45" s="83"/>
    </row>
    <row r="46" spans="2:7" s="56" customFormat="1">
      <c r="B46" s="100"/>
      <c r="C46" s="100"/>
      <c r="D46" s="316"/>
      <c r="E46" s="317"/>
      <c r="F46" s="318"/>
      <c r="G46" s="98"/>
    </row>
    <row r="47" spans="2:7" s="56" customFormat="1">
      <c r="B47" s="106"/>
      <c r="C47" s="63"/>
      <c r="D47" s="316"/>
      <c r="E47" s="317"/>
      <c r="F47" s="318"/>
      <c r="G47" s="98"/>
    </row>
    <row r="48" spans="2:7" s="56" customFormat="1">
      <c r="B48" s="64"/>
      <c r="C48" s="64"/>
      <c r="D48" s="316"/>
      <c r="E48" s="317"/>
      <c r="F48" s="318"/>
      <c r="G48" s="98"/>
    </row>
    <row r="49" spans="2:7" s="56" customFormat="1"/>
    <row r="50" spans="2:7" s="56" customFormat="1">
      <c r="B50" s="305" t="s">
        <v>293</v>
      </c>
      <c r="C50" s="306"/>
      <c r="D50" s="306"/>
      <c r="E50" s="306"/>
      <c r="F50" s="307"/>
      <c r="G50" s="83"/>
    </row>
    <row r="51" spans="2:7" s="56" customFormat="1" ht="42" customHeight="1">
      <c r="B51" s="312" t="s">
        <v>479</v>
      </c>
      <c r="C51" s="294"/>
      <c r="D51" s="294"/>
      <c r="E51" s="294"/>
      <c r="F51" s="295"/>
      <c r="G51" s="61"/>
    </row>
    <row r="52" spans="2:7" s="56" customFormat="1"/>
    <row r="1048537" spans="8:9">
      <c r="H1048537" s="83"/>
      <c r="I1048537" s="83"/>
    </row>
  </sheetData>
  <mergeCells count="38">
    <mergeCell ref="B51:F51"/>
    <mergeCell ref="B42:F42"/>
    <mergeCell ref="B44:F44"/>
    <mergeCell ref="D45:F45"/>
    <mergeCell ref="D46:F46"/>
    <mergeCell ref="D48:F48"/>
    <mergeCell ref="B50:F50"/>
    <mergeCell ref="B30:F30"/>
    <mergeCell ref="D47:F47"/>
    <mergeCell ref="B33:F33"/>
    <mergeCell ref="B35:F35"/>
    <mergeCell ref="C36:F36"/>
    <mergeCell ref="C37:F37"/>
    <mergeCell ref="C38:F38"/>
    <mergeCell ref="C39:F39"/>
    <mergeCell ref="B41:F41"/>
    <mergeCell ref="B32:F32"/>
    <mergeCell ref="B25:F25"/>
    <mergeCell ref="B27:F27"/>
    <mergeCell ref="B28:F28"/>
    <mergeCell ref="B29:F29"/>
    <mergeCell ref="C10:F10"/>
    <mergeCell ref="B12:F12"/>
    <mergeCell ref="B13:C13"/>
    <mergeCell ref="D13:F13"/>
    <mergeCell ref="B14:C14"/>
    <mergeCell ref="D14:F14"/>
    <mergeCell ref="B19:F19"/>
    <mergeCell ref="B20:F20"/>
    <mergeCell ref="B21:F21"/>
    <mergeCell ref="B22:F22"/>
    <mergeCell ref="B24:F24"/>
    <mergeCell ref="B3:F3"/>
    <mergeCell ref="C9:F9"/>
    <mergeCell ref="C5:F5"/>
    <mergeCell ref="C6:F6"/>
    <mergeCell ref="C7:F7"/>
    <mergeCell ref="C8:F8"/>
  </mergeCells>
  <dataValidations count="2">
    <dataValidation type="list" allowBlank="1" showInputMessage="1" showErrorMessage="1" sqref="C46:C48">
      <formula1>"Académique, Professionnel, Associatif, Autre"</formula1>
    </dataValidation>
    <dataValidation type="list" allowBlank="1" showInputMessage="1" showErrorMessage="1" sqref="C5">
      <formula1>"Mise à jour à partir du plan d'études, Nouvelle création"</formula1>
    </dataValidation>
  </dataValidations>
  <hyperlinks>
    <hyperlink ref="B1" location="'Schéma d''enseignement'!G25" display="Schéma d'enseignement"/>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theme="5"/>
  </sheetPr>
  <dimension ref="B1:F50"/>
  <sheetViews>
    <sheetView zoomScale="104" zoomScaleNormal="104" workbookViewId="0">
      <selection activeCell="B1" sqref="B1"/>
    </sheetView>
  </sheetViews>
  <sheetFormatPr baseColWidth="10" defaultColWidth="8.85546875" defaultRowHeight="15"/>
  <cols>
    <col min="1" max="1" width="2.85546875" style="1" customWidth="1"/>
    <col min="2" max="2" width="25.42578125" style="1" customWidth="1"/>
    <col min="3" max="3" width="21.85546875" style="1" customWidth="1"/>
    <col min="4" max="4" width="12.5703125" style="1" customWidth="1"/>
    <col min="5" max="5" width="8.85546875" style="1"/>
    <col min="6" max="6" width="52.5703125" style="1" customWidth="1"/>
    <col min="7" max="16384" width="8.85546875" style="1"/>
  </cols>
  <sheetData>
    <row r="1" spans="2:6">
      <c r="B1" s="192" t="s">
        <v>783</v>
      </c>
    </row>
    <row r="2" spans="2:6" ht="15.75">
      <c r="B2" s="416" t="s">
        <v>252</v>
      </c>
      <c r="C2" s="416"/>
      <c r="D2" s="416"/>
      <c r="E2" s="416"/>
      <c r="F2" s="416"/>
    </row>
    <row r="3" spans="2:6" ht="15.75">
      <c r="B3" s="120"/>
      <c r="C3" s="120"/>
      <c r="D3" s="120"/>
      <c r="E3" s="120"/>
      <c r="F3" s="120"/>
    </row>
    <row r="4" spans="2:6" ht="15.75">
      <c r="B4" s="118" t="s">
        <v>253</v>
      </c>
      <c r="C4" s="415" t="s">
        <v>311</v>
      </c>
      <c r="D4" s="415"/>
      <c r="E4" s="415"/>
      <c r="F4" s="415"/>
    </row>
    <row r="5" spans="2:6" ht="15.75">
      <c r="B5" s="119" t="s">
        <v>255</v>
      </c>
      <c r="C5" s="417" t="s">
        <v>256</v>
      </c>
      <c r="D5" s="417"/>
      <c r="E5" s="417"/>
      <c r="F5" s="417"/>
    </row>
    <row r="6" spans="2:6" ht="15.75">
      <c r="B6" s="118" t="s">
        <v>257</v>
      </c>
      <c r="C6" s="415" t="s">
        <v>258</v>
      </c>
      <c r="D6" s="415"/>
      <c r="E6" s="415"/>
      <c r="F6" s="415"/>
    </row>
    <row r="7" spans="2:6" ht="15.75">
      <c r="B7" s="118" t="s">
        <v>259</v>
      </c>
      <c r="C7" s="415" t="s">
        <v>260</v>
      </c>
      <c r="D7" s="415"/>
      <c r="E7" s="415"/>
      <c r="F7" s="415"/>
    </row>
    <row r="8" spans="2:6" ht="15.75">
      <c r="B8" s="118" t="s">
        <v>261</v>
      </c>
      <c r="C8" s="415" t="s">
        <v>195</v>
      </c>
      <c r="D8" s="415"/>
      <c r="E8" s="415"/>
      <c r="F8" s="415"/>
    </row>
    <row r="9" spans="2:6" ht="15.75">
      <c r="B9" s="118" t="s">
        <v>263</v>
      </c>
      <c r="C9" s="415" t="s">
        <v>34</v>
      </c>
      <c r="D9" s="415"/>
      <c r="E9" s="415"/>
      <c r="F9" s="415"/>
    </row>
    <row r="11" spans="2:6" ht="15.75">
      <c r="B11" s="418" t="s">
        <v>264</v>
      </c>
      <c r="C11" s="418"/>
      <c r="D11" s="418"/>
      <c r="E11" s="418"/>
      <c r="F11" s="418"/>
    </row>
    <row r="12" spans="2:6" ht="15.75">
      <c r="B12" s="418" t="s">
        <v>265</v>
      </c>
      <c r="C12" s="418"/>
      <c r="D12" s="418" t="s">
        <v>266</v>
      </c>
      <c r="E12" s="418"/>
      <c r="F12" s="418"/>
    </row>
    <row r="13" spans="2:6" ht="15.75">
      <c r="B13" s="419">
        <v>43201</v>
      </c>
      <c r="C13" s="419"/>
      <c r="D13" s="415" t="s">
        <v>310</v>
      </c>
      <c r="E13" s="415"/>
      <c r="F13" s="415"/>
    </row>
    <row r="15" spans="2:6" ht="15.75">
      <c r="B15" s="117" t="s">
        <v>267</v>
      </c>
      <c r="C15" s="117" t="s">
        <v>268</v>
      </c>
      <c r="D15" s="117" t="s">
        <v>269</v>
      </c>
      <c r="E15" s="117" t="s">
        <v>270</v>
      </c>
      <c r="F15" s="117" t="s">
        <v>271</v>
      </c>
    </row>
    <row r="16" spans="2:6" ht="31.5">
      <c r="B16" s="116" t="s">
        <v>456</v>
      </c>
      <c r="C16" s="115">
        <v>21</v>
      </c>
      <c r="D16" s="115">
        <v>2</v>
      </c>
      <c r="E16" s="115">
        <v>2</v>
      </c>
      <c r="F16" s="115" t="s">
        <v>272</v>
      </c>
    </row>
    <row r="17" spans="2:6" ht="15.75">
      <c r="B17" s="114"/>
      <c r="C17" s="113"/>
      <c r="D17" s="113"/>
      <c r="E17" s="113"/>
      <c r="F17" s="113"/>
    </row>
    <row r="18" spans="2:6" ht="15.75">
      <c r="B18" s="413" t="s">
        <v>273</v>
      </c>
      <c r="C18" s="413"/>
      <c r="D18" s="413"/>
      <c r="E18" s="413"/>
      <c r="F18" s="413"/>
    </row>
    <row r="19" spans="2:6" ht="48" customHeight="1">
      <c r="B19" s="414" t="s">
        <v>455</v>
      </c>
      <c r="C19" s="414"/>
      <c r="D19" s="414"/>
      <c r="E19" s="414"/>
      <c r="F19" s="414"/>
    </row>
    <row r="20" spans="2:6" ht="15.75">
      <c r="B20" s="413" t="s">
        <v>275</v>
      </c>
      <c r="C20" s="413"/>
      <c r="D20" s="413"/>
      <c r="E20" s="413"/>
      <c r="F20" s="413"/>
    </row>
    <row r="21" spans="2:6" ht="87.6" customHeight="1">
      <c r="B21" s="414" t="s">
        <v>454</v>
      </c>
      <c r="C21" s="414"/>
      <c r="D21" s="414"/>
      <c r="E21" s="414"/>
      <c r="F21" s="414"/>
    </row>
    <row r="23" spans="2:6" ht="15.75">
      <c r="B23" s="413" t="s">
        <v>277</v>
      </c>
      <c r="C23" s="413"/>
      <c r="D23" s="413"/>
      <c r="E23" s="413"/>
      <c r="F23" s="413"/>
    </row>
    <row r="24" spans="2:6" ht="15.75">
      <c r="B24" s="414" t="s">
        <v>453</v>
      </c>
      <c r="C24" s="414"/>
      <c r="D24" s="414"/>
      <c r="E24" s="414"/>
      <c r="F24" s="414"/>
    </row>
    <row r="26" spans="2:6" ht="15.75">
      <c r="B26" s="413" t="s">
        <v>279</v>
      </c>
      <c r="C26" s="413"/>
      <c r="D26" s="413"/>
      <c r="E26" s="413"/>
      <c r="F26" s="413"/>
    </row>
    <row r="27" spans="2:6" ht="15.75">
      <c r="B27" s="420" t="s">
        <v>452</v>
      </c>
      <c r="C27" s="420"/>
      <c r="D27" s="420"/>
      <c r="E27" s="420"/>
      <c r="F27" s="420"/>
    </row>
    <row r="28" spans="2:6" ht="15.75">
      <c r="B28" s="420" t="s">
        <v>148</v>
      </c>
      <c r="C28" s="420"/>
      <c r="D28" s="420"/>
      <c r="E28" s="420"/>
      <c r="F28" s="420"/>
    </row>
    <row r="30" spans="2:6" ht="15.75">
      <c r="B30" s="413" t="s">
        <v>284</v>
      </c>
      <c r="C30" s="413"/>
      <c r="D30" s="413"/>
      <c r="E30" s="413"/>
      <c r="F30" s="413"/>
    </row>
    <row r="31" spans="2:6" ht="381.95" customHeight="1">
      <c r="B31" s="421" t="s">
        <v>481</v>
      </c>
      <c r="C31" s="421"/>
      <c r="D31" s="421"/>
      <c r="E31" s="421"/>
      <c r="F31" s="421"/>
    </row>
    <row r="32" spans="2:6" ht="15.75">
      <c r="B32" s="112"/>
      <c r="C32" s="107"/>
      <c r="D32" s="107"/>
      <c r="E32" s="107"/>
      <c r="F32" s="107"/>
    </row>
    <row r="33" spans="2:6" ht="15.75">
      <c r="B33" s="413" t="s">
        <v>324</v>
      </c>
      <c r="C33" s="413"/>
      <c r="D33" s="413"/>
      <c r="E33" s="413"/>
      <c r="F33" s="413"/>
    </row>
    <row r="34" spans="2:6" ht="15.75">
      <c r="B34" s="111"/>
      <c r="C34" s="422"/>
      <c r="D34" s="422"/>
      <c r="E34" s="422"/>
      <c r="F34" s="422"/>
    </row>
    <row r="35" spans="2:6" ht="15.75">
      <c r="B35" s="111"/>
      <c r="C35" s="422"/>
      <c r="D35" s="422"/>
      <c r="E35" s="422"/>
      <c r="F35" s="422"/>
    </row>
    <row r="36" spans="2:6" ht="15.75">
      <c r="B36" s="111"/>
      <c r="C36" s="422"/>
      <c r="D36" s="422"/>
      <c r="E36" s="422"/>
      <c r="F36" s="422"/>
    </row>
    <row r="37" spans="2:6" ht="15.75">
      <c r="B37" s="111"/>
      <c r="C37" s="422"/>
      <c r="D37" s="422"/>
      <c r="E37" s="422"/>
      <c r="F37" s="422"/>
    </row>
    <row r="38" spans="2:6" ht="15.75">
      <c r="B38" s="111"/>
      <c r="C38" s="422"/>
      <c r="D38" s="422"/>
      <c r="E38" s="422"/>
      <c r="F38" s="422"/>
    </row>
    <row r="40" spans="2:6" ht="15.75">
      <c r="B40" s="413" t="s">
        <v>287</v>
      </c>
      <c r="C40" s="413"/>
      <c r="D40" s="413"/>
      <c r="E40" s="413"/>
      <c r="F40" s="413"/>
    </row>
    <row r="41" spans="2:6">
      <c r="B41" s="414" t="s">
        <v>451</v>
      </c>
      <c r="C41" s="414"/>
      <c r="D41" s="414"/>
      <c r="E41" s="414"/>
      <c r="F41" s="414"/>
    </row>
    <row r="42" spans="2:6">
      <c r="B42" s="414"/>
      <c r="C42" s="414"/>
      <c r="D42" s="414"/>
      <c r="E42" s="414"/>
      <c r="F42" s="414"/>
    </row>
    <row r="43" spans="2:6" ht="15.75">
      <c r="B43" s="413" t="s">
        <v>289</v>
      </c>
      <c r="C43" s="413"/>
      <c r="D43" s="413"/>
      <c r="E43" s="413"/>
      <c r="F43" s="413"/>
    </row>
    <row r="44" spans="2:6" ht="15.75">
      <c r="B44" s="110" t="s">
        <v>290</v>
      </c>
      <c r="C44" s="110" t="s">
        <v>291</v>
      </c>
      <c r="D44" s="413" t="s">
        <v>292</v>
      </c>
      <c r="E44" s="413"/>
      <c r="F44" s="413"/>
    </row>
    <row r="45" spans="2:6" ht="15.75">
      <c r="B45" s="109"/>
      <c r="C45" s="109"/>
      <c r="D45" s="423"/>
      <c r="E45" s="423"/>
      <c r="F45" s="423"/>
    </row>
    <row r="46" spans="2:6" ht="15.75">
      <c r="B46" s="109"/>
      <c r="C46" s="109"/>
      <c r="D46" s="423"/>
      <c r="E46" s="423"/>
      <c r="F46" s="423"/>
    </row>
    <row r="47" spans="2:6" ht="15.75">
      <c r="B47" s="108"/>
      <c r="C47" s="108"/>
      <c r="D47" s="423"/>
      <c r="E47" s="423"/>
      <c r="F47" s="423"/>
    </row>
    <row r="49" spans="2:6" ht="15.75">
      <c r="B49" s="413" t="s">
        <v>293</v>
      </c>
      <c r="C49" s="413"/>
      <c r="D49" s="413"/>
      <c r="E49" s="413"/>
      <c r="F49" s="413"/>
    </row>
    <row r="50" spans="2:6" ht="66.95" customHeight="1">
      <c r="B50" s="414" t="s">
        <v>480</v>
      </c>
      <c r="C50" s="414"/>
      <c r="D50" s="414"/>
      <c r="E50" s="414"/>
      <c r="F50" s="414"/>
    </row>
  </sheetData>
  <mergeCells count="38">
    <mergeCell ref="D45:F45"/>
    <mergeCell ref="D46:F46"/>
    <mergeCell ref="C37:F37"/>
    <mergeCell ref="C38:F38"/>
    <mergeCell ref="B41:F42"/>
    <mergeCell ref="B43:F43"/>
    <mergeCell ref="D44:F44"/>
    <mergeCell ref="B49:F49"/>
    <mergeCell ref="B50:F50"/>
    <mergeCell ref="B21:F21"/>
    <mergeCell ref="B23:F23"/>
    <mergeCell ref="B40:F40"/>
    <mergeCell ref="B26:F26"/>
    <mergeCell ref="B27:F27"/>
    <mergeCell ref="B28:F28"/>
    <mergeCell ref="B30:F30"/>
    <mergeCell ref="B31:F31"/>
    <mergeCell ref="B33:F33"/>
    <mergeCell ref="C34:F34"/>
    <mergeCell ref="B24:F24"/>
    <mergeCell ref="D47:F47"/>
    <mergeCell ref="C35:F35"/>
    <mergeCell ref="C36:F36"/>
    <mergeCell ref="B18:F18"/>
    <mergeCell ref="B19:F19"/>
    <mergeCell ref="B20:F20"/>
    <mergeCell ref="C8:F8"/>
    <mergeCell ref="B2:F2"/>
    <mergeCell ref="C4:F4"/>
    <mergeCell ref="C5:F5"/>
    <mergeCell ref="C6:F6"/>
    <mergeCell ref="C7:F7"/>
    <mergeCell ref="C9:F9"/>
    <mergeCell ref="B11:F11"/>
    <mergeCell ref="B12:C12"/>
    <mergeCell ref="D12:F12"/>
    <mergeCell ref="B13:C13"/>
    <mergeCell ref="D13:F13"/>
  </mergeCells>
  <dataValidations count="2">
    <dataValidation type="list" allowBlank="1" showInputMessage="1" showErrorMessage="1" sqref="C4">
      <formula1>"Mise à jour à partir du plan d'études,Nouvelle création"</formula1>
      <formula2>0</formula2>
    </dataValidation>
    <dataValidation type="list" allowBlank="1" showInputMessage="1" showErrorMessage="1" sqref="C45:C47">
      <formula1>"Académique,Professionnel,Associatif,Autre"</formula1>
      <formula2>0</formula2>
    </dataValidation>
  </dataValidations>
  <hyperlinks>
    <hyperlink ref="B1" location="'Schéma d''enseignement'!G26" display="Schéma d'enseignement"/>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theme="5"/>
  </sheetPr>
  <dimension ref="A1:AMJ49"/>
  <sheetViews>
    <sheetView workbookViewId="0">
      <selection activeCell="B1" sqref="B1"/>
    </sheetView>
  </sheetViews>
  <sheetFormatPr baseColWidth="10" defaultColWidth="18.5703125" defaultRowHeight="15.75"/>
  <cols>
    <col min="1" max="1" width="2.85546875" style="121" customWidth="1"/>
    <col min="2" max="2" width="26.85546875" style="121" customWidth="1"/>
    <col min="3" max="5" width="18.5703125" style="121"/>
    <col min="6" max="6" width="27.42578125" style="121" customWidth="1"/>
    <col min="7" max="8" width="18.5703125" style="1"/>
    <col min="9" max="9" width="18.5703125" style="125"/>
    <col min="10" max="1024" width="18.5703125" style="121"/>
  </cols>
  <sheetData>
    <row r="1" spans="1:1023">
      <c r="B1" s="192" t="s">
        <v>783</v>
      </c>
      <c r="I1" s="121"/>
    </row>
    <row r="2" spans="1:1023">
      <c r="A2"/>
      <c r="B2" s="416" t="s">
        <v>252</v>
      </c>
      <c r="C2" s="416"/>
      <c r="D2" s="416"/>
      <c r="E2" s="416"/>
      <c r="F2" s="416"/>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row>
    <row r="3" spans="1:1023" s="120" customFormat="1">
      <c r="G3" s="122"/>
      <c r="H3" s="122"/>
    </row>
    <row r="4" spans="1:1023" s="120" customFormat="1">
      <c r="B4" s="118" t="s">
        <v>253</v>
      </c>
      <c r="C4" s="415" t="s">
        <v>311</v>
      </c>
      <c r="D4" s="415"/>
      <c r="E4" s="415"/>
      <c r="F4" s="415"/>
    </row>
    <row r="5" spans="1:1023" s="120" customFormat="1" ht="17.100000000000001" customHeight="1">
      <c r="B5" s="119" t="s">
        <v>255</v>
      </c>
      <c r="C5" s="417" t="s">
        <v>256</v>
      </c>
      <c r="D5" s="417"/>
      <c r="E5" s="417"/>
      <c r="F5" s="417"/>
    </row>
    <row r="6" spans="1:1023" s="120" customFormat="1">
      <c r="B6" s="118" t="s">
        <v>257</v>
      </c>
      <c r="C6" s="415" t="s">
        <v>258</v>
      </c>
      <c r="D6" s="415"/>
      <c r="E6" s="415"/>
      <c r="F6" s="415"/>
    </row>
    <row r="7" spans="1:1023" s="120" customFormat="1">
      <c r="B7" s="118" t="s">
        <v>259</v>
      </c>
      <c r="C7" s="415" t="s">
        <v>260</v>
      </c>
      <c r="D7" s="415"/>
      <c r="E7" s="415"/>
      <c r="F7" s="415"/>
    </row>
    <row r="8" spans="1:1023" s="120" customFormat="1">
      <c r="B8" s="118" t="s">
        <v>261</v>
      </c>
      <c r="C8" s="415" t="s">
        <v>195</v>
      </c>
      <c r="D8" s="415"/>
      <c r="E8" s="415"/>
      <c r="F8" s="415"/>
    </row>
    <row r="9" spans="1:1023" s="120" customFormat="1">
      <c r="B9" s="118" t="s">
        <v>263</v>
      </c>
      <c r="C9" s="415" t="s">
        <v>34</v>
      </c>
      <c r="D9" s="415"/>
      <c r="E9" s="415"/>
      <c r="F9" s="415"/>
    </row>
    <row r="10" spans="1:1023" s="120" customFormat="1">
      <c r="B10" s="1"/>
      <c r="C10" s="1"/>
      <c r="D10" s="1"/>
      <c r="E10" s="1"/>
      <c r="F10" s="1"/>
      <c r="G10" s="122"/>
    </row>
    <row r="11" spans="1:1023" s="120" customFormat="1">
      <c r="B11" s="418" t="s">
        <v>264</v>
      </c>
      <c r="C11" s="418"/>
      <c r="D11" s="418"/>
      <c r="E11" s="418"/>
      <c r="F11" s="418"/>
    </row>
    <row r="12" spans="1:1023" s="120" customFormat="1">
      <c r="B12" s="418" t="s">
        <v>265</v>
      </c>
      <c r="C12" s="418"/>
      <c r="D12" s="418" t="s">
        <v>266</v>
      </c>
      <c r="E12" s="418"/>
      <c r="F12" s="418"/>
    </row>
    <row r="13" spans="1:1023" s="120" customFormat="1">
      <c r="B13" s="419">
        <v>43201</v>
      </c>
      <c r="C13" s="419"/>
      <c r="D13" s="415" t="s">
        <v>310</v>
      </c>
      <c r="E13" s="415"/>
      <c r="F13" s="415"/>
    </row>
    <row r="14" spans="1:1023" s="120" customFormat="1">
      <c r="B14" s="1"/>
      <c r="C14" s="1"/>
      <c r="D14" s="1"/>
      <c r="E14" s="1"/>
      <c r="F14" s="1"/>
    </row>
    <row r="15" spans="1:1023" s="120" customFormat="1">
      <c r="B15" s="117" t="s">
        <v>267</v>
      </c>
      <c r="C15" s="117" t="s">
        <v>268</v>
      </c>
      <c r="D15" s="117" t="s">
        <v>269</v>
      </c>
      <c r="E15" s="117" t="s">
        <v>270</v>
      </c>
      <c r="F15" s="117" t="s">
        <v>271</v>
      </c>
    </row>
    <row r="16" spans="1:1023" s="120" customFormat="1" ht="30" customHeight="1">
      <c r="B16" s="116" t="s">
        <v>465</v>
      </c>
      <c r="C16" s="115">
        <v>21</v>
      </c>
      <c r="D16" s="115">
        <v>2</v>
      </c>
      <c r="E16" s="115">
        <v>2</v>
      </c>
      <c r="F16" s="115" t="s">
        <v>391</v>
      </c>
    </row>
    <row r="17" spans="2:6" s="120" customFormat="1">
      <c r="B17" s="114"/>
      <c r="C17" s="113"/>
      <c r="D17" s="113"/>
      <c r="E17" s="113"/>
      <c r="F17" s="113"/>
    </row>
    <row r="18" spans="2:6" s="120" customFormat="1">
      <c r="B18" s="413" t="s">
        <v>273</v>
      </c>
      <c r="C18" s="413"/>
      <c r="D18" s="413"/>
      <c r="E18" s="413"/>
      <c r="F18" s="413"/>
    </row>
    <row r="19" spans="2:6" s="120" customFormat="1" ht="48.95" customHeight="1">
      <c r="B19" s="414" t="s">
        <v>464</v>
      </c>
      <c r="C19" s="414"/>
      <c r="D19" s="414"/>
      <c r="E19" s="414"/>
      <c r="F19" s="414"/>
    </row>
    <row r="20" spans="2:6" s="120" customFormat="1">
      <c r="B20" s="413" t="s">
        <v>275</v>
      </c>
      <c r="C20" s="413"/>
      <c r="D20" s="413"/>
      <c r="E20" s="413"/>
      <c r="F20" s="413"/>
    </row>
    <row r="21" spans="2:6" s="120" customFormat="1" ht="63.95" customHeight="1">
      <c r="B21" s="414" t="s">
        <v>463</v>
      </c>
      <c r="C21" s="414"/>
      <c r="D21" s="414"/>
      <c r="E21" s="414"/>
      <c r="F21" s="414"/>
    </row>
    <row r="22" spans="2:6" s="120" customFormat="1">
      <c r="B22" s="1"/>
      <c r="C22" s="1"/>
      <c r="D22" s="1"/>
      <c r="E22" s="1"/>
      <c r="F22" s="1"/>
    </row>
    <row r="23" spans="2:6" s="120" customFormat="1">
      <c r="B23" s="413" t="s">
        <v>277</v>
      </c>
      <c r="C23" s="413"/>
      <c r="D23" s="413"/>
      <c r="E23" s="413"/>
      <c r="F23" s="413"/>
    </row>
    <row r="24" spans="2:6" s="120" customFormat="1">
      <c r="B24" s="422" t="s">
        <v>462</v>
      </c>
      <c r="C24" s="422"/>
      <c r="D24" s="422"/>
      <c r="E24" s="422"/>
      <c r="F24" s="422"/>
    </row>
    <row r="25" spans="2:6" s="120" customFormat="1">
      <c r="B25" s="1"/>
      <c r="C25" s="1"/>
      <c r="D25" s="1"/>
      <c r="E25" s="1"/>
      <c r="F25" s="1"/>
    </row>
    <row r="26" spans="2:6" s="120" customFormat="1">
      <c r="B26" s="413" t="s">
        <v>279</v>
      </c>
      <c r="C26" s="413"/>
      <c r="D26" s="413"/>
      <c r="E26" s="413"/>
      <c r="F26" s="413"/>
    </row>
    <row r="27" spans="2:6" s="120" customFormat="1">
      <c r="B27" s="420" t="s">
        <v>148</v>
      </c>
      <c r="C27" s="420"/>
      <c r="D27" s="420"/>
      <c r="E27" s="420"/>
      <c r="F27" s="420"/>
    </row>
    <row r="28" spans="2:6" s="120" customFormat="1">
      <c r="B28" s="420" t="s">
        <v>452</v>
      </c>
      <c r="C28" s="420"/>
      <c r="D28" s="420"/>
      <c r="E28" s="420"/>
      <c r="F28" s="420"/>
    </row>
    <row r="29" spans="2:6" s="120" customFormat="1">
      <c r="B29" s="1"/>
      <c r="C29" s="1"/>
      <c r="D29" s="1"/>
      <c r="E29" s="1"/>
      <c r="F29" s="1"/>
    </row>
    <row r="30" spans="2:6" s="120" customFormat="1">
      <c r="B30" s="413" t="s">
        <v>284</v>
      </c>
      <c r="C30" s="413"/>
      <c r="D30" s="413"/>
      <c r="E30" s="413"/>
      <c r="F30" s="413"/>
    </row>
    <row r="31" spans="2:6" s="120" customFormat="1" ht="108.6" customHeight="1">
      <c r="B31" s="424" t="s">
        <v>482</v>
      </c>
      <c r="C31" s="424"/>
      <c r="D31" s="424"/>
      <c r="E31" s="424"/>
      <c r="F31" s="424"/>
    </row>
    <row r="32" spans="2:6" s="120" customFormat="1">
      <c r="B32" s="112"/>
      <c r="C32" s="107"/>
      <c r="D32" s="107"/>
      <c r="E32" s="107"/>
      <c r="F32" s="107"/>
    </row>
    <row r="33" spans="1:6" s="120" customFormat="1">
      <c r="B33" s="413" t="s">
        <v>324</v>
      </c>
      <c r="C33" s="413"/>
      <c r="D33" s="413"/>
      <c r="E33" s="413"/>
      <c r="F33" s="413"/>
    </row>
    <row r="34" spans="1:6" s="120" customFormat="1">
      <c r="B34" s="429" t="s">
        <v>461</v>
      </c>
      <c r="C34" s="429"/>
      <c r="D34" s="429"/>
      <c r="E34" s="429"/>
      <c r="F34" s="429"/>
    </row>
    <row r="35" spans="1:6" s="120" customFormat="1">
      <c r="B35" s="429" t="s">
        <v>460</v>
      </c>
      <c r="C35" s="429"/>
      <c r="D35" s="429"/>
      <c r="E35" s="429"/>
      <c r="F35" s="429"/>
    </row>
    <row r="36" spans="1:6" s="120" customFormat="1">
      <c r="B36" s="426" t="s">
        <v>459</v>
      </c>
      <c r="C36" s="427"/>
      <c r="D36" s="427"/>
      <c r="E36" s="427"/>
      <c r="F36" s="428"/>
    </row>
    <row r="37" spans="1:6" s="120" customFormat="1">
      <c r="B37" s="123"/>
      <c r="C37" s="124"/>
      <c r="D37" s="124"/>
      <c r="E37" s="124"/>
      <c r="F37" s="124"/>
    </row>
    <row r="38" spans="1:6" s="120" customFormat="1">
      <c r="B38" s="413" t="s">
        <v>287</v>
      </c>
      <c r="C38" s="413"/>
      <c r="D38" s="413"/>
      <c r="E38" s="413"/>
      <c r="F38" s="413"/>
    </row>
    <row r="39" spans="1:6" s="120" customFormat="1" ht="33" customHeight="1">
      <c r="B39" s="414" t="s">
        <v>458</v>
      </c>
      <c r="C39" s="414"/>
      <c r="D39" s="414"/>
      <c r="E39" s="414"/>
      <c r="F39" s="414"/>
    </row>
    <row r="40" spans="1:6" s="120" customFormat="1">
      <c r="B40" s="1"/>
      <c r="C40" s="1"/>
      <c r="D40" s="1"/>
      <c r="E40" s="1"/>
      <c r="F40" s="1"/>
    </row>
    <row r="41" spans="1:6">
      <c r="A41" s="120"/>
      <c r="B41" s="413" t="s">
        <v>289</v>
      </c>
      <c r="C41" s="413"/>
      <c r="D41" s="413"/>
      <c r="E41" s="413"/>
      <c r="F41" s="413"/>
    </row>
    <row r="42" spans="1:6">
      <c r="A42" s="120"/>
      <c r="B42" s="110" t="s">
        <v>290</v>
      </c>
      <c r="C42" s="110" t="s">
        <v>291</v>
      </c>
      <c r="D42" s="413" t="s">
        <v>292</v>
      </c>
      <c r="E42" s="413"/>
      <c r="F42" s="413"/>
    </row>
    <row r="43" spans="1:6">
      <c r="A43" s="120"/>
      <c r="B43" s="109"/>
      <c r="C43" s="109"/>
      <c r="D43" s="423"/>
      <c r="E43" s="423"/>
      <c r="F43" s="423"/>
    </row>
    <row r="44" spans="1:6">
      <c r="A44" s="120"/>
      <c r="B44" s="109"/>
      <c r="C44" s="109"/>
      <c r="D44" s="423"/>
      <c r="E44" s="423"/>
      <c r="F44" s="423"/>
    </row>
    <row r="45" spans="1:6">
      <c r="A45" s="120"/>
      <c r="B45" s="108"/>
      <c r="C45" s="108"/>
      <c r="D45" s="423"/>
      <c r="E45" s="423"/>
      <c r="F45" s="423"/>
    </row>
    <row r="46" spans="1:6">
      <c r="A46" s="120"/>
      <c r="B46" s="1"/>
      <c r="C46" s="1"/>
      <c r="D46" s="1"/>
      <c r="E46" s="1"/>
      <c r="F46" s="1"/>
    </row>
    <row r="47" spans="1:6">
      <c r="A47" s="120"/>
      <c r="B47" s="413" t="s">
        <v>293</v>
      </c>
      <c r="C47" s="413"/>
      <c r="D47" s="413"/>
      <c r="E47" s="413"/>
      <c r="F47" s="413"/>
    </row>
    <row r="48" spans="1:6" ht="34.5" customHeight="1">
      <c r="A48" s="120"/>
      <c r="B48" s="425" t="s">
        <v>457</v>
      </c>
      <c r="C48" s="425"/>
      <c r="D48" s="425"/>
      <c r="E48" s="425"/>
      <c r="F48" s="425"/>
    </row>
    <row r="49" spans="1:6">
      <c r="A49" s="120"/>
      <c r="B49" s="1"/>
      <c r="C49" s="1"/>
      <c r="D49" s="1"/>
      <c r="E49" s="1"/>
      <c r="F49" s="1"/>
    </row>
  </sheetData>
  <mergeCells count="36">
    <mergeCell ref="B48:F48"/>
    <mergeCell ref="B36:F36"/>
    <mergeCell ref="B34:F34"/>
    <mergeCell ref="B35:F35"/>
    <mergeCell ref="B38:F38"/>
    <mergeCell ref="B39:F39"/>
    <mergeCell ref="B41:F41"/>
    <mergeCell ref="D43:F43"/>
    <mergeCell ref="D44:F44"/>
    <mergeCell ref="D45:F45"/>
    <mergeCell ref="B47:F47"/>
    <mergeCell ref="B20:F20"/>
    <mergeCell ref="B21:F21"/>
    <mergeCell ref="B23:F23"/>
    <mergeCell ref="D42:F42"/>
    <mergeCell ref="B26:F26"/>
    <mergeCell ref="B27:F27"/>
    <mergeCell ref="B28:F28"/>
    <mergeCell ref="B30:F30"/>
    <mergeCell ref="B31:F31"/>
    <mergeCell ref="B33:F33"/>
    <mergeCell ref="B24:F24"/>
    <mergeCell ref="B18:F18"/>
    <mergeCell ref="B19:F19"/>
    <mergeCell ref="C7:F7"/>
    <mergeCell ref="C8:F8"/>
    <mergeCell ref="C9:F9"/>
    <mergeCell ref="B11:F11"/>
    <mergeCell ref="B12:C12"/>
    <mergeCell ref="D12:F12"/>
    <mergeCell ref="B2:F2"/>
    <mergeCell ref="C4:F4"/>
    <mergeCell ref="C5:F5"/>
    <mergeCell ref="C6:F6"/>
    <mergeCell ref="B13:C13"/>
    <mergeCell ref="D13:F13"/>
  </mergeCells>
  <dataValidations count="2">
    <dataValidation type="list" allowBlank="1" showInputMessage="1" showErrorMessage="1" sqref="C4">
      <formula1>"Mise à jour à partir du plan d'études,Nouvelle création"</formula1>
      <formula2>0</formula2>
    </dataValidation>
    <dataValidation type="list" allowBlank="1" showInputMessage="1" showErrorMessage="1" sqref="C43:C45">
      <formula1>"Académique,Professionnel,Associatif,Autre"</formula1>
      <formula2>0</formula2>
    </dataValidation>
  </dataValidations>
  <hyperlinks>
    <hyperlink ref="B1" location="'Schéma d''enseignement'!G27" display="Schéma d'enseignement"/>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theme="5"/>
  </sheetPr>
  <dimension ref="B1:I1048538"/>
  <sheetViews>
    <sheetView zoomScaleNormal="100" workbookViewId="0">
      <selection activeCell="B1" sqref="B1"/>
    </sheetView>
  </sheetViews>
  <sheetFormatPr baseColWidth="10" defaultColWidth="8.85546875" defaultRowHeight="15.75"/>
  <cols>
    <col min="1" max="1" width="1.140625" style="99" customWidth="1"/>
    <col min="2" max="2" width="29.42578125" style="99" customWidth="1"/>
    <col min="3" max="3" width="15.5703125" style="99" customWidth="1"/>
    <col min="4" max="4" width="11.85546875" style="99" customWidth="1"/>
    <col min="5" max="5" width="7" style="99" customWidth="1"/>
    <col min="6" max="6" width="29.4257812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407" t="s">
        <v>252</v>
      </c>
      <c r="C3" s="407"/>
      <c r="D3" s="407"/>
      <c r="E3" s="407"/>
      <c r="F3" s="407"/>
      <c r="G3" s="80"/>
    </row>
    <row r="4" spans="2:7" s="56" customFormat="1"/>
    <row r="5" spans="2:7" s="56" customFormat="1">
      <c r="B5" s="57" t="s">
        <v>253</v>
      </c>
      <c r="C5" s="291"/>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387</v>
      </c>
      <c r="D9" s="291"/>
      <c r="E9" s="291"/>
      <c r="F9" s="291"/>
      <c r="G9" s="81"/>
    </row>
    <row r="10" spans="2:7" s="56" customFormat="1">
      <c r="B10" s="57" t="s">
        <v>263</v>
      </c>
      <c r="C10" s="291" t="s">
        <v>388</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43200</v>
      </c>
      <c r="C14" s="300"/>
      <c r="D14" s="291" t="s">
        <v>389</v>
      </c>
      <c r="E14" s="291"/>
      <c r="F14" s="291"/>
      <c r="G14" s="81"/>
    </row>
    <row r="15" spans="2:7" s="56" customFormat="1"/>
    <row r="16" spans="2:7" s="56" customFormat="1">
      <c r="B16" s="59" t="s">
        <v>267</v>
      </c>
      <c r="C16" s="59" t="s">
        <v>268</v>
      </c>
      <c r="D16" s="59" t="s">
        <v>269</v>
      </c>
      <c r="E16" s="59" t="s">
        <v>270</v>
      </c>
      <c r="F16" s="59" t="s">
        <v>271</v>
      </c>
      <c r="G16" s="82"/>
    </row>
    <row r="17" spans="2:7" s="56" customFormat="1" ht="23.25" customHeight="1">
      <c r="B17" s="21" t="s">
        <v>763</v>
      </c>
      <c r="C17" s="21" t="s">
        <v>390</v>
      </c>
      <c r="D17" s="21">
        <v>2</v>
      </c>
      <c r="E17" s="21">
        <v>2</v>
      </c>
      <c r="F17" s="21" t="s">
        <v>391</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50.45" customHeight="1">
      <c r="B20" s="308" t="s">
        <v>760</v>
      </c>
      <c r="C20" s="365"/>
      <c r="D20" s="365"/>
      <c r="E20" s="365"/>
      <c r="F20" s="366"/>
      <c r="G20" s="84"/>
    </row>
    <row r="21" spans="2:7" s="56" customFormat="1">
      <c r="B21" s="305" t="s">
        <v>275</v>
      </c>
      <c r="C21" s="306"/>
      <c r="D21" s="306"/>
      <c r="E21" s="306"/>
      <c r="F21" s="307"/>
      <c r="G21" s="83"/>
    </row>
    <row r="22" spans="2:7" s="56" customFormat="1" ht="63.6" customHeight="1">
      <c r="B22" s="312" t="s">
        <v>709</v>
      </c>
      <c r="C22" s="294"/>
      <c r="D22" s="294"/>
      <c r="E22" s="294"/>
      <c r="F22" s="295"/>
      <c r="G22" s="85"/>
    </row>
    <row r="23" spans="2:7" s="56" customFormat="1"/>
    <row r="24" spans="2:7" s="56" customFormat="1">
      <c r="B24" s="305" t="s">
        <v>277</v>
      </c>
      <c r="C24" s="306"/>
      <c r="D24" s="306"/>
      <c r="E24" s="306"/>
      <c r="F24" s="307"/>
      <c r="G24" s="83"/>
    </row>
    <row r="25" spans="2:7" s="56" customFormat="1" ht="21" customHeight="1">
      <c r="B25" s="293" t="s">
        <v>392</v>
      </c>
      <c r="C25" s="294"/>
      <c r="D25" s="294"/>
      <c r="E25" s="294"/>
      <c r="F25" s="295"/>
      <c r="G25" s="84"/>
    </row>
    <row r="26" spans="2:7" s="56" customFormat="1"/>
    <row r="27" spans="2:7" s="56" customFormat="1">
      <c r="B27" s="305" t="s">
        <v>279</v>
      </c>
      <c r="C27" s="306"/>
      <c r="D27" s="306"/>
      <c r="E27" s="306"/>
      <c r="F27" s="307"/>
      <c r="G27" s="82"/>
    </row>
    <row r="28" spans="2:7" s="56" customFormat="1">
      <c r="B28" s="319" t="s">
        <v>393</v>
      </c>
      <c r="C28" s="320"/>
      <c r="D28" s="320"/>
      <c r="E28" s="320"/>
      <c r="F28" s="321"/>
      <c r="G28" s="94"/>
    </row>
    <row r="29" spans="2:7" s="56" customFormat="1">
      <c r="B29" s="319" t="s">
        <v>394</v>
      </c>
      <c r="C29" s="320"/>
      <c r="D29" s="320"/>
      <c r="E29" s="320"/>
      <c r="F29" s="321"/>
      <c r="G29" s="94"/>
    </row>
    <row r="30" spans="2:7" s="56" customFormat="1">
      <c r="B30" s="319" t="s">
        <v>395</v>
      </c>
      <c r="C30" s="320"/>
      <c r="D30" s="320"/>
      <c r="E30" s="320"/>
      <c r="F30" s="321"/>
      <c r="G30" s="94"/>
    </row>
    <row r="31" spans="2:7" s="56" customFormat="1">
      <c r="B31" s="351" t="s">
        <v>396</v>
      </c>
      <c r="C31" s="351"/>
      <c r="D31" s="351"/>
      <c r="E31" s="351"/>
      <c r="F31" s="351"/>
      <c r="G31" s="94"/>
    </row>
    <row r="32" spans="2:7" s="56" customFormat="1"/>
    <row r="33" spans="2:7" s="56" customFormat="1">
      <c r="B33" s="305" t="s">
        <v>284</v>
      </c>
      <c r="C33" s="306"/>
      <c r="D33" s="306"/>
      <c r="E33" s="306"/>
      <c r="F33" s="307"/>
      <c r="G33" s="83"/>
    </row>
    <row r="34" spans="2:7" s="56" customFormat="1" ht="401.1" customHeight="1">
      <c r="B34" s="312" t="s">
        <v>710</v>
      </c>
      <c r="C34" s="294"/>
      <c r="D34" s="294"/>
      <c r="E34" s="294"/>
      <c r="F34" s="295"/>
      <c r="G34" s="85"/>
    </row>
    <row r="35" spans="2:7" s="56" customFormat="1" ht="332.45" customHeight="1">
      <c r="B35" s="430" t="s">
        <v>711</v>
      </c>
      <c r="C35" s="391"/>
      <c r="D35" s="391"/>
      <c r="E35" s="391"/>
      <c r="F35" s="392"/>
      <c r="G35" s="85"/>
    </row>
    <row r="36" spans="2:7" s="56" customFormat="1">
      <c r="B36" s="305" t="s">
        <v>324</v>
      </c>
      <c r="C36" s="306"/>
      <c r="D36" s="306"/>
      <c r="E36" s="306"/>
      <c r="F36" s="307"/>
      <c r="G36" s="83"/>
    </row>
    <row r="37" spans="2:7" s="56" customFormat="1">
      <c r="B37" s="100" t="s">
        <v>397</v>
      </c>
      <c r="C37" s="379" t="s">
        <v>398</v>
      </c>
      <c r="D37" s="379"/>
      <c r="E37" s="379"/>
      <c r="F37" s="379"/>
      <c r="G37" s="85"/>
    </row>
    <row r="38" spans="2:7" s="56" customFormat="1">
      <c r="B38" s="100" t="s">
        <v>399</v>
      </c>
      <c r="C38" s="379"/>
      <c r="D38" s="379"/>
      <c r="E38" s="379"/>
      <c r="F38" s="379"/>
      <c r="G38" s="85"/>
    </row>
    <row r="39" spans="2:7" s="56" customFormat="1">
      <c r="B39" s="100" t="s">
        <v>400</v>
      </c>
      <c r="C39" s="293"/>
      <c r="D39" s="294"/>
      <c r="E39" s="294"/>
      <c r="F39" s="295"/>
      <c r="G39" s="85"/>
    </row>
    <row r="40" spans="2:7" s="56" customFormat="1">
      <c r="B40" s="100" t="s">
        <v>401</v>
      </c>
      <c r="C40" s="379"/>
      <c r="D40" s="379"/>
      <c r="E40" s="379"/>
      <c r="F40" s="379"/>
      <c r="G40" s="85"/>
    </row>
    <row r="41" spans="2:7" s="56" customFormat="1"/>
    <row r="42" spans="2:7" s="56" customFormat="1">
      <c r="B42" s="305" t="s">
        <v>287</v>
      </c>
      <c r="C42" s="306"/>
      <c r="D42" s="306"/>
      <c r="E42" s="306"/>
      <c r="F42" s="307"/>
      <c r="G42" s="83"/>
    </row>
    <row r="43" spans="2:7" s="56" customFormat="1" ht="22.5" customHeight="1">
      <c r="B43" s="293" t="s">
        <v>402</v>
      </c>
      <c r="C43" s="294"/>
      <c r="D43" s="294"/>
      <c r="E43" s="294"/>
      <c r="F43" s="295"/>
      <c r="G43" s="61"/>
    </row>
    <row r="44" spans="2:7" s="56" customFormat="1"/>
    <row r="45" spans="2:7" s="56" customFormat="1">
      <c r="B45" s="305" t="s">
        <v>289</v>
      </c>
      <c r="C45" s="306"/>
      <c r="D45" s="306"/>
      <c r="E45" s="306"/>
      <c r="F45" s="307"/>
      <c r="G45" s="83"/>
    </row>
    <row r="46" spans="2:7" s="56" customFormat="1">
      <c r="B46" s="62" t="s">
        <v>290</v>
      </c>
      <c r="C46" s="62" t="s">
        <v>291</v>
      </c>
      <c r="D46" s="305" t="s">
        <v>292</v>
      </c>
      <c r="E46" s="306"/>
      <c r="F46" s="307"/>
      <c r="G46" s="83"/>
    </row>
    <row r="47" spans="2:7" s="56" customFormat="1">
      <c r="B47" s="100"/>
      <c r="C47" s="100"/>
      <c r="D47" s="316"/>
      <c r="E47" s="317"/>
      <c r="F47" s="318"/>
      <c r="G47" s="98"/>
    </row>
    <row r="48" spans="2:7" s="56" customFormat="1">
      <c r="B48" s="63"/>
      <c r="C48" s="63"/>
      <c r="D48" s="316"/>
      <c r="E48" s="317"/>
      <c r="F48" s="318"/>
      <c r="G48" s="98"/>
    </row>
    <row r="49" spans="2:7" s="56" customFormat="1">
      <c r="B49" s="64"/>
      <c r="C49" s="64"/>
      <c r="D49" s="316"/>
      <c r="E49" s="317"/>
      <c r="F49" s="318"/>
      <c r="G49" s="98"/>
    </row>
    <row r="50" spans="2:7" s="56" customFormat="1"/>
    <row r="51" spans="2:7" s="56" customFormat="1">
      <c r="B51" s="305" t="s">
        <v>293</v>
      </c>
      <c r="C51" s="306"/>
      <c r="D51" s="306"/>
      <c r="E51" s="306"/>
      <c r="F51" s="307"/>
      <c r="G51" s="83"/>
    </row>
    <row r="52" spans="2:7" s="56" customFormat="1" ht="161.44999999999999" customHeight="1">
      <c r="B52" s="308" t="s">
        <v>630</v>
      </c>
      <c r="C52" s="294"/>
      <c r="D52" s="294"/>
      <c r="E52" s="294"/>
      <c r="F52" s="295"/>
      <c r="G52" s="61"/>
    </row>
    <row r="53" spans="2:7" s="56" customFormat="1"/>
    <row r="1048538" spans="8:9">
      <c r="H1048538" s="83"/>
      <c r="I1048538" s="83"/>
    </row>
  </sheetData>
  <mergeCells count="40">
    <mergeCell ref="C9:F9"/>
    <mergeCell ref="C5:F5"/>
    <mergeCell ref="C6:F6"/>
    <mergeCell ref="C7:F7"/>
    <mergeCell ref="C8:F8"/>
    <mergeCell ref="C10:F10"/>
    <mergeCell ref="B12:F12"/>
    <mergeCell ref="B13:C13"/>
    <mergeCell ref="D13:F13"/>
    <mergeCell ref="B14:C14"/>
    <mergeCell ref="D14:F14"/>
    <mergeCell ref="C37:F37"/>
    <mergeCell ref="C38:F38"/>
    <mergeCell ref="C39:F39"/>
    <mergeCell ref="B25:F25"/>
    <mergeCell ref="B27:F27"/>
    <mergeCell ref="B28:F28"/>
    <mergeCell ref="B29:F29"/>
    <mergeCell ref="B30:F30"/>
    <mergeCell ref="D47:F47"/>
    <mergeCell ref="D48:F48"/>
    <mergeCell ref="D49:F49"/>
    <mergeCell ref="B51:F51"/>
    <mergeCell ref="B52:F52"/>
    <mergeCell ref="B3:F3"/>
    <mergeCell ref="B42:F42"/>
    <mergeCell ref="B43:F43"/>
    <mergeCell ref="B45:F45"/>
    <mergeCell ref="D46:F46"/>
    <mergeCell ref="C40:F40"/>
    <mergeCell ref="B33:F33"/>
    <mergeCell ref="B34:F34"/>
    <mergeCell ref="B35:F35"/>
    <mergeCell ref="B19:F19"/>
    <mergeCell ref="B20:F20"/>
    <mergeCell ref="B21:F21"/>
    <mergeCell ref="B22:F22"/>
    <mergeCell ref="B24:F24"/>
    <mergeCell ref="B31:F31"/>
    <mergeCell ref="B36:F36"/>
  </mergeCells>
  <dataValidations count="2">
    <dataValidation type="list" allowBlank="1" showInputMessage="1" showErrorMessage="1" sqref="C5">
      <formula1>"Mise à jour à partir du plan d'études, Nouvelle création"</formula1>
    </dataValidation>
    <dataValidation type="list" allowBlank="1" showInputMessage="1" showErrorMessage="1" sqref="C47:C49">
      <formula1>"Académique, Professionnel, Associatif, Autre"</formula1>
    </dataValidation>
  </dataValidations>
  <hyperlinks>
    <hyperlink ref="B1" location="'Schéma d''enseignement'!G28" display="Schéma d'enseignement"/>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theme="5"/>
  </sheetPr>
  <dimension ref="B1:I1048538"/>
  <sheetViews>
    <sheetView workbookViewId="0">
      <selection activeCell="B1" sqref="B1"/>
    </sheetView>
  </sheetViews>
  <sheetFormatPr baseColWidth="10" defaultColWidth="8.85546875" defaultRowHeight="15.75"/>
  <cols>
    <col min="1" max="1" width="2.85546875" style="99" customWidth="1"/>
    <col min="2" max="2" width="32.85546875" style="99" customWidth="1"/>
    <col min="3" max="3" width="15.5703125" style="99" customWidth="1"/>
    <col min="4" max="4" width="11.85546875" style="99" customWidth="1"/>
    <col min="5" max="5" width="7" style="99" customWidth="1"/>
    <col min="6" max="6" width="21.8554687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54" t="s">
        <v>252</v>
      </c>
      <c r="C3" s="55"/>
      <c r="D3" s="55"/>
      <c r="E3" s="55"/>
      <c r="F3" s="55"/>
      <c r="G3" s="80"/>
    </row>
    <row r="4" spans="2:7" s="56" customFormat="1"/>
    <row r="5" spans="2:7" s="56" customFormat="1">
      <c r="B5" s="57" t="s">
        <v>253</v>
      </c>
      <c r="C5" s="291" t="s">
        <v>311</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387</v>
      </c>
      <c r="D9" s="291"/>
      <c r="E9" s="291"/>
      <c r="F9" s="291"/>
      <c r="G9" s="81"/>
    </row>
    <row r="10" spans="2:7" s="56" customFormat="1">
      <c r="B10" s="57" t="s">
        <v>263</v>
      </c>
      <c r="C10" s="291" t="s">
        <v>388</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43200</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23.25" customHeight="1">
      <c r="B17" s="21" t="s">
        <v>470</v>
      </c>
      <c r="C17" s="21" t="s">
        <v>390</v>
      </c>
      <c r="D17" s="21">
        <v>2</v>
      </c>
      <c r="E17" s="21">
        <v>2</v>
      </c>
      <c r="F17" s="21" t="s">
        <v>391</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48.95" customHeight="1">
      <c r="B20" s="308" t="s">
        <v>469</v>
      </c>
      <c r="C20" s="365"/>
      <c r="D20" s="365"/>
      <c r="E20" s="365"/>
      <c r="F20" s="366"/>
      <c r="G20" s="84"/>
    </row>
    <row r="21" spans="2:7" s="56" customFormat="1">
      <c r="B21" s="305" t="s">
        <v>275</v>
      </c>
      <c r="C21" s="306"/>
      <c r="D21" s="306"/>
      <c r="E21" s="306"/>
      <c r="F21" s="307"/>
      <c r="G21" s="83"/>
    </row>
    <row r="22" spans="2:7" s="56" customFormat="1" ht="48" customHeight="1">
      <c r="B22" s="312" t="s">
        <v>468</v>
      </c>
      <c r="C22" s="294"/>
      <c r="D22" s="294"/>
      <c r="E22" s="294"/>
      <c r="F22" s="295"/>
      <c r="G22" s="85"/>
    </row>
    <row r="23" spans="2:7" s="56" customFormat="1"/>
    <row r="24" spans="2:7" s="56" customFormat="1">
      <c r="B24" s="305" t="s">
        <v>277</v>
      </c>
      <c r="C24" s="306"/>
      <c r="D24" s="306"/>
      <c r="E24" s="306"/>
      <c r="F24" s="307"/>
      <c r="G24" s="83"/>
    </row>
    <row r="25" spans="2:7" s="56" customFormat="1" ht="20.45" customHeight="1">
      <c r="B25" s="293" t="s">
        <v>467</v>
      </c>
      <c r="C25" s="365"/>
      <c r="D25" s="365"/>
      <c r="E25" s="365"/>
      <c r="F25" s="366"/>
      <c r="G25" s="84"/>
    </row>
    <row r="26" spans="2:7" s="56" customFormat="1"/>
    <row r="27" spans="2:7" s="56" customFormat="1">
      <c r="B27" s="305" t="s">
        <v>279</v>
      </c>
      <c r="C27" s="306"/>
      <c r="D27" s="306"/>
      <c r="E27" s="306"/>
      <c r="F27" s="307"/>
      <c r="G27" s="82"/>
    </row>
    <row r="28" spans="2:7" s="56" customFormat="1">
      <c r="B28" s="351" t="s">
        <v>393</v>
      </c>
      <c r="C28" s="351"/>
      <c r="D28" s="351"/>
      <c r="E28" s="351"/>
      <c r="F28" s="351"/>
      <c r="G28" s="94"/>
    </row>
    <row r="29" spans="2:7" s="56" customFormat="1">
      <c r="B29" s="351" t="s">
        <v>394</v>
      </c>
      <c r="C29" s="351"/>
      <c r="D29" s="351"/>
      <c r="E29" s="351"/>
      <c r="F29" s="351"/>
      <c r="G29" s="94"/>
    </row>
    <row r="30" spans="2:7" s="56" customFormat="1">
      <c r="B30" s="351" t="s">
        <v>395</v>
      </c>
      <c r="C30" s="351"/>
      <c r="D30" s="351"/>
      <c r="E30" s="351"/>
      <c r="F30" s="351"/>
      <c r="G30" s="94"/>
    </row>
    <row r="31" spans="2:7" s="56" customFormat="1">
      <c r="B31" s="351" t="s">
        <v>396</v>
      </c>
      <c r="C31" s="351"/>
      <c r="D31" s="351"/>
      <c r="E31" s="351"/>
      <c r="F31" s="351"/>
      <c r="G31" s="94"/>
    </row>
    <row r="32" spans="2:7" s="56" customFormat="1"/>
    <row r="33" spans="2:7" s="56" customFormat="1">
      <c r="B33" s="305" t="s">
        <v>284</v>
      </c>
      <c r="C33" s="306"/>
      <c r="D33" s="306"/>
      <c r="E33" s="306"/>
      <c r="F33" s="307"/>
      <c r="G33" s="83"/>
    </row>
    <row r="34" spans="2:7" s="56" customFormat="1" ht="280.5" customHeight="1">
      <c r="B34" s="312" t="s">
        <v>483</v>
      </c>
      <c r="C34" s="294"/>
      <c r="D34" s="294"/>
      <c r="E34" s="294"/>
      <c r="F34" s="295"/>
      <c r="G34" s="85"/>
    </row>
    <row r="35" spans="2:7" s="56" customFormat="1" ht="16.5" customHeight="1">
      <c r="B35" s="60"/>
      <c r="C35" s="61"/>
      <c r="D35" s="61"/>
      <c r="E35" s="61"/>
      <c r="F35" s="61"/>
      <c r="G35" s="61"/>
    </row>
    <row r="36" spans="2:7" s="56" customFormat="1">
      <c r="B36" s="305" t="s">
        <v>324</v>
      </c>
      <c r="C36" s="306"/>
      <c r="D36" s="306"/>
      <c r="E36" s="306"/>
      <c r="F36" s="307"/>
      <c r="G36" s="83"/>
    </row>
    <row r="37" spans="2:7" s="56" customFormat="1">
      <c r="B37" s="100" t="s">
        <v>466</v>
      </c>
      <c r="C37" s="379"/>
      <c r="D37" s="379"/>
      <c r="E37" s="379"/>
      <c r="F37" s="379"/>
      <c r="G37" s="85"/>
    </row>
    <row r="38" spans="2:7" s="56" customFormat="1">
      <c r="B38" s="100" t="s">
        <v>337</v>
      </c>
      <c r="C38" s="379"/>
      <c r="D38" s="379"/>
      <c r="E38" s="379"/>
      <c r="F38" s="379"/>
      <c r="G38" s="85"/>
    </row>
    <row r="39" spans="2:7" s="56" customFormat="1">
      <c r="B39" s="100" t="s">
        <v>401</v>
      </c>
      <c r="C39" s="293"/>
      <c r="D39" s="294"/>
      <c r="E39" s="294"/>
      <c r="F39" s="295"/>
      <c r="G39" s="85"/>
    </row>
    <row r="40" spans="2:7" s="56" customFormat="1">
      <c r="B40" s="100" t="s">
        <v>338</v>
      </c>
      <c r="C40" s="379"/>
      <c r="D40" s="379"/>
      <c r="E40" s="379"/>
      <c r="F40" s="379"/>
      <c r="G40" s="85"/>
    </row>
    <row r="41" spans="2:7" s="56" customFormat="1"/>
    <row r="42" spans="2:7" s="56" customFormat="1">
      <c r="B42" s="305" t="s">
        <v>287</v>
      </c>
      <c r="C42" s="306"/>
      <c r="D42" s="306"/>
      <c r="E42" s="306"/>
      <c r="F42" s="307"/>
      <c r="G42" s="83"/>
    </row>
    <row r="43" spans="2:7" s="56" customFormat="1" ht="33.6" customHeight="1">
      <c r="B43" s="308" t="s">
        <v>484</v>
      </c>
      <c r="C43" s="294"/>
      <c r="D43" s="294"/>
      <c r="E43" s="294"/>
      <c r="F43" s="295"/>
      <c r="G43" s="61"/>
    </row>
    <row r="44" spans="2:7" s="56" customFormat="1"/>
    <row r="45" spans="2:7" s="56" customFormat="1" ht="30.95" customHeight="1">
      <c r="B45" s="313" t="s">
        <v>289</v>
      </c>
      <c r="C45" s="314"/>
      <c r="D45" s="314"/>
      <c r="E45" s="314"/>
      <c r="F45" s="315"/>
      <c r="G45" s="83"/>
    </row>
    <row r="46" spans="2:7" s="56" customFormat="1">
      <c r="B46" s="62" t="s">
        <v>290</v>
      </c>
      <c r="C46" s="62" t="s">
        <v>291</v>
      </c>
      <c r="D46" s="305" t="s">
        <v>292</v>
      </c>
      <c r="E46" s="306"/>
      <c r="F46" s="307"/>
      <c r="G46" s="83"/>
    </row>
    <row r="47" spans="2:7" s="56" customFormat="1">
      <c r="B47" s="100"/>
      <c r="C47" s="100"/>
      <c r="D47" s="316"/>
      <c r="E47" s="317"/>
      <c r="F47" s="318"/>
      <c r="G47" s="98"/>
    </row>
    <row r="48" spans="2:7" s="56" customFormat="1">
      <c r="B48" s="63"/>
      <c r="C48" s="63"/>
      <c r="D48" s="316"/>
      <c r="E48" s="317"/>
      <c r="F48" s="318"/>
      <c r="G48" s="98"/>
    </row>
    <row r="49" spans="2:7" s="56" customFormat="1">
      <c r="B49" s="64"/>
      <c r="C49" s="64"/>
      <c r="D49" s="316"/>
      <c r="E49" s="317"/>
      <c r="F49" s="318"/>
      <c r="G49" s="98"/>
    </row>
    <row r="50" spans="2:7" s="56" customFormat="1"/>
    <row r="51" spans="2:7" s="56" customFormat="1">
      <c r="B51" s="305" t="s">
        <v>293</v>
      </c>
      <c r="C51" s="306"/>
      <c r="D51" s="306"/>
      <c r="E51" s="306"/>
      <c r="F51" s="307"/>
      <c r="G51" s="83"/>
    </row>
    <row r="52" spans="2:7" s="56" customFormat="1" ht="297.75" customHeight="1">
      <c r="B52" s="308" t="s">
        <v>485</v>
      </c>
      <c r="C52" s="294"/>
      <c r="D52" s="294"/>
      <c r="E52" s="294"/>
      <c r="F52" s="295"/>
      <c r="G52" s="61"/>
    </row>
    <row r="53" spans="2:7" s="56" customFormat="1"/>
    <row r="1048538" spans="8:9">
      <c r="H1048538" s="83"/>
      <c r="I1048538" s="83"/>
    </row>
  </sheetData>
  <mergeCells count="38">
    <mergeCell ref="D49:F49"/>
    <mergeCell ref="B51:F51"/>
    <mergeCell ref="B52:F52"/>
    <mergeCell ref="B42:F42"/>
    <mergeCell ref="B43:F43"/>
    <mergeCell ref="B45:F45"/>
    <mergeCell ref="D46:F46"/>
    <mergeCell ref="D47:F47"/>
    <mergeCell ref="D48:F48"/>
    <mergeCell ref="B36:F36"/>
    <mergeCell ref="C37:F37"/>
    <mergeCell ref="C38:F38"/>
    <mergeCell ref="C39:F39"/>
    <mergeCell ref="C40:F40"/>
    <mergeCell ref="B22:F22"/>
    <mergeCell ref="B24:F24"/>
    <mergeCell ref="B34:F34"/>
    <mergeCell ref="B27:F27"/>
    <mergeCell ref="B28:F28"/>
    <mergeCell ref="B29:F29"/>
    <mergeCell ref="B30:F30"/>
    <mergeCell ref="B31:F31"/>
    <mergeCell ref="B25:F25"/>
    <mergeCell ref="B33:F33"/>
    <mergeCell ref="B19:F19"/>
    <mergeCell ref="B20:F20"/>
    <mergeCell ref="B21:F21"/>
    <mergeCell ref="C9:F9"/>
    <mergeCell ref="C5:F5"/>
    <mergeCell ref="C6:F6"/>
    <mergeCell ref="C7:F7"/>
    <mergeCell ref="C8:F8"/>
    <mergeCell ref="C10:F10"/>
    <mergeCell ref="B12:F12"/>
    <mergeCell ref="B13:C13"/>
    <mergeCell ref="D13:F13"/>
    <mergeCell ref="B14:C14"/>
    <mergeCell ref="D14:F14"/>
  </mergeCells>
  <dataValidations count="2">
    <dataValidation type="list" allowBlank="1" showInputMessage="1" showErrorMessage="1" sqref="C47:C49">
      <formula1>"Académique, Professionnel, Associatif, Autre"</formula1>
    </dataValidation>
    <dataValidation type="list" allowBlank="1" showInputMessage="1" showErrorMessage="1" sqref="C5">
      <formula1>"Mise à jour à partir du plan d'études, Nouvelle création"</formula1>
    </dataValidation>
  </dataValidations>
  <hyperlinks>
    <hyperlink ref="B1" location="'Schéma d''enseignement'!G29" display="Schéma d'enseignement"/>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theme="5"/>
  </sheetPr>
  <dimension ref="B1:I1048538"/>
  <sheetViews>
    <sheetView zoomScaleNormal="100" workbookViewId="0">
      <selection activeCell="B1" sqref="B1"/>
    </sheetView>
  </sheetViews>
  <sheetFormatPr baseColWidth="10" defaultColWidth="8.85546875" defaultRowHeight="15.75"/>
  <cols>
    <col min="1" max="1" width="1.140625" style="99" customWidth="1"/>
    <col min="2" max="2" width="29.42578125" style="99" customWidth="1"/>
    <col min="3" max="3" width="15.5703125" style="99" customWidth="1"/>
    <col min="4" max="4" width="11.85546875" style="99" customWidth="1"/>
    <col min="5" max="5" width="7" style="99" customWidth="1"/>
    <col min="6" max="6" width="21.8554687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54" t="s">
        <v>252</v>
      </c>
      <c r="C3" s="55"/>
      <c r="D3" s="55"/>
      <c r="E3" s="55"/>
      <c r="F3" s="55"/>
      <c r="G3" s="80"/>
    </row>
    <row r="4" spans="2:7" s="56" customFormat="1"/>
    <row r="5" spans="2:7" s="56" customFormat="1">
      <c r="B5" s="57" t="s">
        <v>253</v>
      </c>
      <c r="C5" s="291"/>
      <c r="D5" s="291"/>
      <c r="E5" s="291"/>
      <c r="F5" s="291"/>
      <c r="G5" s="81"/>
    </row>
    <row r="6" spans="2:7" s="56" customFormat="1">
      <c r="B6" s="58" t="s">
        <v>255</v>
      </c>
      <c r="C6" s="292" t="s">
        <v>256</v>
      </c>
      <c r="D6" s="292"/>
      <c r="E6" s="292"/>
      <c r="F6" s="292"/>
      <c r="G6" s="75"/>
    </row>
    <row r="7" spans="2:7" s="56" customFormat="1">
      <c r="B7" s="57" t="s">
        <v>257</v>
      </c>
      <c r="C7" s="291" t="s">
        <v>373</v>
      </c>
      <c r="D7" s="291"/>
      <c r="E7" s="291"/>
      <c r="F7" s="291"/>
      <c r="G7" s="81"/>
    </row>
    <row r="8" spans="2:7" s="56" customFormat="1">
      <c r="B8" s="57" t="s">
        <v>259</v>
      </c>
      <c r="C8" s="291" t="s">
        <v>260</v>
      </c>
      <c r="D8" s="291"/>
      <c r="E8" s="291"/>
      <c r="F8" s="291"/>
      <c r="G8" s="81"/>
    </row>
    <row r="9" spans="2:7" s="56" customFormat="1">
      <c r="B9" s="57" t="s">
        <v>261</v>
      </c>
      <c r="C9" s="291" t="s">
        <v>475</v>
      </c>
      <c r="D9" s="291"/>
      <c r="E9" s="291"/>
      <c r="F9" s="291"/>
      <c r="G9" s="81"/>
    </row>
    <row r="10" spans="2:7" s="56" customFormat="1">
      <c r="B10" s="57" t="s">
        <v>263</v>
      </c>
      <c r="C10" s="291">
        <v>4</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43201</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36.75" customHeight="1">
      <c r="B17" s="26" t="s">
        <v>192</v>
      </c>
      <c r="C17" s="21">
        <v>21</v>
      </c>
      <c r="D17" s="21">
        <v>2</v>
      </c>
      <c r="E17" s="21">
        <v>2</v>
      </c>
      <c r="F17" s="21" t="s">
        <v>272</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34.5" customHeight="1">
      <c r="B20" s="308" t="s">
        <v>474</v>
      </c>
      <c r="C20" s="365"/>
      <c r="D20" s="365"/>
      <c r="E20" s="365"/>
      <c r="F20" s="366"/>
      <c r="G20" s="84"/>
    </row>
    <row r="21" spans="2:7" s="56" customFormat="1">
      <c r="B21" s="305" t="s">
        <v>275</v>
      </c>
      <c r="C21" s="306"/>
      <c r="D21" s="306"/>
      <c r="E21" s="306"/>
      <c r="F21" s="307"/>
      <c r="G21" s="83"/>
    </row>
    <row r="22" spans="2:7" s="56" customFormat="1" ht="33.950000000000003" customHeight="1">
      <c r="B22" s="312" t="s">
        <v>705</v>
      </c>
      <c r="C22" s="294"/>
      <c r="D22" s="294"/>
      <c r="E22" s="294"/>
      <c r="F22" s="295"/>
      <c r="G22" s="85"/>
    </row>
    <row r="23" spans="2:7" s="56" customFormat="1"/>
    <row r="24" spans="2:7" s="56" customFormat="1">
      <c r="B24" s="305" t="s">
        <v>277</v>
      </c>
      <c r="C24" s="306"/>
      <c r="D24" s="306"/>
      <c r="E24" s="306"/>
      <c r="F24" s="307"/>
      <c r="G24" s="83"/>
    </row>
    <row r="25" spans="2:7" s="56" customFormat="1" ht="14.45" customHeight="1">
      <c r="B25" s="293" t="s">
        <v>473</v>
      </c>
      <c r="C25" s="365"/>
      <c r="D25" s="365"/>
      <c r="E25" s="365"/>
      <c r="F25" s="366"/>
      <c r="G25" s="84"/>
    </row>
    <row r="26" spans="2:7" s="56" customFormat="1"/>
    <row r="27" spans="2:7" s="56" customFormat="1">
      <c r="B27" s="305" t="s">
        <v>279</v>
      </c>
      <c r="C27" s="306"/>
      <c r="D27" s="306"/>
      <c r="E27" s="306"/>
      <c r="F27" s="307"/>
      <c r="G27" s="82"/>
    </row>
    <row r="28" spans="2:7" s="56" customFormat="1">
      <c r="B28" s="351" t="s">
        <v>377</v>
      </c>
      <c r="C28" s="351"/>
      <c r="D28" s="351"/>
      <c r="E28" s="351"/>
      <c r="F28" s="351"/>
      <c r="G28" s="94"/>
    </row>
    <row r="29" spans="2:7" s="56" customFormat="1">
      <c r="B29" s="351" t="s">
        <v>472</v>
      </c>
      <c r="C29" s="351"/>
      <c r="D29" s="351"/>
      <c r="E29" s="351"/>
      <c r="F29" s="351"/>
      <c r="G29" s="94"/>
    </row>
    <row r="30" spans="2:7" s="56" customFormat="1">
      <c r="B30" s="351" t="s">
        <v>160</v>
      </c>
      <c r="C30" s="351"/>
      <c r="D30" s="351"/>
      <c r="E30" s="351"/>
      <c r="F30" s="351"/>
      <c r="G30" s="94"/>
    </row>
    <row r="31" spans="2:7" s="56" customFormat="1"/>
    <row r="32" spans="2:7" s="56" customFormat="1">
      <c r="B32" s="305" t="s">
        <v>284</v>
      </c>
      <c r="C32" s="306"/>
      <c r="D32" s="306"/>
      <c r="E32" s="306"/>
      <c r="F32" s="307"/>
      <c r="G32" s="83"/>
    </row>
    <row r="33" spans="2:7" s="56" customFormat="1" ht="311.45" customHeight="1">
      <c r="B33" s="430" t="s">
        <v>706</v>
      </c>
      <c r="C33" s="391"/>
      <c r="D33" s="391"/>
      <c r="E33" s="391"/>
      <c r="F33" s="392"/>
      <c r="G33" s="85"/>
    </row>
    <row r="34" spans="2:7" s="56" customFormat="1" ht="16.5" customHeight="1">
      <c r="B34" s="60"/>
      <c r="C34" s="61"/>
      <c r="D34" s="61"/>
      <c r="E34" s="61"/>
      <c r="F34" s="61"/>
      <c r="G34" s="61"/>
    </row>
    <row r="35" spans="2:7" s="56" customFormat="1">
      <c r="B35" s="305" t="s">
        <v>324</v>
      </c>
      <c r="C35" s="306"/>
      <c r="D35" s="306"/>
      <c r="E35" s="306"/>
      <c r="F35" s="307"/>
      <c r="G35" s="83"/>
    </row>
    <row r="36" spans="2:7" s="56" customFormat="1">
      <c r="B36" s="100" t="s">
        <v>379</v>
      </c>
      <c r="C36" s="379"/>
      <c r="D36" s="379"/>
      <c r="E36" s="379"/>
      <c r="F36" s="379"/>
      <c r="G36" s="85"/>
    </row>
    <row r="37" spans="2:7" s="56" customFormat="1">
      <c r="B37" s="100" t="s">
        <v>361</v>
      </c>
      <c r="C37" s="379"/>
      <c r="D37" s="379"/>
      <c r="E37" s="379"/>
      <c r="F37" s="379"/>
      <c r="G37" s="85"/>
    </row>
    <row r="38" spans="2:7" s="56" customFormat="1">
      <c r="B38" s="100" t="s">
        <v>471</v>
      </c>
      <c r="C38" s="293"/>
      <c r="D38" s="294"/>
      <c r="E38" s="294"/>
      <c r="F38" s="295"/>
      <c r="G38" s="85"/>
    </row>
    <row r="39" spans="2:7" s="56" customFormat="1"/>
    <row r="40" spans="2:7" s="56" customFormat="1">
      <c r="B40" s="305" t="s">
        <v>287</v>
      </c>
      <c r="C40" s="306"/>
      <c r="D40" s="306"/>
      <c r="E40" s="306"/>
      <c r="F40" s="307"/>
      <c r="G40" s="83"/>
    </row>
    <row r="41" spans="2:7" s="56" customFormat="1" ht="18.95" customHeight="1">
      <c r="B41" s="293" t="s">
        <v>247</v>
      </c>
      <c r="C41" s="294"/>
      <c r="D41" s="294"/>
      <c r="E41" s="294"/>
      <c r="F41" s="295"/>
      <c r="G41" s="61"/>
    </row>
    <row r="42" spans="2:7" s="56" customFormat="1"/>
    <row r="43" spans="2:7" s="56" customFormat="1">
      <c r="B43" s="305" t="s">
        <v>289</v>
      </c>
      <c r="C43" s="306"/>
      <c r="D43" s="306"/>
      <c r="E43" s="306"/>
      <c r="F43" s="307"/>
      <c r="G43" s="83"/>
    </row>
    <row r="44" spans="2:7" s="56" customFormat="1">
      <c r="B44" s="62" t="s">
        <v>290</v>
      </c>
      <c r="C44" s="62" t="s">
        <v>291</v>
      </c>
      <c r="D44" s="305" t="s">
        <v>292</v>
      </c>
      <c r="E44" s="306"/>
      <c r="F44" s="307"/>
      <c r="G44" s="83"/>
    </row>
    <row r="45" spans="2:7" s="56" customFormat="1">
      <c r="B45" s="100"/>
      <c r="C45" s="63"/>
      <c r="D45" s="316"/>
      <c r="E45" s="317"/>
      <c r="F45" s="318"/>
      <c r="G45" s="98"/>
    </row>
    <row r="46" spans="2:7" s="56" customFormat="1">
      <c r="B46" s="63"/>
      <c r="C46" s="63"/>
      <c r="D46" s="316"/>
      <c r="E46" s="317"/>
      <c r="F46" s="318"/>
      <c r="G46" s="98"/>
    </row>
    <row r="47" spans="2:7" s="56" customFormat="1">
      <c r="B47" s="64"/>
      <c r="C47" s="64"/>
      <c r="D47" s="316"/>
      <c r="E47" s="317"/>
      <c r="F47" s="318"/>
      <c r="G47" s="98"/>
    </row>
    <row r="48" spans="2:7" s="56" customFormat="1"/>
    <row r="49" spans="2:7" s="56" customFormat="1">
      <c r="B49" s="305" t="s">
        <v>293</v>
      </c>
      <c r="C49" s="306"/>
      <c r="D49" s="306"/>
      <c r="E49" s="306"/>
      <c r="F49" s="307"/>
      <c r="G49" s="83"/>
    </row>
    <row r="50" spans="2:7" s="56" customFormat="1" ht="67.5" customHeight="1">
      <c r="B50" s="308" t="s">
        <v>708</v>
      </c>
      <c r="C50" s="294"/>
      <c r="D50" s="294"/>
      <c r="E50" s="294"/>
      <c r="F50" s="295"/>
      <c r="G50" s="61"/>
    </row>
    <row r="51" spans="2:7" s="56" customFormat="1"/>
    <row r="52" spans="2:7" s="56" customFormat="1">
      <c r="B52" s="305" t="s">
        <v>428</v>
      </c>
      <c r="C52" s="306"/>
      <c r="D52" s="306"/>
      <c r="E52" s="306"/>
      <c r="F52" s="307"/>
      <c r="G52" s="83"/>
    </row>
    <row r="53" spans="2:7" ht="19.5" customHeight="1">
      <c r="B53" s="308" t="s">
        <v>707</v>
      </c>
      <c r="C53" s="294"/>
      <c r="D53" s="294"/>
      <c r="E53" s="294"/>
      <c r="F53" s="295"/>
      <c r="G53" s="61"/>
    </row>
    <row r="1048538" spans="8:9">
      <c r="H1048538" s="83"/>
      <c r="I1048538" s="83"/>
    </row>
  </sheetData>
  <mergeCells count="38">
    <mergeCell ref="D47:F47"/>
    <mergeCell ref="B49:F49"/>
    <mergeCell ref="B50:F50"/>
    <mergeCell ref="B52:F52"/>
    <mergeCell ref="B53:F53"/>
    <mergeCell ref="D46:F46"/>
    <mergeCell ref="B35:F35"/>
    <mergeCell ref="C36:F36"/>
    <mergeCell ref="C37:F37"/>
    <mergeCell ref="C38:F38"/>
    <mergeCell ref="D45:F45"/>
    <mergeCell ref="B40:F40"/>
    <mergeCell ref="B41:F41"/>
    <mergeCell ref="B43:F43"/>
    <mergeCell ref="D44:F44"/>
    <mergeCell ref="B22:F22"/>
    <mergeCell ref="B24:F24"/>
    <mergeCell ref="B33:F33"/>
    <mergeCell ref="B27:F27"/>
    <mergeCell ref="B28:F28"/>
    <mergeCell ref="B29:F29"/>
    <mergeCell ref="B30:F30"/>
    <mergeCell ref="B25:F25"/>
    <mergeCell ref="B32:F32"/>
    <mergeCell ref="B19:F19"/>
    <mergeCell ref="B20:F20"/>
    <mergeCell ref="B21:F21"/>
    <mergeCell ref="C9:F9"/>
    <mergeCell ref="C5:F5"/>
    <mergeCell ref="C6:F6"/>
    <mergeCell ref="C7:F7"/>
    <mergeCell ref="C8:F8"/>
    <mergeCell ref="C10:F10"/>
    <mergeCell ref="B12:F12"/>
    <mergeCell ref="B13:C13"/>
    <mergeCell ref="D13:F13"/>
    <mergeCell ref="B14:C14"/>
    <mergeCell ref="D14:F14"/>
  </mergeCells>
  <dataValidations count="2">
    <dataValidation type="list" allowBlank="1" showInputMessage="1" showErrorMessage="1" sqref="C45:C47">
      <formula1>"Académique, Professionnel, Associatif, Autre"</formula1>
    </dataValidation>
    <dataValidation type="list" allowBlank="1" showInputMessage="1" showErrorMessage="1" sqref="C5">
      <formula1>"Mise à jour à partir du plan d'études, Nouvelle création"</formula1>
    </dataValidation>
  </dataValidations>
  <hyperlinks>
    <hyperlink ref="B1" location="'Schéma d''enseignement'!G30" display="Schéma d'enseignement"/>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2"/>
  <sheetViews>
    <sheetView workbookViewId="0">
      <selection activeCell="B1" sqref="B1"/>
    </sheetView>
  </sheetViews>
  <sheetFormatPr baseColWidth="10" defaultColWidth="8.85546875" defaultRowHeight="15.75"/>
  <cols>
    <col min="1" max="1" width="1.140625" style="99" customWidth="1"/>
    <col min="2" max="2" width="29.42578125" style="99" customWidth="1"/>
    <col min="3" max="3" width="15.5703125" style="99" customWidth="1"/>
    <col min="4" max="4" width="11.85546875" style="99" customWidth="1"/>
    <col min="5" max="5" width="31.140625" style="99" customWidth="1"/>
    <col min="6" max="6" width="32.5703125" style="99" customWidth="1"/>
    <col min="7" max="7" width="8.140625" style="99" customWidth="1"/>
    <col min="8" max="8" width="20.140625" style="99" customWidth="1"/>
    <col min="9" max="9" width="119.85546875" style="99" customWidth="1"/>
    <col min="10" max="10" width="11.5703125" style="99" customWidth="1"/>
    <col min="11" max="11" width="128.140625" style="99" customWidth="1"/>
    <col min="12" max="256" width="11.5703125" style="99" customWidth="1"/>
    <col min="257" max="16384" width="8.85546875" style="99"/>
  </cols>
  <sheetData>
    <row r="1" spans="2:10">
      <c r="B1" s="192" t="s">
        <v>783</v>
      </c>
    </row>
    <row r="2" spans="2:10">
      <c r="B2" s="393" t="s">
        <v>738</v>
      </c>
      <c r="C2" s="394"/>
      <c r="D2" s="394"/>
      <c r="E2" s="394"/>
      <c r="F2" s="394"/>
      <c r="G2" s="394"/>
      <c r="H2" s="394"/>
      <c r="I2" s="395"/>
      <c r="J2" s="180"/>
    </row>
    <row r="4" spans="2:10">
      <c r="B4" s="54" t="s">
        <v>252</v>
      </c>
      <c r="C4" s="55"/>
      <c r="D4" s="55"/>
      <c r="E4" s="55"/>
      <c r="F4" s="55"/>
      <c r="G4" s="80"/>
    </row>
    <row r="5" spans="2:10" s="56" customFormat="1"/>
    <row r="6" spans="2:10" s="56" customFormat="1">
      <c r="B6" s="57" t="s">
        <v>253</v>
      </c>
      <c r="C6" s="291" t="s">
        <v>254</v>
      </c>
      <c r="D6" s="291"/>
      <c r="E6" s="291"/>
      <c r="F6" s="291"/>
      <c r="G6" s="81"/>
    </row>
    <row r="7" spans="2:10" s="56" customFormat="1">
      <c r="B7" s="144" t="s">
        <v>255</v>
      </c>
      <c r="C7" s="292" t="s">
        <v>750</v>
      </c>
      <c r="D7" s="292"/>
      <c r="E7" s="292"/>
      <c r="F7" s="292"/>
      <c r="G7" s="75"/>
    </row>
    <row r="8" spans="2:10" s="56" customFormat="1">
      <c r="B8" s="57" t="s">
        <v>257</v>
      </c>
      <c r="C8" s="291" t="s">
        <v>584</v>
      </c>
      <c r="D8" s="291"/>
      <c r="E8" s="291"/>
      <c r="F8" s="291"/>
      <c r="G8" s="81"/>
    </row>
    <row r="9" spans="2:10" s="56" customFormat="1">
      <c r="B9" s="57" t="s">
        <v>259</v>
      </c>
      <c r="C9" s="291" t="s">
        <v>740</v>
      </c>
      <c r="D9" s="291"/>
      <c r="E9" s="291"/>
      <c r="F9" s="291"/>
      <c r="G9" s="81"/>
    </row>
    <row r="10" spans="2:10" s="56" customFormat="1">
      <c r="B10" s="57" t="s">
        <v>261</v>
      </c>
      <c r="C10" s="291" t="s">
        <v>197</v>
      </c>
      <c r="D10" s="291"/>
      <c r="E10" s="291"/>
      <c r="F10" s="291"/>
      <c r="G10" s="81"/>
    </row>
    <row r="11" spans="2:10" s="56" customFormat="1">
      <c r="B11" s="57" t="s">
        <v>263</v>
      </c>
      <c r="C11" s="291">
        <v>4</v>
      </c>
      <c r="D11" s="291"/>
      <c r="E11" s="291"/>
      <c r="F11" s="291"/>
      <c r="G11" s="81"/>
    </row>
    <row r="12" spans="2:10" s="56" customFormat="1"/>
    <row r="13" spans="2:10" s="56" customFormat="1">
      <c r="B13" s="296" t="s">
        <v>264</v>
      </c>
      <c r="C13" s="296"/>
      <c r="D13" s="296"/>
      <c r="E13" s="296"/>
      <c r="F13" s="296"/>
      <c r="G13" s="82"/>
    </row>
    <row r="14" spans="2:10" s="56" customFormat="1">
      <c r="B14" s="297" t="s">
        <v>265</v>
      </c>
      <c r="C14" s="298"/>
      <c r="D14" s="296" t="s">
        <v>266</v>
      </c>
      <c r="E14" s="296"/>
      <c r="F14" s="296"/>
      <c r="G14" s="82"/>
    </row>
    <row r="15" spans="2:10" s="56" customFormat="1">
      <c r="B15" s="299"/>
      <c r="C15" s="300"/>
      <c r="D15" s="291"/>
      <c r="E15" s="291"/>
      <c r="F15" s="291"/>
      <c r="G15" s="81"/>
    </row>
    <row r="16" spans="2:10" s="56" customFormat="1"/>
    <row r="17" spans="2:7" s="56" customFormat="1">
      <c r="B17" s="59" t="s">
        <v>267</v>
      </c>
      <c r="C17" s="59" t="s">
        <v>268</v>
      </c>
      <c r="D17" s="59" t="s">
        <v>269</v>
      </c>
      <c r="E17" s="59" t="s">
        <v>270</v>
      </c>
      <c r="F17" s="59" t="s">
        <v>271</v>
      </c>
      <c r="G17" s="82"/>
    </row>
    <row r="18" spans="2:7" s="56" customFormat="1">
      <c r="B18" s="26" t="s">
        <v>750</v>
      </c>
      <c r="C18" s="21">
        <v>21</v>
      </c>
      <c r="D18" s="21">
        <v>2</v>
      </c>
      <c r="E18" s="21">
        <v>2</v>
      </c>
      <c r="F18" s="21" t="s">
        <v>272</v>
      </c>
      <c r="G18" s="75"/>
    </row>
    <row r="19" spans="2:7" s="56" customFormat="1">
      <c r="B19" s="74"/>
      <c r="C19" s="75"/>
      <c r="D19" s="75"/>
      <c r="E19" s="75"/>
      <c r="F19" s="75"/>
      <c r="G19" s="75"/>
    </row>
    <row r="20" spans="2:7" s="56" customFormat="1">
      <c r="B20" s="305" t="s">
        <v>273</v>
      </c>
      <c r="C20" s="306"/>
      <c r="D20" s="306"/>
      <c r="E20" s="306"/>
      <c r="F20" s="307"/>
      <c r="G20" s="83"/>
    </row>
    <row r="21" spans="2:7" s="56" customFormat="1">
      <c r="B21" s="308" t="s">
        <v>751</v>
      </c>
      <c r="C21" s="365"/>
      <c r="D21" s="365"/>
      <c r="E21" s="365"/>
      <c r="F21" s="366"/>
      <c r="G21" s="84"/>
    </row>
    <row r="22" spans="2:7" s="56" customFormat="1">
      <c r="B22" s="305" t="s">
        <v>275</v>
      </c>
      <c r="C22" s="306"/>
      <c r="D22" s="306"/>
      <c r="E22" s="306"/>
      <c r="F22" s="307"/>
      <c r="G22" s="83"/>
    </row>
    <row r="23" spans="2:7" s="56" customFormat="1">
      <c r="B23" s="308" t="s">
        <v>752</v>
      </c>
      <c r="C23" s="294"/>
      <c r="D23" s="294"/>
      <c r="E23" s="294"/>
      <c r="F23" s="295"/>
      <c r="G23" s="143"/>
    </row>
    <row r="24" spans="2:7" s="56" customFormat="1"/>
    <row r="25" spans="2:7" s="56" customFormat="1">
      <c r="B25" s="305" t="s">
        <v>277</v>
      </c>
      <c r="C25" s="306"/>
      <c r="D25" s="306"/>
      <c r="E25" s="306"/>
      <c r="F25" s="307"/>
      <c r="G25" s="83"/>
    </row>
    <row r="26" spans="2:7" s="56" customFormat="1">
      <c r="B26" s="293" t="s">
        <v>753</v>
      </c>
      <c r="C26" s="365"/>
      <c r="D26" s="365"/>
      <c r="E26" s="365"/>
      <c r="F26" s="366"/>
      <c r="G26" s="84"/>
    </row>
    <row r="27" spans="2:7" s="56" customFormat="1"/>
    <row r="28" spans="2:7" s="56" customFormat="1">
      <c r="B28" s="305" t="s">
        <v>279</v>
      </c>
      <c r="C28" s="306"/>
      <c r="D28" s="306"/>
      <c r="E28" s="306"/>
      <c r="F28" s="307"/>
      <c r="G28" s="82"/>
    </row>
    <row r="29" spans="2:7" s="56" customFormat="1">
      <c r="B29" s="384" t="s">
        <v>745</v>
      </c>
      <c r="C29" s="385"/>
      <c r="D29" s="385"/>
      <c r="E29" s="385"/>
      <c r="F29" s="386"/>
      <c r="G29" s="94"/>
    </row>
    <row r="30" spans="2:7" s="56" customFormat="1">
      <c r="B30" s="384" t="s">
        <v>746</v>
      </c>
      <c r="C30" s="385"/>
      <c r="D30" s="385"/>
      <c r="E30" s="385"/>
      <c r="F30" s="386"/>
      <c r="G30" s="94"/>
    </row>
    <row r="31" spans="2:7" s="56" customFormat="1">
      <c r="B31" s="384" t="s">
        <v>747</v>
      </c>
      <c r="C31" s="385"/>
      <c r="D31" s="385"/>
      <c r="E31" s="385"/>
      <c r="F31" s="386"/>
      <c r="G31" s="94"/>
    </row>
    <row r="32" spans="2:7" s="56" customFormat="1">
      <c r="G32" s="94"/>
    </row>
    <row r="33" spans="2:7" s="56" customFormat="1">
      <c r="B33" s="384"/>
      <c r="C33" s="385"/>
      <c r="D33" s="385"/>
      <c r="E33" s="385"/>
      <c r="F33" s="386"/>
      <c r="G33" s="94"/>
    </row>
    <row r="34" spans="2:7" s="56" customFormat="1">
      <c r="B34" s="384"/>
      <c r="C34" s="385"/>
      <c r="D34" s="385"/>
      <c r="E34" s="385"/>
      <c r="F34" s="386"/>
      <c r="G34" s="94"/>
    </row>
    <row r="35" spans="2:7" s="56" customFormat="1">
      <c r="B35" s="384"/>
      <c r="C35" s="385"/>
      <c r="D35" s="385"/>
      <c r="E35" s="385"/>
      <c r="F35" s="386"/>
      <c r="G35" s="94"/>
    </row>
    <row r="36" spans="2:7" s="56" customFormat="1">
      <c r="B36" s="384"/>
      <c r="C36" s="385"/>
      <c r="D36" s="385"/>
      <c r="E36" s="385"/>
      <c r="F36" s="386"/>
      <c r="G36" s="94"/>
    </row>
    <row r="37" spans="2:7" s="56" customFormat="1">
      <c r="B37" s="387"/>
      <c r="C37" s="388"/>
      <c r="D37" s="388"/>
      <c r="E37" s="388"/>
      <c r="F37" s="389"/>
      <c r="G37" s="143"/>
    </row>
    <row r="38" spans="2:7" s="56" customFormat="1"/>
    <row r="39" spans="2:7" s="56" customFormat="1">
      <c r="B39" s="305" t="s">
        <v>284</v>
      </c>
      <c r="C39" s="306"/>
      <c r="D39" s="306"/>
      <c r="E39" s="306"/>
      <c r="F39" s="307"/>
      <c r="G39" s="83"/>
    </row>
    <row r="40" spans="2:7" s="56" customFormat="1" ht="277.35000000000002" customHeight="1">
      <c r="B40" s="431" t="s">
        <v>748</v>
      </c>
      <c r="C40" s="391"/>
      <c r="D40" s="391"/>
      <c r="E40" s="391"/>
      <c r="F40" s="392"/>
      <c r="G40" s="143"/>
    </row>
    <row r="41" spans="2:7" s="56" customFormat="1">
      <c r="B41" s="60"/>
      <c r="C41" s="61"/>
      <c r="D41" s="61"/>
      <c r="E41" s="61"/>
      <c r="F41" s="61"/>
      <c r="G41" s="61"/>
    </row>
    <row r="42" spans="2:7" s="56" customFormat="1">
      <c r="B42" s="305" t="s">
        <v>749</v>
      </c>
      <c r="C42" s="306"/>
      <c r="D42" s="306"/>
      <c r="E42" s="306"/>
      <c r="F42" s="307"/>
      <c r="G42" s="83"/>
    </row>
    <row r="43" spans="2:7" s="56" customFormat="1">
      <c r="B43" s="100" t="s">
        <v>587</v>
      </c>
      <c r="C43" s="379"/>
      <c r="D43" s="379"/>
      <c r="E43" s="379"/>
      <c r="F43" s="379"/>
      <c r="G43" s="143"/>
    </row>
    <row r="44" spans="2:7" s="56" customFormat="1">
      <c r="B44" s="100" t="s">
        <v>589</v>
      </c>
      <c r="C44" s="379"/>
      <c r="D44" s="379"/>
      <c r="E44" s="379"/>
      <c r="F44" s="379"/>
      <c r="G44" s="143"/>
    </row>
    <row r="45" spans="2:7" s="56" customFormat="1">
      <c r="B45" s="100" t="s">
        <v>591</v>
      </c>
      <c r="C45" s="293"/>
      <c r="D45" s="294"/>
      <c r="E45" s="294"/>
      <c r="F45" s="295"/>
      <c r="G45" s="143"/>
    </row>
    <row r="46" spans="2:7" s="56" customFormat="1">
      <c r="B46" s="100"/>
      <c r="C46" s="379"/>
      <c r="D46" s="379"/>
      <c r="E46" s="379"/>
      <c r="F46" s="379"/>
      <c r="G46" s="143"/>
    </row>
    <row r="47" spans="2:7" s="56" customFormat="1">
      <c r="B47" s="100"/>
      <c r="C47" s="379"/>
      <c r="D47" s="379"/>
      <c r="E47" s="379"/>
      <c r="F47" s="379"/>
      <c r="G47" s="143"/>
    </row>
    <row r="48" spans="2:7" s="56" customFormat="1"/>
    <row r="49" spans="1:7" s="56" customFormat="1">
      <c r="B49" s="305" t="s">
        <v>287</v>
      </c>
      <c r="C49" s="306"/>
      <c r="D49" s="306"/>
      <c r="E49" s="306"/>
      <c r="F49" s="307"/>
      <c r="G49" s="83"/>
    </row>
    <row r="50" spans="1:7" s="56" customFormat="1">
      <c r="B50" s="293"/>
      <c r="C50" s="294"/>
      <c r="D50" s="294"/>
      <c r="E50" s="294"/>
      <c r="F50" s="295"/>
      <c r="G50" s="61"/>
    </row>
    <row r="51" spans="1:7" s="56" customFormat="1"/>
    <row r="52" spans="1:7" s="56" customFormat="1">
      <c r="B52" s="305" t="s">
        <v>289</v>
      </c>
      <c r="C52" s="306"/>
      <c r="D52" s="306"/>
      <c r="E52" s="306"/>
      <c r="F52" s="307"/>
      <c r="G52" s="83"/>
    </row>
    <row r="53" spans="1:7" s="56" customFormat="1">
      <c r="B53" s="62" t="s">
        <v>290</v>
      </c>
      <c r="C53" s="62" t="s">
        <v>291</v>
      </c>
      <c r="D53" s="305" t="s">
        <v>292</v>
      </c>
      <c r="E53" s="306"/>
      <c r="F53" s="307"/>
      <c r="G53" s="83"/>
    </row>
    <row r="54" spans="1:7" s="56" customFormat="1">
      <c r="A54" s="181"/>
      <c r="B54" s="100"/>
      <c r="C54" s="100"/>
      <c r="D54" s="370"/>
      <c r="E54" s="317"/>
      <c r="F54" s="318"/>
      <c r="G54" s="98"/>
    </row>
    <row r="55" spans="1:7" s="56" customFormat="1">
      <c r="B55" s="63"/>
      <c r="C55" s="63"/>
      <c r="D55" s="316"/>
      <c r="E55" s="317"/>
      <c r="F55" s="318"/>
      <c r="G55" s="98"/>
    </row>
    <row r="56" spans="1:7" s="56" customFormat="1">
      <c r="B56" s="64"/>
      <c r="C56" s="64"/>
      <c r="D56" s="316"/>
      <c r="E56" s="317"/>
      <c r="F56" s="318"/>
      <c r="G56" s="98"/>
    </row>
    <row r="57" spans="1:7" s="56" customFormat="1"/>
    <row r="58" spans="1:7" s="56" customFormat="1">
      <c r="B58" s="305" t="s">
        <v>293</v>
      </c>
      <c r="C58" s="306"/>
      <c r="D58" s="306"/>
      <c r="E58" s="306"/>
      <c r="F58" s="307"/>
      <c r="G58" s="83"/>
    </row>
    <row r="59" spans="1:7" s="56" customFormat="1">
      <c r="B59" s="381"/>
      <c r="C59" s="382"/>
      <c r="D59" s="382"/>
      <c r="E59" s="382"/>
      <c r="F59" s="383"/>
      <c r="G59" s="61"/>
    </row>
    <row r="60" spans="1:7" s="56" customFormat="1"/>
    <row r="61" spans="1:7" s="56" customFormat="1">
      <c r="B61" s="305" t="s">
        <v>428</v>
      </c>
      <c r="C61" s="306"/>
      <c r="D61" s="306"/>
      <c r="E61" s="306"/>
      <c r="F61" s="307"/>
      <c r="G61" s="83"/>
    </row>
    <row r="62" spans="1:7">
      <c r="B62" s="381"/>
      <c r="C62" s="382"/>
      <c r="D62" s="382"/>
      <c r="E62" s="382"/>
      <c r="F62" s="383"/>
      <c r="G62" s="61"/>
    </row>
  </sheetData>
  <mergeCells count="46">
    <mergeCell ref="C10:F10"/>
    <mergeCell ref="B2:I2"/>
    <mergeCell ref="C6:F6"/>
    <mergeCell ref="C7:F7"/>
    <mergeCell ref="C8:F8"/>
    <mergeCell ref="C9:F9"/>
    <mergeCell ref="C11:F11"/>
    <mergeCell ref="B13:F13"/>
    <mergeCell ref="B14:C14"/>
    <mergeCell ref="D14:F14"/>
    <mergeCell ref="B15:C15"/>
    <mergeCell ref="D15:F15"/>
    <mergeCell ref="B34:F34"/>
    <mergeCell ref="B20:F20"/>
    <mergeCell ref="B21:F21"/>
    <mergeCell ref="B22:F22"/>
    <mergeCell ref="B23:F23"/>
    <mergeCell ref="B25:F25"/>
    <mergeCell ref="B26:F26"/>
    <mergeCell ref="B28:F28"/>
    <mergeCell ref="B29:F29"/>
    <mergeCell ref="B30:F30"/>
    <mergeCell ref="B31:F31"/>
    <mergeCell ref="B33:F33"/>
    <mergeCell ref="B49:F49"/>
    <mergeCell ref="B35:F35"/>
    <mergeCell ref="B36:F36"/>
    <mergeCell ref="B37:F37"/>
    <mergeCell ref="B39:F39"/>
    <mergeCell ref="B40:F40"/>
    <mergeCell ref="B42:F42"/>
    <mergeCell ref="C43:F43"/>
    <mergeCell ref="C44:F44"/>
    <mergeCell ref="C45:F45"/>
    <mergeCell ref="C46:F46"/>
    <mergeCell ref="C47:F47"/>
    <mergeCell ref="B58:F58"/>
    <mergeCell ref="B59:F59"/>
    <mergeCell ref="B61:F61"/>
    <mergeCell ref="B62:F62"/>
    <mergeCell ref="B50:F50"/>
    <mergeCell ref="B52:F52"/>
    <mergeCell ref="D53:F53"/>
    <mergeCell ref="D54:F54"/>
    <mergeCell ref="D55:F55"/>
    <mergeCell ref="D56:F56"/>
  </mergeCells>
  <dataValidations count="2">
    <dataValidation type="list" allowBlank="1" showInputMessage="1" showErrorMessage="1" sqref="C54:C56 IY54:IY56 SU54:SU56 ACQ54:ACQ56 AMM54:AMM56 AWI54:AWI56 BGE54:BGE56 BQA54:BQA56 BZW54:BZW56 CJS54:CJS56 CTO54:CTO56 DDK54:DDK56 DNG54:DNG56 DXC54:DXC56 EGY54:EGY56 EQU54:EQU56 FAQ54:FAQ56 FKM54:FKM56 FUI54:FUI56 GEE54:GEE56 GOA54:GOA56 GXW54:GXW56 HHS54:HHS56 HRO54:HRO56 IBK54:IBK56 ILG54:ILG56 IVC54:IVC56 JEY54:JEY56 JOU54:JOU56 JYQ54:JYQ56 KIM54:KIM56 KSI54:KSI56 LCE54:LCE56 LMA54:LMA56 LVW54:LVW56 MFS54:MFS56 MPO54:MPO56 MZK54:MZK56 NJG54:NJG56 NTC54:NTC56 OCY54:OCY56 OMU54:OMU56 OWQ54:OWQ56 PGM54:PGM56 PQI54:PQI56 QAE54:QAE56 QKA54:QKA56 QTW54:QTW56 RDS54:RDS56 RNO54:RNO56 RXK54:RXK56 SHG54:SHG56 SRC54:SRC56 TAY54:TAY56 TKU54:TKU56 TUQ54:TUQ56 UEM54:UEM56 UOI54:UOI56 UYE54:UYE56 VIA54:VIA56 VRW54:VRW56 WBS54:WBS56 WLO54:WLO56 WVK54:WVK56 C65590:C65592 IY65590:IY65592 SU65590:SU65592 ACQ65590:ACQ65592 AMM65590:AMM65592 AWI65590:AWI65592 BGE65590:BGE65592 BQA65590:BQA65592 BZW65590:BZW65592 CJS65590:CJS65592 CTO65590:CTO65592 DDK65590:DDK65592 DNG65590:DNG65592 DXC65590:DXC65592 EGY65590:EGY65592 EQU65590:EQU65592 FAQ65590:FAQ65592 FKM65590:FKM65592 FUI65590:FUI65592 GEE65590:GEE65592 GOA65590:GOA65592 GXW65590:GXW65592 HHS65590:HHS65592 HRO65590:HRO65592 IBK65590:IBK65592 ILG65590:ILG65592 IVC65590:IVC65592 JEY65590:JEY65592 JOU65590:JOU65592 JYQ65590:JYQ65592 KIM65590:KIM65592 KSI65590:KSI65592 LCE65590:LCE65592 LMA65590:LMA65592 LVW65590:LVW65592 MFS65590:MFS65592 MPO65590:MPO65592 MZK65590:MZK65592 NJG65590:NJG65592 NTC65590:NTC65592 OCY65590:OCY65592 OMU65590:OMU65592 OWQ65590:OWQ65592 PGM65590:PGM65592 PQI65590:PQI65592 QAE65590:QAE65592 QKA65590:QKA65592 QTW65590:QTW65592 RDS65590:RDS65592 RNO65590:RNO65592 RXK65590:RXK65592 SHG65590:SHG65592 SRC65590:SRC65592 TAY65590:TAY65592 TKU65590:TKU65592 TUQ65590:TUQ65592 UEM65590:UEM65592 UOI65590:UOI65592 UYE65590:UYE65592 VIA65590:VIA65592 VRW65590:VRW65592 WBS65590:WBS65592 WLO65590:WLO65592 WVK65590:WVK65592 C131126:C131128 IY131126:IY131128 SU131126:SU131128 ACQ131126:ACQ131128 AMM131126:AMM131128 AWI131126:AWI131128 BGE131126:BGE131128 BQA131126:BQA131128 BZW131126:BZW131128 CJS131126:CJS131128 CTO131126:CTO131128 DDK131126:DDK131128 DNG131126:DNG131128 DXC131126:DXC131128 EGY131126:EGY131128 EQU131126:EQU131128 FAQ131126:FAQ131128 FKM131126:FKM131128 FUI131126:FUI131128 GEE131126:GEE131128 GOA131126:GOA131128 GXW131126:GXW131128 HHS131126:HHS131128 HRO131126:HRO131128 IBK131126:IBK131128 ILG131126:ILG131128 IVC131126:IVC131128 JEY131126:JEY131128 JOU131126:JOU131128 JYQ131126:JYQ131128 KIM131126:KIM131128 KSI131126:KSI131128 LCE131126:LCE131128 LMA131126:LMA131128 LVW131126:LVW131128 MFS131126:MFS131128 MPO131126:MPO131128 MZK131126:MZK131128 NJG131126:NJG131128 NTC131126:NTC131128 OCY131126:OCY131128 OMU131126:OMU131128 OWQ131126:OWQ131128 PGM131126:PGM131128 PQI131126:PQI131128 QAE131126:QAE131128 QKA131126:QKA131128 QTW131126:QTW131128 RDS131126:RDS131128 RNO131126:RNO131128 RXK131126:RXK131128 SHG131126:SHG131128 SRC131126:SRC131128 TAY131126:TAY131128 TKU131126:TKU131128 TUQ131126:TUQ131128 UEM131126:UEM131128 UOI131126:UOI131128 UYE131126:UYE131128 VIA131126:VIA131128 VRW131126:VRW131128 WBS131126:WBS131128 WLO131126:WLO131128 WVK131126:WVK131128 C196662:C196664 IY196662:IY196664 SU196662:SU196664 ACQ196662:ACQ196664 AMM196662:AMM196664 AWI196662:AWI196664 BGE196662:BGE196664 BQA196662:BQA196664 BZW196662:BZW196664 CJS196662:CJS196664 CTO196662:CTO196664 DDK196662:DDK196664 DNG196662:DNG196664 DXC196662:DXC196664 EGY196662:EGY196664 EQU196662:EQU196664 FAQ196662:FAQ196664 FKM196662:FKM196664 FUI196662:FUI196664 GEE196662:GEE196664 GOA196662:GOA196664 GXW196662:GXW196664 HHS196662:HHS196664 HRO196662:HRO196664 IBK196662:IBK196664 ILG196662:ILG196664 IVC196662:IVC196664 JEY196662:JEY196664 JOU196662:JOU196664 JYQ196662:JYQ196664 KIM196662:KIM196664 KSI196662:KSI196664 LCE196662:LCE196664 LMA196662:LMA196664 LVW196662:LVW196664 MFS196662:MFS196664 MPO196662:MPO196664 MZK196662:MZK196664 NJG196662:NJG196664 NTC196662:NTC196664 OCY196662:OCY196664 OMU196662:OMU196664 OWQ196662:OWQ196664 PGM196662:PGM196664 PQI196662:PQI196664 QAE196662:QAE196664 QKA196662:QKA196664 QTW196662:QTW196664 RDS196662:RDS196664 RNO196662:RNO196664 RXK196662:RXK196664 SHG196662:SHG196664 SRC196662:SRC196664 TAY196662:TAY196664 TKU196662:TKU196664 TUQ196662:TUQ196664 UEM196662:UEM196664 UOI196662:UOI196664 UYE196662:UYE196664 VIA196662:VIA196664 VRW196662:VRW196664 WBS196662:WBS196664 WLO196662:WLO196664 WVK196662:WVK196664 C262198:C262200 IY262198:IY262200 SU262198:SU262200 ACQ262198:ACQ262200 AMM262198:AMM262200 AWI262198:AWI262200 BGE262198:BGE262200 BQA262198:BQA262200 BZW262198:BZW262200 CJS262198:CJS262200 CTO262198:CTO262200 DDK262198:DDK262200 DNG262198:DNG262200 DXC262198:DXC262200 EGY262198:EGY262200 EQU262198:EQU262200 FAQ262198:FAQ262200 FKM262198:FKM262200 FUI262198:FUI262200 GEE262198:GEE262200 GOA262198:GOA262200 GXW262198:GXW262200 HHS262198:HHS262200 HRO262198:HRO262200 IBK262198:IBK262200 ILG262198:ILG262200 IVC262198:IVC262200 JEY262198:JEY262200 JOU262198:JOU262200 JYQ262198:JYQ262200 KIM262198:KIM262200 KSI262198:KSI262200 LCE262198:LCE262200 LMA262198:LMA262200 LVW262198:LVW262200 MFS262198:MFS262200 MPO262198:MPO262200 MZK262198:MZK262200 NJG262198:NJG262200 NTC262198:NTC262200 OCY262198:OCY262200 OMU262198:OMU262200 OWQ262198:OWQ262200 PGM262198:PGM262200 PQI262198:PQI262200 QAE262198:QAE262200 QKA262198:QKA262200 QTW262198:QTW262200 RDS262198:RDS262200 RNO262198:RNO262200 RXK262198:RXK262200 SHG262198:SHG262200 SRC262198:SRC262200 TAY262198:TAY262200 TKU262198:TKU262200 TUQ262198:TUQ262200 UEM262198:UEM262200 UOI262198:UOI262200 UYE262198:UYE262200 VIA262198:VIA262200 VRW262198:VRW262200 WBS262198:WBS262200 WLO262198:WLO262200 WVK262198:WVK262200 C327734:C327736 IY327734:IY327736 SU327734:SU327736 ACQ327734:ACQ327736 AMM327734:AMM327736 AWI327734:AWI327736 BGE327734:BGE327736 BQA327734:BQA327736 BZW327734:BZW327736 CJS327734:CJS327736 CTO327734:CTO327736 DDK327734:DDK327736 DNG327734:DNG327736 DXC327734:DXC327736 EGY327734:EGY327736 EQU327734:EQU327736 FAQ327734:FAQ327736 FKM327734:FKM327736 FUI327734:FUI327736 GEE327734:GEE327736 GOA327734:GOA327736 GXW327734:GXW327736 HHS327734:HHS327736 HRO327734:HRO327736 IBK327734:IBK327736 ILG327734:ILG327736 IVC327734:IVC327736 JEY327734:JEY327736 JOU327734:JOU327736 JYQ327734:JYQ327736 KIM327734:KIM327736 KSI327734:KSI327736 LCE327734:LCE327736 LMA327734:LMA327736 LVW327734:LVW327736 MFS327734:MFS327736 MPO327734:MPO327736 MZK327734:MZK327736 NJG327734:NJG327736 NTC327734:NTC327736 OCY327734:OCY327736 OMU327734:OMU327736 OWQ327734:OWQ327736 PGM327734:PGM327736 PQI327734:PQI327736 QAE327734:QAE327736 QKA327734:QKA327736 QTW327734:QTW327736 RDS327734:RDS327736 RNO327734:RNO327736 RXK327734:RXK327736 SHG327734:SHG327736 SRC327734:SRC327736 TAY327734:TAY327736 TKU327734:TKU327736 TUQ327734:TUQ327736 UEM327734:UEM327736 UOI327734:UOI327736 UYE327734:UYE327736 VIA327734:VIA327736 VRW327734:VRW327736 WBS327734:WBS327736 WLO327734:WLO327736 WVK327734:WVK327736 C393270:C393272 IY393270:IY393272 SU393270:SU393272 ACQ393270:ACQ393272 AMM393270:AMM393272 AWI393270:AWI393272 BGE393270:BGE393272 BQA393270:BQA393272 BZW393270:BZW393272 CJS393270:CJS393272 CTO393270:CTO393272 DDK393270:DDK393272 DNG393270:DNG393272 DXC393270:DXC393272 EGY393270:EGY393272 EQU393270:EQU393272 FAQ393270:FAQ393272 FKM393270:FKM393272 FUI393270:FUI393272 GEE393270:GEE393272 GOA393270:GOA393272 GXW393270:GXW393272 HHS393270:HHS393272 HRO393270:HRO393272 IBK393270:IBK393272 ILG393270:ILG393272 IVC393270:IVC393272 JEY393270:JEY393272 JOU393270:JOU393272 JYQ393270:JYQ393272 KIM393270:KIM393272 KSI393270:KSI393272 LCE393270:LCE393272 LMA393270:LMA393272 LVW393270:LVW393272 MFS393270:MFS393272 MPO393270:MPO393272 MZK393270:MZK393272 NJG393270:NJG393272 NTC393270:NTC393272 OCY393270:OCY393272 OMU393270:OMU393272 OWQ393270:OWQ393272 PGM393270:PGM393272 PQI393270:PQI393272 QAE393270:QAE393272 QKA393270:QKA393272 QTW393270:QTW393272 RDS393270:RDS393272 RNO393270:RNO393272 RXK393270:RXK393272 SHG393270:SHG393272 SRC393270:SRC393272 TAY393270:TAY393272 TKU393270:TKU393272 TUQ393270:TUQ393272 UEM393270:UEM393272 UOI393270:UOI393272 UYE393270:UYE393272 VIA393270:VIA393272 VRW393270:VRW393272 WBS393270:WBS393272 WLO393270:WLO393272 WVK393270:WVK393272 C458806:C458808 IY458806:IY458808 SU458806:SU458808 ACQ458806:ACQ458808 AMM458806:AMM458808 AWI458806:AWI458808 BGE458806:BGE458808 BQA458806:BQA458808 BZW458806:BZW458808 CJS458806:CJS458808 CTO458806:CTO458808 DDK458806:DDK458808 DNG458806:DNG458808 DXC458806:DXC458808 EGY458806:EGY458808 EQU458806:EQU458808 FAQ458806:FAQ458808 FKM458806:FKM458808 FUI458806:FUI458808 GEE458806:GEE458808 GOA458806:GOA458808 GXW458806:GXW458808 HHS458806:HHS458808 HRO458806:HRO458808 IBK458806:IBK458808 ILG458806:ILG458808 IVC458806:IVC458808 JEY458806:JEY458808 JOU458806:JOU458808 JYQ458806:JYQ458808 KIM458806:KIM458808 KSI458806:KSI458808 LCE458806:LCE458808 LMA458806:LMA458808 LVW458806:LVW458808 MFS458806:MFS458808 MPO458806:MPO458808 MZK458806:MZK458808 NJG458806:NJG458808 NTC458806:NTC458808 OCY458806:OCY458808 OMU458806:OMU458808 OWQ458806:OWQ458808 PGM458806:PGM458808 PQI458806:PQI458808 QAE458806:QAE458808 QKA458806:QKA458808 QTW458806:QTW458808 RDS458806:RDS458808 RNO458806:RNO458808 RXK458806:RXK458808 SHG458806:SHG458808 SRC458806:SRC458808 TAY458806:TAY458808 TKU458806:TKU458808 TUQ458806:TUQ458808 UEM458806:UEM458808 UOI458806:UOI458808 UYE458806:UYE458808 VIA458806:VIA458808 VRW458806:VRW458808 WBS458806:WBS458808 WLO458806:WLO458808 WVK458806:WVK458808 C524342:C524344 IY524342:IY524344 SU524342:SU524344 ACQ524342:ACQ524344 AMM524342:AMM524344 AWI524342:AWI524344 BGE524342:BGE524344 BQA524342:BQA524344 BZW524342:BZW524344 CJS524342:CJS524344 CTO524342:CTO524344 DDK524342:DDK524344 DNG524342:DNG524344 DXC524342:DXC524344 EGY524342:EGY524344 EQU524342:EQU524344 FAQ524342:FAQ524344 FKM524342:FKM524344 FUI524342:FUI524344 GEE524342:GEE524344 GOA524342:GOA524344 GXW524342:GXW524344 HHS524342:HHS524344 HRO524342:HRO524344 IBK524342:IBK524344 ILG524342:ILG524344 IVC524342:IVC524344 JEY524342:JEY524344 JOU524342:JOU524344 JYQ524342:JYQ524344 KIM524342:KIM524344 KSI524342:KSI524344 LCE524342:LCE524344 LMA524342:LMA524344 LVW524342:LVW524344 MFS524342:MFS524344 MPO524342:MPO524344 MZK524342:MZK524344 NJG524342:NJG524344 NTC524342:NTC524344 OCY524342:OCY524344 OMU524342:OMU524344 OWQ524342:OWQ524344 PGM524342:PGM524344 PQI524342:PQI524344 QAE524342:QAE524344 QKA524342:QKA524344 QTW524342:QTW524344 RDS524342:RDS524344 RNO524342:RNO524344 RXK524342:RXK524344 SHG524342:SHG524344 SRC524342:SRC524344 TAY524342:TAY524344 TKU524342:TKU524344 TUQ524342:TUQ524344 UEM524342:UEM524344 UOI524342:UOI524344 UYE524342:UYE524344 VIA524342:VIA524344 VRW524342:VRW524344 WBS524342:WBS524344 WLO524342:WLO524344 WVK524342:WVK524344 C589878:C589880 IY589878:IY589880 SU589878:SU589880 ACQ589878:ACQ589880 AMM589878:AMM589880 AWI589878:AWI589880 BGE589878:BGE589880 BQA589878:BQA589880 BZW589878:BZW589880 CJS589878:CJS589880 CTO589878:CTO589880 DDK589878:DDK589880 DNG589878:DNG589880 DXC589878:DXC589880 EGY589878:EGY589880 EQU589878:EQU589880 FAQ589878:FAQ589880 FKM589878:FKM589880 FUI589878:FUI589880 GEE589878:GEE589880 GOA589878:GOA589880 GXW589878:GXW589880 HHS589878:HHS589880 HRO589878:HRO589880 IBK589878:IBK589880 ILG589878:ILG589880 IVC589878:IVC589880 JEY589878:JEY589880 JOU589878:JOU589880 JYQ589878:JYQ589880 KIM589878:KIM589880 KSI589878:KSI589880 LCE589878:LCE589880 LMA589878:LMA589880 LVW589878:LVW589880 MFS589878:MFS589880 MPO589878:MPO589880 MZK589878:MZK589880 NJG589878:NJG589880 NTC589878:NTC589880 OCY589878:OCY589880 OMU589878:OMU589880 OWQ589878:OWQ589880 PGM589878:PGM589880 PQI589878:PQI589880 QAE589878:QAE589880 QKA589878:QKA589880 QTW589878:QTW589880 RDS589878:RDS589880 RNO589878:RNO589880 RXK589878:RXK589880 SHG589878:SHG589880 SRC589878:SRC589880 TAY589878:TAY589880 TKU589878:TKU589880 TUQ589878:TUQ589880 UEM589878:UEM589880 UOI589878:UOI589880 UYE589878:UYE589880 VIA589878:VIA589880 VRW589878:VRW589880 WBS589878:WBS589880 WLO589878:WLO589880 WVK589878:WVK589880 C655414:C655416 IY655414:IY655416 SU655414:SU655416 ACQ655414:ACQ655416 AMM655414:AMM655416 AWI655414:AWI655416 BGE655414:BGE655416 BQA655414:BQA655416 BZW655414:BZW655416 CJS655414:CJS655416 CTO655414:CTO655416 DDK655414:DDK655416 DNG655414:DNG655416 DXC655414:DXC655416 EGY655414:EGY655416 EQU655414:EQU655416 FAQ655414:FAQ655416 FKM655414:FKM655416 FUI655414:FUI655416 GEE655414:GEE655416 GOA655414:GOA655416 GXW655414:GXW655416 HHS655414:HHS655416 HRO655414:HRO655416 IBK655414:IBK655416 ILG655414:ILG655416 IVC655414:IVC655416 JEY655414:JEY655416 JOU655414:JOU655416 JYQ655414:JYQ655416 KIM655414:KIM655416 KSI655414:KSI655416 LCE655414:LCE655416 LMA655414:LMA655416 LVW655414:LVW655416 MFS655414:MFS655416 MPO655414:MPO655416 MZK655414:MZK655416 NJG655414:NJG655416 NTC655414:NTC655416 OCY655414:OCY655416 OMU655414:OMU655416 OWQ655414:OWQ655416 PGM655414:PGM655416 PQI655414:PQI655416 QAE655414:QAE655416 QKA655414:QKA655416 QTW655414:QTW655416 RDS655414:RDS655416 RNO655414:RNO655416 RXK655414:RXK655416 SHG655414:SHG655416 SRC655414:SRC655416 TAY655414:TAY655416 TKU655414:TKU655416 TUQ655414:TUQ655416 UEM655414:UEM655416 UOI655414:UOI655416 UYE655414:UYE655416 VIA655414:VIA655416 VRW655414:VRW655416 WBS655414:WBS655416 WLO655414:WLO655416 WVK655414:WVK655416 C720950:C720952 IY720950:IY720952 SU720950:SU720952 ACQ720950:ACQ720952 AMM720950:AMM720952 AWI720950:AWI720952 BGE720950:BGE720952 BQA720950:BQA720952 BZW720950:BZW720952 CJS720950:CJS720952 CTO720950:CTO720952 DDK720950:DDK720952 DNG720950:DNG720952 DXC720950:DXC720952 EGY720950:EGY720952 EQU720950:EQU720952 FAQ720950:FAQ720952 FKM720950:FKM720952 FUI720950:FUI720952 GEE720950:GEE720952 GOA720950:GOA720952 GXW720950:GXW720952 HHS720950:HHS720952 HRO720950:HRO720952 IBK720950:IBK720952 ILG720950:ILG720952 IVC720950:IVC720952 JEY720950:JEY720952 JOU720950:JOU720952 JYQ720950:JYQ720952 KIM720950:KIM720952 KSI720950:KSI720952 LCE720950:LCE720952 LMA720950:LMA720952 LVW720950:LVW720952 MFS720950:MFS720952 MPO720950:MPO720952 MZK720950:MZK720952 NJG720950:NJG720952 NTC720950:NTC720952 OCY720950:OCY720952 OMU720950:OMU720952 OWQ720950:OWQ720952 PGM720950:PGM720952 PQI720950:PQI720952 QAE720950:QAE720952 QKA720950:QKA720952 QTW720950:QTW720952 RDS720950:RDS720952 RNO720950:RNO720952 RXK720950:RXK720952 SHG720950:SHG720952 SRC720950:SRC720952 TAY720950:TAY720952 TKU720950:TKU720952 TUQ720950:TUQ720952 UEM720950:UEM720952 UOI720950:UOI720952 UYE720950:UYE720952 VIA720950:VIA720952 VRW720950:VRW720952 WBS720950:WBS720952 WLO720950:WLO720952 WVK720950:WVK720952 C786486:C786488 IY786486:IY786488 SU786486:SU786488 ACQ786486:ACQ786488 AMM786486:AMM786488 AWI786486:AWI786488 BGE786486:BGE786488 BQA786486:BQA786488 BZW786486:BZW786488 CJS786486:CJS786488 CTO786486:CTO786488 DDK786486:DDK786488 DNG786486:DNG786488 DXC786486:DXC786488 EGY786486:EGY786488 EQU786486:EQU786488 FAQ786486:FAQ786488 FKM786486:FKM786488 FUI786486:FUI786488 GEE786486:GEE786488 GOA786486:GOA786488 GXW786486:GXW786488 HHS786486:HHS786488 HRO786486:HRO786488 IBK786486:IBK786488 ILG786486:ILG786488 IVC786486:IVC786488 JEY786486:JEY786488 JOU786486:JOU786488 JYQ786486:JYQ786488 KIM786486:KIM786488 KSI786486:KSI786488 LCE786486:LCE786488 LMA786486:LMA786488 LVW786486:LVW786488 MFS786486:MFS786488 MPO786486:MPO786488 MZK786486:MZK786488 NJG786486:NJG786488 NTC786486:NTC786488 OCY786486:OCY786488 OMU786486:OMU786488 OWQ786486:OWQ786488 PGM786486:PGM786488 PQI786486:PQI786488 QAE786486:QAE786488 QKA786486:QKA786488 QTW786486:QTW786488 RDS786486:RDS786488 RNO786486:RNO786488 RXK786486:RXK786488 SHG786486:SHG786488 SRC786486:SRC786488 TAY786486:TAY786488 TKU786486:TKU786488 TUQ786486:TUQ786488 UEM786486:UEM786488 UOI786486:UOI786488 UYE786486:UYE786488 VIA786486:VIA786488 VRW786486:VRW786488 WBS786486:WBS786488 WLO786486:WLO786488 WVK786486:WVK786488 C852022:C852024 IY852022:IY852024 SU852022:SU852024 ACQ852022:ACQ852024 AMM852022:AMM852024 AWI852022:AWI852024 BGE852022:BGE852024 BQA852022:BQA852024 BZW852022:BZW852024 CJS852022:CJS852024 CTO852022:CTO852024 DDK852022:DDK852024 DNG852022:DNG852024 DXC852022:DXC852024 EGY852022:EGY852024 EQU852022:EQU852024 FAQ852022:FAQ852024 FKM852022:FKM852024 FUI852022:FUI852024 GEE852022:GEE852024 GOA852022:GOA852024 GXW852022:GXW852024 HHS852022:HHS852024 HRO852022:HRO852024 IBK852022:IBK852024 ILG852022:ILG852024 IVC852022:IVC852024 JEY852022:JEY852024 JOU852022:JOU852024 JYQ852022:JYQ852024 KIM852022:KIM852024 KSI852022:KSI852024 LCE852022:LCE852024 LMA852022:LMA852024 LVW852022:LVW852024 MFS852022:MFS852024 MPO852022:MPO852024 MZK852022:MZK852024 NJG852022:NJG852024 NTC852022:NTC852024 OCY852022:OCY852024 OMU852022:OMU852024 OWQ852022:OWQ852024 PGM852022:PGM852024 PQI852022:PQI852024 QAE852022:QAE852024 QKA852022:QKA852024 QTW852022:QTW852024 RDS852022:RDS852024 RNO852022:RNO852024 RXK852022:RXK852024 SHG852022:SHG852024 SRC852022:SRC852024 TAY852022:TAY852024 TKU852022:TKU852024 TUQ852022:TUQ852024 UEM852022:UEM852024 UOI852022:UOI852024 UYE852022:UYE852024 VIA852022:VIA852024 VRW852022:VRW852024 WBS852022:WBS852024 WLO852022:WLO852024 WVK852022:WVK852024 C917558:C917560 IY917558:IY917560 SU917558:SU917560 ACQ917558:ACQ917560 AMM917558:AMM917560 AWI917558:AWI917560 BGE917558:BGE917560 BQA917558:BQA917560 BZW917558:BZW917560 CJS917558:CJS917560 CTO917558:CTO917560 DDK917558:DDK917560 DNG917558:DNG917560 DXC917558:DXC917560 EGY917558:EGY917560 EQU917558:EQU917560 FAQ917558:FAQ917560 FKM917558:FKM917560 FUI917558:FUI917560 GEE917558:GEE917560 GOA917558:GOA917560 GXW917558:GXW917560 HHS917558:HHS917560 HRO917558:HRO917560 IBK917558:IBK917560 ILG917558:ILG917560 IVC917558:IVC917560 JEY917558:JEY917560 JOU917558:JOU917560 JYQ917558:JYQ917560 KIM917558:KIM917560 KSI917558:KSI917560 LCE917558:LCE917560 LMA917558:LMA917560 LVW917558:LVW917560 MFS917558:MFS917560 MPO917558:MPO917560 MZK917558:MZK917560 NJG917558:NJG917560 NTC917558:NTC917560 OCY917558:OCY917560 OMU917558:OMU917560 OWQ917558:OWQ917560 PGM917558:PGM917560 PQI917558:PQI917560 QAE917558:QAE917560 QKA917558:QKA917560 QTW917558:QTW917560 RDS917558:RDS917560 RNO917558:RNO917560 RXK917558:RXK917560 SHG917558:SHG917560 SRC917558:SRC917560 TAY917558:TAY917560 TKU917558:TKU917560 TUQ917558:TUQ917560 UEM917558:UEM917560 UOI917558:UOI917560 UYE917558:UYE917560 VIA917558:VIA917560 VRW917558:VRW917560 WBS917558:WBS917560 WLO917558:WLO917560 WVK917558:WVK917560 C983094:C983096 IY983094:IY983096 SU983094:SU983096 ACQ983094:ACQ983096 AMM983094:AMM983096 AWI983094:AWI983096 BGE983094:BGE983096 BQA983094:BQA983096 BZW983094:BZW983096 CJS983094:CJS983096 CTO983094:CTO983096 DDK983094:DDK983096 DNG983094:DNG983096 DXC983094:DXC983096 EGY983094:EGY983096 EQU983094:EQU983096 FAQ983094:FAQ983096 FKM983094:FKM983096 FUI983094:FUI983096 GEE983094:GEE983096 GOA983094:GOA983096 GXW983094:GXW983096 HHS983094:HHS983096 HRO983094:HRO983096 IBK983094:IBK983096 ILG983094:ILG983096 IVC983094:IVC983096 JEY983094:JEY983096 JOU983094:JOU983096 JYQ983094:JYQ983096 KIM983094:KIM983096 KSI983094:KSI983096 LCE983094:LCE983096 LMA983094:LMA983096 LVW983094:LVW983096 MFS983094:MFS983096 MPO983094:MPO983096 MZK983094:MZK983096 NJG983094:NJG983096 NTC983094:NTC983096 OCY983094:OCY983096 OMU983094:OMU983096 OWQ983094:OWQ983096 PGM983094:PGM983096 PQI983094:PQI983096 QAE983094:QAE983096 QKA983094:QKA983096 QTW983094:QTW983096 RDS983094:RDS983096 RNO983094:RNO983096 RXK983094:RXK983096 SHG983094:SHG983096 SRC983094:SRC983096 TAY983094:TAY983096 TKU983094:TKU983096 TUQ983094:TUQ983096 UEM983094:UEM983096 UOI983094:UOI983096 UYE983094:UYE983096 VIA983094:VIA983096 VRW983094:VRW983096 WBS983094:WBS983096 WLO983094:WLO983096 WVK983094:WVK983096">
      <formula1>"Académique, Professionnel, Associatif, Autre"</formula1>
    </dataValidation>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s>
  <hyperlinks>
    <hyperlink ref="B1" location="'Schéma d''enseignement'!G31" display="Schéma d'enseignement"/>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FF8080"/>
  </sheetPr>
  <dimension ref="B1:F50"/>
  <sheetViews>
    <sheetView workbookViewId="0">
      <selection activeCell="B1" sqref="B1"/>
    </sheetView>
  </sheetViews>
  <sheetFormatPr baseColWidth="10" defaultColWidth="8.85546875" defaultRowHeight="15"/>
  <cols>
    <col min="1" max="1" width="3.85546875" style="1" customWidth="1"/>
    <col min="2" max="2" width="32.85546875" style="1" customWidth="1"/>
    <col min="3" max="3" width="15.42578125" style="1" customWidth="1"/>
    <col min="4" max="4" width="15.5703125" style="1" customWidth="1"/>
    <col min="5" max="5" width="16" style="1" customWidth="1"/>
    <col min="6" max="6" width="23" style="1" customWidth="1"/>
    <col min="7" max="16384" width="8.85546875" style="1"/>
  </cols>
  <sheetData>
    <row r="1" spans="2:6">
      <c r="B1" s="192" t="s">
        <v>783</v>
      </c>
    </row>
    <row r="2" spans="2:6" ht="15.75">
      <c r="B2" s="130"/>
      <c r="C2" s="130"/>
      <c r="D2" s="130"/>
      <c r="E2" s="130"/>
    </row>
    <row r="3" spans="2:6" ht="15.75">
      <c r="B3" s="407" t="s">
        <v>252</v>
      </c>
      <c r="C3" s="407"/>
      <c r="D3" s="407"/>
      <c r="E3" s="407"/>
      <c r="F3" s="407"/>
    </row>
    <row r="4" spans="2:6" ht="15.75">
      <c r="B4" s="131"/>
      <c r="C4" s="131"/>
      <c r="D4" s="131"/>
      <c r="E4" s="131"/>
    </row>
    <row r="5" spans="2:6" ht="15.75" customHeight="1">
      <c r="B5" s="102" t="s">
        <v>253</v>
      </c>
      <c r="C5" s="436" t="s">
        <v>254</v>
      </c>
      <c r="D5" s="436"/>
      <c r="E5" s="436"/>
    </row>
    <row r="6" spans="2:6" ht="18.95" customHeight="1">
      <c r="B6" s="102" t="s">
        <v>255</v>
      </c>
      <c r="C6" s="442" t="s">
        <v>594</v>
      </c>
      <c r="D6" s="442"/>
      <c r="E6" s="442"/>
    </row>
    <row r="7" spans="2:6" ht="15.75">
      <c r="B7" s="102" t="s">
        <v>257</v>
      </c>
      <c r="C7" s="436" t="s">
        <v>595</v>
      </c>
      <c r="D7" s="436"/>
      <c r="E7" s="436"/>
    </row>
    <row r="8" spans="2:6" ht="14.1" customHeight="1">
      <c r="B8" s="102" t="s">
        <v>259</v>
      </c>
      <c r="C8" s="436" t="s">
        <v>596</v>
      </c>
      <c r="D8" s="436"/>
      <c r="E8" s="436"/>
    </row>
    <row r="9" spans="2:6" ht="15.95" customHeight="1">
      <c r="B9" s="102" t="s">
        <v>261</v>
      </c>
      <c r="C9" s="436" t="s">
        <v>197</v>
      </c>
      <c r="D9" s="436"/>
      <c r="E9" s="436"/>
    </row>
    <row r="10" spans="2:6" ht="13.5" customHeight="1">
      <c r="B10" s="102" t="s">
        <v>263</v>
      </c>
      <c r="C10" s="436" t="s">
        <v>388</v>
      </c>
      <c r="D10" s="436"/>
      <c r="E10" s="436"/>
    </row>
    <row r="11" spans="2:6" ht="15.75">
      <c r="B11" s="131"/>
      <c r="C11" s="131"/>
      <c r="D11" s="131"/>
      <c r="E11" s="131"/>
    </row>
    <row r="12" spans="2:6" ht="15.75">
      <c r="B12" s="437" t="s">
        <v>264</v>
      </c>
      <c r="C12" s="437"/>
      <c r="D12" s="437"/>
      <c r="E12" s="437"/>
    </row>
    <row r="13" spans="2:6" ht="15.75">
      <c r="B13" s="438" t="s">
        <v>265</v>
      </c>
      <c r="C13" s="439"/>
      <c r="D13" s="437" t="s">
        <v>266</v>
      </c>
      <c r="E13" s="437"/>
    </row>
    <row r="14" spans="2:6" ht="15.75">
      <c r="B14" s="440">
        <v>43205</v>
      </c>
      <c r="C14" s="441"/>
      <c r="D14" s="436" t="s">
        <v>254</v>
      </c>
      <c r="E14" s="436"/>
    </row>
    <row r="15" spans="2:6" ht="15.75">
      <c r="B15" s="131"/>
      <c r="C15" s="131"/>
      <c r="D15" s="131"/>
      <c r="E15" s="131"/>
    </row>
    <row r="16" spans="2:6" ht="31.5">
      <c r="B16" s="133" t="s">
        <v>267</v>
      </c>
      <c r="C16" s="133" t="s">
        <v>268</v>
      </c>
      <c r="D16" s="133" t="s">
        <v>269</v>
      </c>
      <c r="E16" s="133" t="s">
        <v>270</v>
      </c>
      <c r="F16" s="59" t="s">
        <v>271</v>
      </c>
    </row>
    <row r="17" spans="2:6" ht="35.1" customHeight="1">
      <c r="B17" s="26" t="s">
        <v>64</v>
      </c>
      <c r="C17" s="26">
        <v>42</v>
      </c>
      <c r="D17" s="26">
        <v>2</v>
      </c>
      <c r="E17" s="26">
        <v>2</v>
      </c>
      <c r="F17" s="21" t="s">
        <v>272</v>
      </c>
    </row>
    <row r="18" spans="2:6" ht="15.75">
      <c r="B18" s="74"/>
      <c r="C18" s="74"/>
      <c r="D18" s="74"/>
      <c r="E18" s="74"/>
    </row>
    <row r="19" spans="2:6" ht="15.75">
      <c r="B19" s="432" t="s">
        <v>273</v>
      </c>
      <c r="C19" s="432"/>
      <c r="D19" s="432"/>
      <c r="E19" s="432"/>
    </row>
    <row r="20" spans="2:6" ht="15.75">
      <c r="B20" s="339" t="s">
        <v>597</v>
      </c>
      <c r="C20" s="339"/>
      <c r="D20" s="339"/>
      <c r="E20" s="339"/>
    </row>
    <row r="21" spans="2:6" ht="15.75">
      <c r="B21" s="432" t="s">
        <v>275</v>
      </c>
      <c r="C21" s="432"/>
      <c r="D21" s="432"/>
      <c r="E21" s="432"/>
    </row>
    <row r="22" spans="2:6" ht="77.099999999999994" customHeight="1">
      <c r="B22" s="433" t="s">
        <v>598</v>
      </c>
      <c r="C22" s="433"/>
      <c r="D22" s="433"/>
      <c r="E22" s="433"/>
    </row>
    <row r="23" spans="2:6" ht="15.75">
      <c r="B23" s="131"/>
      <c r="C23" s="131"/>
      <c r="D23" s="131"/>
      <c r="E23" s="131"/>
    </row>
    <row r="24" spans="2:6" ht="15.75">
      <c r="B24" s="432" t="s">
        <v>277</v>
      </c>
      <c r="C24" s="432"/>
      <c r="D24" s="432"/>
      <c r="E24" s="432"/>
    </row>
    <row r="25" spans="2:6" ht="18.600000000000001" customHeight="1">
      <c r="B25" s="308" t="s">
        <v>599</v>
      </c>
      <c r="C25" s="349"/>
      <c r="D25" s="349"/>
      <c r="E25" s="350"/>
    </row>
    <row r="26" spans="2:6" ht="15.75">
      <c r="B26" s="131"/>
      <c r="C26" s="131"/>
      <c r="D26" s="131"/>
      <c r="E26" s="131"/>
    </row>
    <row r="27" spans="2:6" ht="15.75">
      <c r="B27" s="432" t="s">
        <v>279</v>
      </c>
      <c r="C27" s="432"/>
      <c r="D27" s="432"/>
      <c r="E27" s="432"/>
    </row>
    <row r="28" spans="2:6" ht="15.75">
      <c r="B28" s="434" t="s">
        <v>600</v>
      </c>
      <c r="C28" s="434"/>
      <c r="D28" s="434"/>
      <c r="E28" s="434"/>
    </row>
    <row r="29" spans="2:6" ht="15.75">
      <c r="B29" s="434" t="s">
        <v>601</v>
      </c>
      <c r="C29" s="434"/>
      <c r="D29" s="434"/>
      <c r="E29" s="434"/>
    </row>
    <row r="30" spans="2:6" ht="15.75">
      <c r="B30" s="434" t="s">
        <v>602</v>
      </c>
      <c r="C30" s="434"/>
      <c r="D30" s="434"/>
      <c r="E30" s="434"/>
    </row>
    <row r="31" spans="2:6" ht="15.75">
      <c r="B31" s="434" t="s">
        <v>603</v>
      </c>
      <c r="C31" s="434"/>
      <c r="D31" s="434"/>
      <c r="E31" s="434"/>
    </row>
    <row r="32" spans="2:6" ht="15.75">
      <c r="B32" s="131"/>
      <c r="C32" s="131"/>
      <c r="D32" s="131"/>
      <c r="E32" s="131"/>
    </row>
    <row r="33" spans="2:6" ht="15.75">
      <c r="B33" s="432" t="s">
        <v>284</v>
      </c>
      <c r="C33" s="432"/>
      <c r="D33" s="432"/>
      <c r="E33" s="432"/>
    </row>
    <row r="34" spans="2:6" ht="108.95" customHeight="1">
      <c r="B34" s="339" t="s">
        <v>604</v>
      </c>
      <c r="C34" s="339"/>
      <c r="D34" s="339"/>
      <c r="E34" s="339"/>
    </row>
    <row r="35" spans="2:6" ht="15.75">
      <c r="B35" s="60"/>
      <c r="C35" s="60"/>
      <c r="D35" s="60"/>
      <c r="E35" s="60"/>
    </row>
    <row r="36" spans="2:6" ht="15.75">
      <c r="B36" s="432" t="s">
        <v>324</v>
      </c>
      <c r="C36" s="432"/>
      <c r="D36" s="432"/>
      <c r="E36" s="432"/>
    </row>
    <row r="37" spans="2:6" ht="15.75">
      <c r="B37" s="104" t="s">
        <v>605</v>
      </c>
      <c r="C37" s="339" t="s">
        <v>606</v>
      </c>
      <c r="D37" s="339"/>
      <c r="E37" s="339"/>
    </row>
    <row r="38" spans="2:6" ht="14.45" customHeight="1">
      <c r="B38" s="104" t="s">
        <v>607</v>
      </c>
      <c r="C38" s="339" t="s">
        <v>608</v>
      </c>
      <c r="D38" s="339"/>
      <c r="E38" s="339"/>
    </row>
    <row r="39" spans="2:6" ht="15.6" customHeight="1">
      <c r="B39" s="104" t="s">
        <v>609</v>
      </c>
      <c r="C39" s="339"/>
      <c r="D39" s="339"/>
      <c r="E39" s="339"/>
    </row>
    <row r="40" spans="2:6" ht="15.75">
      <c r="B40" s="131"/>
      <c r="C40" s="131"/>
      <c r="D40" s="131"/>
      <c r="E40" s="131"/>
    </row>
    <row r="41" spans="2:6" ht="15.75">
      <c r="B41" s="432" t="s">
        <v>287</v>
      </c>
      <c r="C41" s="432"/>
      <c r="D41" s="432"/>
      <c r="E41" s="432"/>
    </row>
    <row r="42" spans="2:6" ht="15.6" customHeight="1">
      <c r="B42" s="339" t="s">
        <v>610</v>
      </c>
      <c r="C42" s="339"/>
      <c r="D42" s="339"/>
      <c r="E42" s="339"/>
    </row>
    <row r="43" spans="2:6" ht="15.75">
      <c r="B43" s="131"/>
      <c r="C43" s="131"/>
      <c r="D43" s="131"/>
      <c r="E43" s="131"/>
    </row>
    <row r="44" spans="2:6" ht="30" customHeight="1">
      <c r="B44" s="432" t="s">
        <v>289</v>
      </c>
      <c r="C44" s="432"/>
      <c r="D44" s="432"/>
      <c r="E44" s="432"/>
    </row>
    <row r="45" spans="2:6" ht="15.75">
      <c r="B45" s="132" t="s">
        <v>290</v>
      </c>
      <c r="C45" s="132" t="s">
        <v>291</v>
      </c>
      <c r="D45" s="432" t="s">
        <v>292</v>
      </c>
      <c r="E45" s="432"/>
    </row>
    <row r="46" spans="2:6" ht="33" customHeight="1">
      <c r="B46" s="129" t="s">
        <v>611</v>
      </c>
      <c r="C46" s="129" t="s">
        <v>612</v>
      </c>
      <c r="D46" s="339" t="s">
        <v>613</v>
      </c>
      <c r="E46" s="339"/>
      <c r="F46" s="39"/>
    </row>
    <row r="47" spans="2:6" ht="15.75">
      <c r="B47" s="131"/>
      <c r="C47" s="131"/>
      <c r="D47" s="131"/>
      <c r="E47" s="131"/>
    </row>
    <row r="48" spans="2:6" ht="15.75">
      <c r="B48" s="432" t="s">
        <v>293</v>
      </c>
      <c r="C48" s="432"/>
      <c r="D48" s="432"/>
      <c r="E48" s="432"/>
    </row>
    <row r="49" spans="2:5" ht="15.75">
      <c r="B49" s="435"/>
      <c r="C49" s="435"/>
      <c r="D49" s="435"/>
      <c r="E49" s="435"/>
    </row>
    <row r="50" spans="2:5" ht="15.75">
      <c r="B50" s="131"/>
      <c r="C50" s="131"/>
      <c r="D50" s="131"/>
      <c r="E50" s="131"/>
    </row>
  </sheetData>
  <mergeCells count="36">
    <mergeCell ref="B3:F3"/>
    <mergeCell ref="C5:E5"/>
    <mergeCell ref="C6:E6"/>
    <mergeCell ref="C7:E7"/>
    <mergeCell ref="C8:E8"/>
    <mergeCell ref="C9:E9"/>
    <mergeCell ref="B27:E27"/>
    <mergeCell ref="C10:E10"/>
    <mergeCell ref="B12:E12"/>
    <mergeCell ref="B13:C13"/>
    <mergeCell ref="D13:E13"/>
    <mergeCell ref="B14:C14"/>
    <mergeCell ref="D14:E14"/>
    <mergeCell ref="B25:E25"/>
    <mergeCell ref="B48:E48"/>
    <mergeCell ref="B49:E49"/>
    <mergeCell ref="B36:E36"/>
    <mergeCell ref="C37:E37"/>
    <mergeCell ref="C38:E38"/>
    <mergeCell ref="C39:E39"/>
    <mergeCell ref="B41:E41"/>
    <mergeCell ref="B42:E42"/>
    <mergeCell ref="B44:E44"/>
    <mergeCell ref="D45:E45"/>
    <mergeCell ref="D46:E46"/>
    <mergeCell ref="B34:E34"/>
    <mergeCell ref="B19:E19"/>
    <mergeCell ref="B20:E20"/>
    <mergeCell ref="B21:E21"/>
    <mergeCell ref="B22:E22"/>
    <mergeCell ref="B24:E24"/>
    <mergeCell ref="B28:E28"/>
    <mergeCell ref="B29:E29"/>
    <mergeCell ref="B30:E30"/>
    <mergeCell ref="B31:E31"/>
    <mergeCell ref="B33:E33"/>
  </mergeCells>
  <dataValidations count="2">
    <dataValidation type="list" allowBlank="1" showInputMessage="1" showErrorMessage="1" sqref="C5">
      <formula1>"Mise à jour à partir du plan d'études, Nouvelle création"</formula1>
    </dataValidation>
    <dataValidation type="list" allowBlank="1" showInputMessage="1" showErrorMessage="1" sqref="C46">
      <formula1>"Académique, Professionnel, Associatif, Autre"</formula1>
    </dataValidation>
  </dataValidations>
  <hyperlinks>
    <hyperlink ref="B1" location="'Schéma d''enseignement'!G32" display="Schéma d'enseignement"/>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FFC000"/>
  </sheetPr>
  <dimension ref="B2:C16"/>
  <sheetViews>
    <sheetView workbookViewId="0">
      <selection activeCell="C16" sqref="C16"/>
    </sheetView>
  </sheetViews>
  <sheetFormatPr baseColWidth="10" defaultColWidth="8.85546875" defaultRowHeight="15"/>
  <cols>
    <col min="1" max="1" width="8.85546875" style="1"/>
    <col min="2" max="2" width="32.140625" style="1" customWidth="1"/>
    <col min="3" max="3" width="50.140625" style="1" customWidth="1"/>
    <col min="4" max="16384" width="8.85546875" style="1"/>
  </cols>
  <sheetData>
    <row r="2" spans="2:3">
      <c r="B2" s="3" t="s">
        <v>1</v>
      </c>
      <c r="C2" s="52" t="s">
        <v>79</v>
      </c>
    </row>
    <row r="4" spans="2:3">
      <c r="B4" s="290" t="s">
        <v>75</v>
      </c>
      <c r="C4" s="290"/>
    </row>
    <row r="5" spans="2:3">
      <c r="B5" s="53" t="s">
        <v>78</v>
      </c>
      <c r="C5" s="53" t="s">
        <v>19</v>
      </c>
    </row>
    <row r="6" spans="2:3">
      <c r="B6" s="267" t="s">
        <v>210</v>
      </c>
      <c r="C6" s="42" t="s">
        <v>199</v>
      </c>
    </row>
    <row r="7" spans="2:3">
      <c r="B7" s="267"/>
      <c r="C7" s="42" t="s">
        <v>200</v>
      </c>
    </row>
    <row r="8" spans="2:3">
      <c r="B8" s="267"/>
      <c r="C8" s="42" t="s">
        <v>201</v>
      </c>
    </row>
    <row r="9" spans="2:3">
      <c r="B9" s="267"/>
      <c r="C9" s="42" t="s">
        <v>202</v>
      </c>
    </row>
    <row r="10" spans="2:3">
      <c r="B10" s="267" t="s">
        <v>211</v>
      </c>
      <c r="C10" s="42" t="s">
        <v>203</v>
      </c>
    </row>
    <row r="11" spans="2:3">
      <c r="B11" s="267"/>
      <c r="C11" s="42" t="s">
        <v>204</v>
      </c>
    </row>
    <row r="12" spans="2:3">
      <c r="B12" s="267" t="s">
        <v>212</v>
      </c>
      <c r="C12" s="42" t="s">
        <v>205</v>
      </c>
    </row>
    <row r="13" spans="2:3">
      <c r="B13" s="267"/>
      <c r="C13" s="42" t="s">
        <v>206</v>
      </c>
    </row>
    <row r="14" spans="2:3">
      <c r="B14" s="267"/>
      <c r="C14" s="42" t="s">
        <v>207</v>
      </c>
    </row>
    <row r="15" spans="2:3">
      <c r="B15" s="259" t="s">
        <v>209</v>
      </c>
      <c r="C15" s="42" t="s">
        <v>736</v>
      </c>
    </row>
    <row r="16" spans="2:3">
      <c r="B16" s="259"/>
      <c r="C16" s="42" t="s">
        <v>208</v>
      </c>
    </row>
  </sheetData>
  <mergeCells count="5">
    <mergeCell ref="B4:C4"/>
    <mergeCell ref="B6:B9"/>
    <mergeCell ref="B10:B11"/>
    <mergeCell ref="B12:B14"/>
    <mergeCell ref="B15:B16"/>
  </mergeCells>
  <conditionalFormatting sqref="B6">
    <cfRule type="colorScale" priority="2">
      <colorScale>
        <cfvo type="num" val="0"/>
        <cfvo type="num" val="0"/>
        <color rgb="FFFF0000"/>
        <color rgb="FF00B050"/>
      </colorScale>
    </cfRule>
  </conditionalFormatting>
  <conditionalFormatting sqref="B12">
    <cfRule type="colorScale" priority="1">
      <colorScale>
        <cfvo type="num" val="0"/>
        <cfvo type="num" val="0"/>
        <color rgb="FFFF0000"/>
        <color rgb="FF00B050"/>
      </colorScale>
    </cfRule>
  </conditionalFormatting>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theme="5"/>
  </sheetPr>
  <dimension ref="B1:I1048537"/>
  <sheetViews>
    <sheetView zoomScaleNormal="100" zoomScaleSheetLayoutView="85" zoomScalePageLayoutView="85" workbookViewId="0">
      <selection activeCell="B1" sqref="B1"/>
    </sheetView>
  </sheetViews>
  <sheetFormatPr baseColWidth="10" defaultColWidth="8.85546875" defaultRowHeight="15.75"/>
  <cols>
    <col min="1" max="1" width="1.140625" style="99" customWidth="1"/>
    <col min="2" max="2" width="29.42578125" style="99" customWidth="1"/>
    <col min="3" max="3" width="15.5703125" style="99" customWidth="1"/>
    <col min="4" max="4" width="11.85546875" style="99" customWidth="1"/>
    <col min="5" max="5" width="7" style="99" customWidth="1"/>
    <col min="6" max="6" width="21.4257812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54" t="s">
        <v>252</v>
      </c>
      <c r="C3" s="55"/>
      <c r="D3" s="55"/>
      <c r="E3" s="55"/>
      <c r="F3" s="55"/>
      <c r="G3" s="80"/>
    </row>
    <row r="4" spans="2:7" s="56" customFormat="1"/>
    <row r="5" spans="2:7" s="56" customFormat="1">
      <c r="B5" s="57" t="s">
        <v>253</v>
      </c>
      <c r="C5" s="291" t="s">
        <v>311</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199</v>
      </c>
      <c r="D9" s="291"/>
      <c r="E9" s="291"/>
      <c r="F9" s="291"/>
      <c r="G9" s="81"/>
    </row>
    <row r="10" spans="2:7" s="56" customFormat="1">
      <c r="B10" s="57" t="s">
        <v>263</v>
      </c>
      <c r="C10" s="291">
        <v>5</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43199</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23.25" customHeight="1">
      <c r="B17" s="21" t="s">
        <v>486</v>
      </c>
      <c r="C17" s="21" t="s">
        <v>390</v>
      </c>
      <c r="D17" s="21">
        <v>2</v>
      </c>
      <c r="E17" s="21">
        <v>2</v>
      </c>
      <c r="F17" s="21" t="s">
        <v>272</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66.75" customHeight="1">
      <c r="B20" s="308" t="s">
        <v>563</v>
      </c>
      <c r="C20" s="294"/>
      <c r="D20" s="294"/>
      <c r="E20" s="294"/>
      <c r="F20" s="295"/>
      <c r="G20" s="84"/>
    </row>
    <row r="21" spans="2:7" s="56" customFormat="1">
      <c r="B21" s="305" t="s">
        <v>275</v>
      </c>
      <c r="C21" s="306"/>
      <c r="D21" s="306"/>
      <c r="E21" s="306"/>
      <c r="F21" s="307"/>
      <c r="G21" s="83"/>
    </row>
    <row r="22" spans="2:7" s="56" customFormat="1" ht="115.5" customHeight="1">
      <c r="B22" s="443" t="s">
        <v>487</v>
      </c>
      <c r="C22" s="349"/>
      <c r="D22" s="349"/>
      <c r="E22" s="349"/>
      <c r="F22" s="350"/>
      <c r="G22" s="85"/>
    </row>
    <row r="23" spans="2:7" s="56" customFormat="1"/>
    <row r="24" spans="2:7" s="56" customFormat="1">
      <c r="B24" s="305" t="s">
        <v>277</v>
      </c>
      <c r="C24" s="306"/>
      <c r="D24" s="306"/>
      <c r="E24" s="306"/>
      <c r="F24" s="307"/>
      <c r="G24" s="83"/>
    </row>
    <row r="25" spans="2:7" s="56" customFormat="1" ht="30.6" customHeight="1">
      <c r="B25" s="293" t="s">
        <v>488</v>
      </c>
      <c r="C25" s="294"/>
      <c r="D25" s="294"/>
      <c r="E25" s="294"/>
      <c r="F25" s="295"/>
      <c r="G25" s="84"/>
    </row>
    <row r="26" spans="2:7" s="56" customFormat="1"/>
    <row r="27" spans="2:7" s="56" customFormat="1">
      <c r="B27" s="305" t="s">
        <v>279</v>
      </c>
      <c r="C27" s="306"/>
      <c r="D27" s="306"/>
      <c r="E27" s="306"/>
      <c r="F27" s="307"/>
      <c r="G27" s="82"/>
    </row>
    <row r="28" spans="2:7" s="56" customFormat="1">
      <c r="B28" s="325" t="s">
        <v>9</v>
      </c>
      <c r="C28" s="331"/>
      <c r="D28" s="331"/>
      <c r="E28" s="331"/>
      <c r="F28" s="332"/>
      <c r="G28" s="94"/>
    </row>
    <row r="29" spans="2:7" s="56" customFormat="1">
      <c r="B29" s="444" t="s">
        <v>163</v>
      </c>
      <c r="C29" s="331"/>
      <c r="D29" s="331"/>
      <c r="E29" s="331"/>
      <c r="F29" s="332"/>
      <c r="G29" s="94"/>
    </row>
    <row r="30" spans="2:7" s="56" customFormat="1">
      <c r="B30" s="444" t="s">
        <v>106</v>
      </c>
      <c r="C30" s="331"/>
      <c r="D30" s="331"/>
      <c r="E30" s="331"/>
      <c r="F30" s="332"/>
      <c r="G30" s="94"/>
    </row>
    <row r="31" spans="2:7" s="56" customFormat="1">
      <c r="B31" s="325" t="s">
        <v>489</v>
      </c>
      <c r="C31" s="331"/>
      <c r="D31" s="331"/>
      <c r="E31" s="331"/>
      <c r="F31" s="332"/>
      <c r="G31" s="94"/>
    </row>
    <row r="32" spans="2:7" s="56" customFormat="1">
      <c r="B32" s="126"/>
      <c r="C32" s="126"/>
      <c r="D32" s="126"/>
      <c r="E32" s="126"/>
      <c r="F32" s="126"/>
    </row>
    <row r="33" spans="2:7" s="56" customFormat="1">
      <c r="B33" s="305" t="s">
        <v>284</v>
      </c>
      <c r="C33" s="306"/>
      <c r="D33" s="306"/>
      <c r="E33" s="306"/>
      <c r="F33" s="307"/>
      <c r="G33" s="83"/>
    </row>
    <row r="34" spans="2:7" s="56" customFormat="1" ht="233.1" customHeight="1">
      <c r="B34" s="445" t="s">
        <v>562</v>
      </c>
      <c r="C34" s="349"/>
      <c r="D34" s="349"/>
      <c r="E34" s="349"/>
      <c r="F34" s="350"/>
      <c r="G34" s="85"/>
    </row>
    <row r="35" spans="2:7" s="56" customFormat="1" ht="16.5" customHeight="1">
      <c r="B35" s="60" t="s">
        <v>490</v>
      </c>
      <c r="C35" s="61"/>
      <c r="D35" s="61"/>
      <c r="E35" s="61"/>
      <c r="F35" s="61"/>
      <c r="G35" s="61"/>
    </row>
    <row r="36" spans="2:7" s="56" customFormat="1">
      <c r="B36" s="305" t="s">
        <v>324</v>
      </c>
      <c r="C36" s="306"/>
      <c r="D36" s="306"/>
      <c r="E36" s="306"/>
      <c r="F36" s="307"/>
      <c r="G36" s="83"/>
    </row>
    <row r="37" spans="2:7" s="56" customFormat="1">
      <c r="B37" s="100" t="s">
        <v>491</v>
      </c>
      <c r="C37" s="379" t="s">
        <v>492</v>
      </c>
      <c r="D37" s="379"/>
      <c r="E37" s="379"/>
      <c r="F37" s="379"/>
      <c r="G37" s="85"/>
    </row>
    <row r="38" spans="2:7" s="56" customFormat="1">
      <c r="B38" s="100" t="s">
        <v>493</v>
      </c>
      <c r="C38" s="379"/>
      <c r="D38" s="379"/>
      <c r="E38" s="379"/>
      <c r="F38" s="379"/>
      <c r="G38" s="85"/>
    </row>
    <row r="39" spans="2:7" s="56" customFormat="1">
      <c r="B39" s="100" t="s">
        <v>494</v>
      </c>
      <c r="C39" s="293"/>
      <c r="D39" s="294"/>
      <c r="E39" s="294"/>
      <c r="F39" s="295"/>
      <c r="G39" s="85"/>
    </row>
    <row r="40" spans="2:7" s="56" customFormat="1"/>
    <row r="41" spans="2:7" s="56" customFormat="1">
      <c r="B41" s="305" t="s">
        <v>287</v>
      </c>
      <c r="C41" s="306"/>
      <c r="D41" s="306"/>
      <c r="E41" s="306"/>
      <c r="F41" s="307"/>
      <c r="G41" s="83"/>
    </row>
    <row r="42" spans="2:7" s="56" customFormat="1" ht="33" customHeight="1">
      <c r="B42" s="308" t="s">
        <v>495</v>
      </c>
      <c r="C42" s="349"/>
      <c r="D42" s="349"/>
      <c r="E42" s="349"/>
      <c r="F42" s="350"/>
      <c r="G42" s="61"/>
    </row>
    <row r="43" spans="2:7" s="56" customFormat="1"/>
    <row r="44" spans="2:7" s="56" customFormat="1">
      <c r="B44" s="305" t="s">
        <v>289</v>
      </c>
      <c r="C44" s="306"/>
      <c r="D44" s="306"/>
      <c r="E44" s="306"/>
      <c r="F44" s="307"/>
      <c r="G44" s="83"/>
    </row>
    <row r="45" spans="2:7" s="56" customFormat="1">
      <c r="B45" s="62" t="s">
        <v>290</v>
      </c>
      <c r="C45" s="62" t="s">
        <v>291</v>
      </c>
      <c r="D45" s="305" t="s">
        <v>292</v>
      </c>
      <c r="E45" s="306"/>
      <c r="F45" s="307"/>
      <c r="G45" s="83"/>
    </row>
    <row r="46" spans="2:7" s="56" customFormat="1">
      <c r="B46" s="63"/>
      <c r="C46" s="63"/>
      <c r="D46" s="316"/>
      <c r="E46" s="317"/>
      <c r="F46" s="318"/>
      <c r="G46" s="98"/>
    </row>
    <row r="47" spans="2:7" s="56" customFormat="1">
      <c r="B47" s="63"/>
      <c r="C47" s="63"/>
      <c r="D47" s="316"/>
      <c r="E47" s="317"/>
      <c r="F47" s="318"/>
      <c r="G47" s="98"/>
    </row>
    <row r="48" spans="2:7" s="56" customFormat="1">
      <c r="B48" s="64"/>
      <c r="C48" s="64"/>
      <c r="D48" s="316"/>
      <c r="E48" s="317"/>
      <c r="F48" s="318"/>
      <c r="G48" s="98"/>
    </row>
    <row r="49" spans="2:7" s="56" customFormat="1"/>
    <row r="50" spans="2:7" s="56" customFormat="1">
      <c r="B50" s="305" t="s">
        <v>293</v>
      </c>
      <c r="C50" s="306"/>
      <c r="D50" s="306"/>
      <c r="E50" s="306"/>
      <c r="F50" s="307"/>
      <c r="G50" s="83"/>
    </row>
    <row r="51" spans="2:7" s="56" customFormat="1" ht="84.75" customHeight="1">
      <c r="B51" s="308" t="s">
        <v>496</v>
      </c>
      <c r="C51" s="294"/>
      <c r="D51" s="294"/>
      <c r="E51" s="294"/>
      <c r="F51" s="295"/>
      <c r="G51" s="61"/>
    </row>
    <row r="52" spans="2:7" s="56" customFormat="1"/>
    <row r="1048537" spans="8:9">
      <c r="H1048537" s="83"/>
      <c r="I1048537" s="83"/>
    </row>
  </sheetData>
  <mergeCells count="37">
    <mergeCell ref="D48:F48"/>
    <mergeCell ref="B50:F50"/>
    <mergeCell ref="B51:F51"/>
    <mergeCell ref="B41:F41"/>
    <mergeCell ref="B42:F42"/>
    <mergeCell ref="B44:F44"/>
    <mergeCell ref="D45:F45"/>
    <mergeCell ref="D46:F46"/>
    <mergeCell ref="D47:F47"/>
    <mergeCell ref="B36:F36"/>
    <mergeCell ref="C37:F37"/>
    <mergeCell ref="C38:F38"/>
    <mergeCell ref="C39:F39"/>
    <mergeCell ref="B33:F33"/>
    <mergeCell ref="B34:F34"/>
    <mergeCell ref="B27:F27"/>
    <mergeCell ref="B28:F28"/>
    <mergeCell ref="B29:F29"/>
    <mergeCell ref="B30:F30"/>
    <mergeCell ref="B31:F31"/>
    <mergeCell ref="B25:F25"/>
    <mergeCell ref="C10:F10"/>
    <mergeCell ref="B12:F12"/>
    <mergeCell ref="B13:C13"/>
    <mergeCell ref="D13:F13"/>
    <mergeCell ref="B14:C14"/>
    <mergeCell ref="D14:F14"/>
    <mergeCell ref="B19:F19"/>
    <mergeCell ref="B20:F20"/>
    <mergeCell ref="B21:F21"/>
    <mergeCell ref="B22:F22"/>
    <mergeCell ref="B24:F24"/>
    <mergeCell ref="C5:F5"/>
    <mergeCell ref="C6:F6"/>
    <mergeCell ref="C7:F7"/>
    <mergeCell ref="C8:F8"/>
    <mergeCell ref="C9:F9"/>
  </mergeCells>
  <dataValidations count="2">
    <dataValidation type="list" allowBlank="1" showInputMessage="1" showErrorMessage="1" sqref="C46:C48">
      <formula1>"Académique, Professionnel, Associatif, Autre"</formula1>
    </dataValidation>
    <dataValidation type="list" allowBlank="1" showInputMessage="1" showErrorMessage="1" sqref="C5">
      <formula1>"Mise à jour à partir du plan d'études, Nouvelle création"</formula1>
    </dataValidation>
  </dataValidations>
  <hyperlinks>
    <hyperlink ref="B1" location="'Schéma d''enseignement'!G36" display="Schéma d'enseignement"/>
  </hyperlinks>
  <pageMargins left="0.7" right="0.7" top="0.74545454545454548" bottom="0.75" header="0.3" footer="0.3"/>
  <pageSetup paperSize="9" scale="88" orientation="portrait" horizontalDpi="300" verticalDpi="300" r:id="rId1"/>
  <rowBreaks count="1" manualBreakCount="1">
    <brk id="23"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theme="5"/>
  </sheetPr>
  <dimension ref="B1:I1048538"/>
  <sheetViews>
    <sheetView workbookViewId="0">
      <selection activeCell="B1" sqref="B1"/>
    </sheetView>
  </sheetViews>
  <sheetFormatPr baseColWidth="10" defaultColWidth="8.85546875" defaultRowHeight="15.75"/>
  <cols>
    <col min="1" max="1" width="1.140625" style="99" customWidth="1"/>
    <col min="2" max="2" width="29" style="99" customWidth="1"/>
    <col min="3" max="3" width="15.5703125" style="99" customWidth="1"/>
    <col min="4" max="4" width="11.85546875" style="99" customWidth="1"/>
    <col min="5" max="5" width="7" style="99" customWidth="1"/>
    <col min="6" max="6" width="21.4257812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54" t="s">
        <v>252</v>
      </c>
      <c r="C3" s="55"/>
      <c r="D3" s="55"/>
      <c r="E3" s="55"/>
      <c r="F3" s="55"/>
      <c r="G3" s="80"/>
    </row>
    <row r="4" spans="2:7" s="56" customFormat="1"/>
    <row r="5" spans="2:7" s="56" customFormat="1">
      <c r="B5" s="57" t="s">
        <v>253</v>
      </c>
      <c r="C5" s="291" t="s">
        <v>311</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199</v>
      </c>
      <c r="D9" s="291"/>
      <c r="E9" s="291"/>
      <c r="F9" s="291"/>
      <c r="G9" s="81"/>
    </row>
    <row r="10" spans="2:7" s="56" customFormat="1">
      <c r="B10" s="57" t="s">
        <v>263</v>
      </c>
      <c r="C10" s="291">
        <v>5</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43199</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24" customHeight="1">
      <c r="B17" s="127" t="s">
        <v>497</v>
      </c>
      <c r="C17" s="21" t="s">
        <v>390</v>
      </c>
      <c r="D17" s="21">
        <v>2</v>
      </c>
      <c r="E17" s="21">
        <v>2</v>
      </c>
      <c r="F17" s="21" t="s">
        <v>272</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80.45" customHeight="1">
      <c r="B20" s="308" t="s">
        <v>498</v>
      </c>
      <c r="C20" s="365"/>
      <c r="D20" s="365"/>
      <c r="E20" s="365"/>
      <c r="F20" s="366"/>
      <c r="G20" s="84"/>
    </row>
    <row r="21" spans="2:7" s="56" customFormat="1">
      <c r="B21" s="305" t="s">
        <v>275</v>
      </c>
      <c r="C21" s="306"/>
      <c r="D21" s="306"/>
      <c r="E21" s="306"/>
      <c r="F21" s="307"/>
      <c r="G21" s="83"/>
    </row>
    <row r="22" spans="2:7" s="56" customFormat="1" ht="77.45" customHeight="1">
      <c r="B22" s="312" t="s">
        <v>499</v>
      </c>
      <c r="C22" s="349"/>
      <c r="D22" s="349"/>
      <c r="E22" s="349"/>
      <c r="F22" s="350"/>
      <c r="G22" s="85"/>
    </row>
    <row r="23" spans="2:7" s="56" customFormat="1"/>
    <row r="24" spans="2:7" s="56" customFormat="1">
      <c r="B24" s="305" t="s">
        <v>277</v>
      </c>
      <c r="C24" s="306"/>
      <c r="D24" s="306"/>
      <c r="E24" s="306"/>
      <c r="F24" s="307"/>
      <c r="G24" s="83"/>
    </row>
    <row r="25" spans="2:7" s="56" customFormat="1" ht="30.6" customHeight="1">
      <c r="B25" s="293" t="s">
        <v>564</v>
      </c>
      <c r="C25" s="294"/>
      <c r="D25" s="294"/>
      <c r="E25" s="294"/>
      <c r="F25" s="295"/>
      <c r="G25" s="84"/>
    </row>
    <row r="26" spans="2:7" s="56" customFormat="1"/>
    <row r="27" spans="2:7" s="56" customFormat="1">
      <c r="B27" s="305" t="s">
        <v>279</v>
      </c>
      <c r="C27" s="306"/>
      <c r="D27" s="306"/>
      <c r="E27" s="306"/>
      <c r="F27" s="307"/>
      <c r="G27" s="82"/>
    </row>
    <row r="28" spans="2:7" s="56" customFormat="1">
      <c r="B28" s="325" t="s">
        <v>9</v>
      </c>
      <c r="C28" s="331"/>
      <c r="D28" s="331"/>
      <c r="E28" s="331"/>
      <c r="F28" s="332"/>
      <c r="G28" s="94"/>
    </row>
    <row r="29" spans="2:7" s="56" customFormat="1">
      <c r="B29" s="444" t="s">
        <v>163</v>
      </c>
      <c r="C29" s="331"/>
      <c r="D29" s="331"/>
      <c r="E29" s="331"/>
      <c r="F29" s="332"/>
      <c r="G29" s="94"/>
    </row>
    <row r="30" spans="2:7" s="56" customFormat="1">
      <c r="B30" s="444" t="s">
        <v>106</v>
      </c>
      <c r="C30" s="331"/>
      <c r="D30" s="331"/>
      <c r="E30" s="331"/>
      <c r="F30" s="332"/>
      <c r="G30" s="94"/>
    </row>
    <row r="31" spans="2:7" s="56" customFormat="1">
      <c r="B31" s="339" t="s">
        <v>489</v>
      </c>
      <c r="C31" s="379"/>
      <c r="D31" s="379"/>
      <c r="E31" s="379"/>
      <c r="F31" s="379"/>
      <c r="G31" s="94"/>
    </row>
    <row r="32" spans="2:7" s="56" customFormat="1">
      <c r="B32" s="126"/>
      <c r="C32" s="126"/>
      <c r="D32" s="126"/>
      <c r="E32" s="126"/>
      <c r="F32" s="126"/>
    </row>
    <row r="33" spans="2:7" s="56" customFormat="1">
      <c r="B33" s="305" t="s">
        <v>284</v>
      </c>
      <c r="C33" s="306"/>
      <c r="D33" s="306"/>
      <c r="E33" s="306"/>
      <c r="F33" s="307"/>
      <c r="G33" s="83"/>
    </row>
    <row r="34" spans="2:7" s="56" customFormat="1" ht="138" customHeight="1">
      <c r="B34" s="445" t="s">
        <v>565</v>
      </c>
      <c r="C34" s="349"/>
      <c r="D34" s="349"/>
      <c r="E34" s="349"/>
      <c r="F34" s="350"/>
      <c r="G34" s="85"/>
    </row>
    <row r="35" spans="2:7" s="56" customFormat="1" ht="16.5" customHeight="1">
      <c r="B35" s="60" t="s">
        <v>490</v>
      </c>
      <c r="C35" s="61"/>
      <c r="D35" s="61"/>
      <c r="E35" s="61"/>
      <c r="F35" s="61"/>
      <c r="G35" s="61"/>
    </row>
    <row r="36" spans="2:7" s="56" customFormat="1">
      <c r="B36" s="305" t="s">
        <v>324</v>
      </c>
      <c r="C36" s="306"/>
      <c r="D36" s="306"/>
      <c r="E36" s="306"/>
      <c r="F36" s="307"/>
      <c r="G36" s="83"/>
    </row>
    <row r="37" spans="2:7" s="56" customFormat="1">
      <c r="B37" s="100" t="s">
        <v>500</v>
      </c>
      <c r="C37" s="379" t="s">
        <v>492</v>
      </c>
      <c r="D37" s="379"/>
      <c r="E37" s="379"/>
      <c r="F37" s="379"/>
      <c r="G37" s="85"/>
    </row>
    <row r="38" spans="2:7" s="56" customFormat="1">
      <c r="B38" s="100"/>
      <c r="C38" s="379" t="s">
        <v>501</v>
      </c>
      <c r="D38" s="379"/>
      <c r="E38" s="379"/>
      <c r="F38" s="379"/>
      <c r="G38" s="85"/>
    </row>
    <row r="39" spans="2:7" s="56" customFormat="1"/>
    <row r="40" spans="2:7" s="56" customFormat="1">
      <c r="B40" s="305" t="s">
        <v>287</v>
      </c>
      <c r="C40" s="306"/>
      <c r="D40" s="306"/>
      <c r="E40" s="306"/>
      <c r="F40" s="307"/>
      <c r="G40" s="83"/>
    </row>
    <row r="41" spans="2:7" s="56" customFormat="1" ht="30.95" customHeight="1">
      <c r="B41" s="308" t="s">
        <v>502</v>
      </c>
      <c r="C41" s="349"/>
      <c r="D41" s="349"/>
      <c r="E41" s="349"/>
      <c r="F41" s="350"/>
      <c r="G41" s="61"/>
    </row>
    <row r="42" spans="2:7" s="56" customFormat="1"/>
    <row r="43" spans="2:7" s="56" customFormat="1" ht="29.1" customHeight="1">
      <c r="B43" s="313" t="s">
        <v>289</v>
      </c>
      <c r="C43" s="314"/>
      <c r="D43" s="314"/>
      <c r="E43" s="314"/>
      <c r="F43" s="315"/>
      <c r="G43" s="83"/>
    </row>
    <row r="44" spans="2:7" s="56" customFormat="1">
      <c r="B44" s="62" t="s">
        <v>290</v>
      </c>
      <c r="C44" s="62" t="s">
        <v>291</v>
      </c>
      <c r="D44" s="305" t="s">
        <v>292</v>
      </c>
      <c r="E44" s="306"/>
      <c r="F44" s="307"/>
      <c r="G44" s="83"/>
    </row>
    <row r="45" spans="2:7" s="56" customFormat="1">
      <c r="B45" s="63"/>
      <c r="C45" s="63"/>
      <c r="D45" s="316"/>
      <c r="E45" s="317"/>
      <c r="F45" s="318"/>
      <c r="G45" s="98"/>
    </row>
    <row r="46" spans="2:7" s="56" customFormat="1">
      <c r="B46" s="63"/>
      <c r="C46" s="63"/>
      <c r="D46" s="316"/>
      <c r="E46" s="317"/>
      <c r="F46" s="318"/>
      <c r="G46" s="98"/>
    </row>
    <row r="47" spans="2:7" s="56" customFormat="1">
      <c r="B47" s="64"/>
      <c r="C47" s="64"/>
      <c r="D47" s="316"/>
      <c r="E47" s="317"/>
      <c r="F47" s="318"/>
      <c r="G47" s="98"/>
    </row>
    <row r="48" spans="2:7" s="56" customFormat="1"/>
    <row r="49" spans="2:7" s="56" customFormat="1">
      <c r="B49" s="305" t="s">
        <v>293</v>
      </c>
      <c r="C49" s="306"/>
      <c r="D49" s="306"/>
      <c r="E49" s="306"/>
      <c r="F49" s="307"/>
      <c r="G49" s="83"/>
    </row>
    <row r="50" spans="2:7" s="56" customFormat="1" ht="50.45" customHeight="1">
      <c r="B50" s="308" t="s">
        <v>503</v>
      </c>
      <c r="C50" s="294"/>
      <c r="D50" s="294"/>
      <c r="E50" s="294"/>
      <c r="F50" s="295"/>
      <c r="G50" s="61"/>
    </row>
    <row r="51" spans="2:7" s="56" customFormat="1"/>
    <row r="52" spans="2:7" s="56" customFormat="1">
      <c r="B52" s="305" t="s">
        <v>428</v>
      </c>
      <c r="C52" s="306"/>
      <c r="D52" s="306"/>
      <c r="E52" s="306"/>
      <c r="F52" s="307"/>
      <c r="G52" s="83"/>
    </row>
    <row r="53" spans="2:7" ht="47.1" customHeight="1">
      <c r="B53" s="308" t="s">
        <v>566</v>
      </c>
      <c r="C53" s="294"/>
      <c r="D53" s="294"/>
      <c r="E53" s="294"/>
      <c r="F53" s="295"/>
      <c r="G53" s="61"/>
    </row>
    <row r="1048538" spans="8:9">
      <c r="H1048538" s="83"/>
      <c r="I1048538" s="83"/>
    </row>
  </sheetData>
  <mergeCells count="38">
    <mergeCell ref="D47:F47"/>
    <mergeCell ref="B49:F49"/>
    <mergeCell ref="B50:F50"/>
    <mergeCell ref="B52:F52"/>
    <mergeCell ref="B53:F53"/>
    <mergeCell ref="D46:F46"/>
    <mergeCell ref="B36:F36"/>
    <mergeCell ref="C37:F37"/>
    <mergeCell ref="C38:F38"/>
    <mergeCell ref="B33:F33"/>
    <mergeCell ref="B34:F34"/>
    <mergeCell ref="B40:F40"/>
    <mergeCell ref="B41:F41"/>
    <mergeCell ref="B43:F43"/>
    <mergeCell ref="D44:F44"/>
    <mergeCell ref="D45:F45"/>
    <mergeCell ref="B27:F27"/>
    <mergeCell ref="B28:F28"/>
    <mergeCell ref="B29:F29"/>
    <mergeCell ref="B30:F30"/>
    <mergeCell ref="B31:F31"/>
    <mergeCell ref="B25:F25"/>
    <mergeCell ref="C10:F10"/>
    <mergeCell ref="B12:F12"/>
    <mergeCell ref="B13:C13"/>
    <mergeCell ref="D13:F13"/>
    <mergeCell ref="B14:C14"/>
    <mergeCell ref="D14:F14"/>
    <mergeCell ref="B19:F19"/>
    <mergeCell ref="B20:F20"/>
    <mergeCell ref="B21:F21"/>
    <mergeCell ref="B22:F22"/>
    <mergeCell ref="B24:F24"/>
    <mergeCell ref="C5:F5"/>
    <mergeCell ref="C6:F6"/>
    <mergeCell ref="C7:F7"/>
    <mergeCell ref="C8:F8"/>
    <mergeCell ref="C9:F9"/>
  </mergeCells>
  <dataValidations count="2">
    <dataValidation type="list" allowBlank="1" showInputMessage="1" showErrorMessage="1" sqref="C45:C47">
      <formula1>"Académique, Professionnel, Associatif, Autre"</formula1>
    </dataValidation>
    <dataValidation type="list" allowBlank="1" showInputMessage="1" showErrorMessage="1" sqref="C5">
      <formula1>"Mise à jour à partir du plan d'études, Nouvelle création"</formula1>
    </dataValidation>
  </dataValidations>
  <hyperlinks>
    <hyperlink ref="B1" location="'Schéma d''enseignement'!G37" display="Schéma d'enseignement"/>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5"/>
  </sheetPr>
  <dimension ref="B1:I1048539"/>
  <sheetViews>
    <sheetView workbookViewId="0">
      <selection activeCell="B1" sqref="B1"/>
    </sheetView>
  </sheetViews>
  <sheetFormatPr baseColWidth="10" defaultColWidth="8.85546875" defaultRowHeight="15.75"/>
  <cols>
    <col min="1" max="1" width="2" style="99" customWidth="1"/>
    <col min="2" max="2" width="29.42578125" style="99" customWidth="1"/>
    <col min="3" max="3" width="15.5703125" style="99" customWidth="1"/>
    <col min="4" max="4" width="11.85546875" style="99" customWidth="1"/>
    <col min="5" max="5" width="7" style="99" customWidth="1"/>
    <col min="6" max="6" width="21.8554687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54" t="s">
        <v>252</v>
      </c>
      <c r="C3" s="55"/>
      <c r="D3" s="55"/>
      <c r="E3" s="55"/>
      <c r="F3" s="55"/>
      <c r="G3" s="80"/>
    </row>
    <row r="4" spans="2:7" s="56" customFormat="1"/>
    <row r="5" spans="2:7" s="56" customFormat="1">
      <c r="B5" s="57" t="s">
        <v>253</v>
      </c>
      <c r="C5" s="291" t="s">
        <v>311</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788</v>
      </c>
      <c r="D9" s="291"/>
      <c r="E9" s="291"/>
      <c r="F9" s="291"/>
      <c r="G9" s="81"/>
    </row>
    <row r="10" spans="2:7" s="56" customFormat="1">
      <c r="B10" s="57" t="s">
        <v>263</v>
      </c>
      <c r="C10" s="291">
        <v>5</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43201</v>
      </c>
      <c r="C14" s="300"/>
      <c r="D14" s="291" t="s">
        <v>301</v>
      </c>
      <c r="E14" s="291"/>
      <c r="F14" s="291"/>
      <c r="G14" s="81"/>
    </row>
    <row r="15" spans="2:7" s="56" customFormat="1"/>
    <row r="16" spans="2:7" s="56" customFormat="1">
      <c r="B16" s="59" t="s">
        <v>267</v>
      </c>
      <c r="C16" s="59" t="s">
        <v>268</v>
      </c>
      <c r="D16" s="59" t="s">
        <v>269</v>
      </c>
      <c r="E16" s="59" t="s">
        <v>270</v>
      </c>
      <c r="F16" s="59" t="s">
        <v>271</v>
      </c>
      <c r="G16" s="82"/>
    </row>
    <row r="17" spans="2:7" s="56" customFormat="1" ht="23.25" customHeight="1">
      <c r="B17" s="26" t="s">
        <v>201</v>
      </c>
      <c r="C17" s="21">
        <v>21</v>
      </c>
      <c r="D17" s="21">
        <v>2</v>
      </c>
      <c r="E17" s="21">
        <v>2</v>
      </c>
      <c r="F17" s="21" t="s">
        <v>272</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47.45" customHeight="1">
      <c r="B20" s="308" t="s">
        <v>504</v>
      </c>
      <c r="C20" s="294"/>
      <c r="D20" s="294"/>
      <c r="E20" s="294"/>
      <c r="F20" s="295"/>
      <c r="G20" s="84"/>
    </row>
    <row r="21" spans="2:7" s="56" customFormat="1">
      <c r="B21" s="305" t="s">
        <v>275</v>
      </c>
      <c r="C21" s="306"/>
      <c r="D21" s="306"/>
      <c r="E21" s="306"/>
      <c r="F21" s="307"/>
      <c r="G21" s="83"/>
    </row>
    <row r="22" spans="2:7" s="56" customFormat="1" ht="75.95" customHeight="1">
      <c r="B22" s="312" t="s">
        <v>505</v>
      </c>
      <c r="C22" s="294"/>
      <c r="D22" s="294"/>
      <c r="E22" s="294"/>
      <c r="F22" s="295"/>
      <c r="G22" s="85"/>
    </row>
    <row r="23" spans="2:7" s="56" customFormat="1"/>
    <row r="24" spans="2:7" s="56" customFormat="1">
      <c r="B24" s="305" t="s">
        <v>277</v>
      </c>
      <c r="C24" s="306"/>
      <c r="D24" s="306"/>
      <c r="E24" s="306"/>
      <c r="F24" s="307"/>
      <c r="G24" s="83"/>
    </row>
    <row r="25" spans="2:7" s="56" customFormat="1" ht="30.6" customHeight="1">
      <c r="B25" s="293" t="s">
        <v>506</v>
      </c>
      <c r="C25" s="294"/>
      <c r="D25" s="294"/>
      <c r="E25" s="294"/>
      <c r="F25" s="295"/>
      <c r="G25" s="84"/>
    </row>
    <row r="26" spans="2:7" s="56" customFormat="1"/>
    <row r="27" spans="2:7" s="56" customFormat="1">
      <c r="B27" s="305" t="s">
        <v>279</v>
      </c>
      <c r="C27" s="306"/>
      <c r="D27" s="306"/>
      <c r="E27" s="306"/>
      <c r="F27" s="307"/>
      <c r="G27" s="82"/>
    </row>
    <row r="28" spans="2:7" s="56" customFormat="1">
      <c r="B28" s="319" t="s">
        <v>147</v>
      </c>
      <c r="C28" s="320"/>
      <c r="D28" s="320"/>
      <c r="E28" s="320"/>
      <c r="F28" s="321"/>
      <c r="G28" s="94"/>
    </row>
    <row r="29" spans="2:7" s="56" customFormat="1">
      <c r="B29" s="319" t="s">
        <v>106</v>
      </c>
      <c r="C29" s="320"/>
      <c r="D29" s="320"/>
      <c r="E29" s="320"/>
      <c r="F29" s="321"/>
      <c r="G29" s="94"/>
    </row>
    <row r="30" spans="2:7" s="56" customFormat="1">
      <c r="B30" s="319" t="s">
        <v>161</v>
      </c>
      <c r="C30" s="320"/>
      <c r="D30" s="320"/>
      <c r="E30" s="320"/>
      <c r="F30" s="321"/>
      <c r="G30" s="94"/>
    </row>
    <row r="31" spans="2:7" s="56" customFormat="1">
      <c r="B31" s="319" t="s">
        <v>169</v>
      </c>
      <c r="C31" s="320"/>
      <c r="D31" s="320"/>
      <c r="E31" s="320"/>
      <c r="F31" s="321"/>
      <c r="G31" s="94"/>
    </row>
    <row r="32" spans="2:7" s="56" customFormat="1">
      <c r="B32" s="351" t="s">
        <v>163</v>
      </c>
      <c r="C32" s="351"/>
      <c r="D32" s="351"/>
      <c r="E32" s="351"/>
      <c r="F32" s="351"/>
      <c r="G32" s="94"/>
    </row>
    <row r="33" spans="2:7" s="56" customFormat="1"/>
    <row r="34" spans="2:7" s="56" customFormat="1">
      <c r="B34" s="305" t="s">
        <v>284</v>
      </c>
      <c r="C34" s="306"/>
      <c r="D34" s="306"/>
      <c r="E34" s="306"/>
      <c r="F34" s="307"/>
      <c r="G34" s="83"/>
    </row>
    <row r="35" spans="2:7" s="56" customFormat="1" ht="93.6" customHeight="1">
      <c r="B35" s="446" t="s">
        <v>507</v>
      </c>
      <c r="C35" s="447"/>
      <c r="D35" s="447"/>
      <c r="E35" s="447"/>
      <c r="F35" s="448"/>
      <c r="G35" s="85"/>
    </row>
    <row r="36" spans="2:7" s="56" customFormat="1" ht="16.5" customHeight="1">
      <c r="B36" s="60"/>
      <c r="C36" s="61"/>
      <c r="D36" s="61"/>
      <c r="E36" s="61"/>
      <c r="F36" s="61"/>
      <c r="G36" s="61"/>
    </row>
    <row r="37" spans="2:7" s="56" customFormat="1">
      <c r="B37" s="305" t="s">
        <v>324</v>
      </c>
      <c r="C37" s="306"/>
      <c r="D37" s="306"/>
      <c r="E37" s="306"/>
      <c r="F37" s="307"/>
      <c r="G37" s="83"/>
    </row>
    <row r="38" spans="2:7" s="56" customFormat="1">
      <c r="B38" s="100" t="s">
        <v>306</v>
      </c>
      <c r="C38" s="379"/>
      <c r="D38" s="379"/>
      <c r="E38" s="379"/>
      <c r="F38" s="379"/>
      <c r="G38" s="85"/>
    </row>
    <row r="39" spans="2:7" s="56" customFormat="1">
      <c r="B39" s="100" t="s">
        <v>508</v>
      </c>
      <c r="C39" s="379"/>
      <c r="D39" s="379"/>
      <c r="E39" s="379"/>
      <c r="F39" s="379"/>
      <c r="G39" s="85"/>
    </row>
    <row r="40" spans="2:7" s="56" customFormat="1">
      <c r="B40" s="100" t="s">
        <v>509</v>
      </c>
      <c r="C40" s="293"/>
      <c r="D40" s="294"/>
      <c r="E40" s="294"/>
      <c r="F40" s="295"/>
      <c r="G40" s="85"/>
    </row>
    <row r="41" spans="2:7" s="56" customFormat="1">
      <c r="B41" s="100" t="s">
        <v>380</v>
      </c>
      <c r="C41" s="379"/>
      <c r="D41" s="379"/>
      <c r="E41" s="379"/>
      <c r="F41" s="379"/>
      <c r="G41" s="85"/>
    </row>
    <row r="42" spans="2:7" s="56" customFormat="1"/>
    <row r="43" spans="2:7" s="56" customFormat="1">
      <c r="B43" s="305" t="s">
        <v>287</v>
      </c>
      <c r="C43" s="306"/>
      <c r="D43" s="306"/>
      <c r="E43" s="306"/>
      <c r="F43" s="307"/>
      <c r="G43" s="83"/>
    </row>
    <row r="44" spans="2:7" s="56" customFormat="1" ht="31.5" customHeight="1">
      <c r="B44" s="308" t="s">
        <v>510</v>
      </c>
      <c r="C44" s="294"/>
      <c r="D44" s="294"/>
      <c r="E44" s="294"/>
      <c r="F44" s="295"/>
      <c r="G44" s="61"/>
    </row>
    <row r="45" spans="2:7" s="56" customFormat="1"/>
    <row r="46" spans="2:7" s="56" customFormat="1">
      <c r="B46" s="305" t="s">
        <v>289</v>
      </c>
      <c r="C46" s="306"/>
      <c r="D46" s="306"/>
      <c r="E46" s="306"/>
      <c r="F46" s="307"/>
      <c r="G46" s="83"/>
    </row>
    <row r="47" spans="2:7" s="56" customFormat="1">
      <c r="B47" s="62" t="s">
        <v>290</v>
      </c>
      <c r="C47" s="62" t="s">
        <v>291</v>
      </c>
      <c r="D47" s="305" t="s">
        <v>292</v>
      </c>
      <c r="E47" s="306"/>
      <c r="F47" s="307"/>
      <c r="G47" s="83"/>
    </row>
    <row r="48" spans="2:7" s="56" customFormat="1">
      <c r="B48" s="63"/>
      <c r="C48" s="63"/>
      <c r="D48" s="316"/>
      <c r="E48" s="317"/>
      <c r="F48" s="318"/>
      <c r="G48" s="98"/>
    </row>
    <row r="49" spans="2:7" s="56" customFormat="1">
      <c r="B49" s="63"/>
      <c r="C49" s="63"/>
      <c r="D49" s="316"/>
      <c r="E49" s="317"/>
      <c r="F49" s="318"/>
      <c r="G49" s="98"/>
    </row>
    <row r="50" spans="2:7" s="56" customFormat="1">
      <c r="B50" s="64"/>
      <c r="C50" s="64"/>
      <c r="D50" s="316"/>
      <c r="E50" s="317"/>
      <c r="F50" s="318"/>
      <c r="G50" s="98"/>
    </row>
    <row r="51" spans="2:7" s="56" customFormat="1"/>
    <row r="52" spans="2:7" s="56" customFormat="1">
      <c r="B52" s="305" t="s">
        <v>293</v>
      </c>
      <c r="C52" s="306"/>
      <c r="D52" s="306"/>
      <c r="E52" s="306"/>
      <c r="F52" s="307"/>
      <c r="G52" s="83"/>
    </row>
    <row r="53" spans="2:7" s="56" customFormat="1" ht="62.1" customHeight="1">
      <c r="B53" s="308" t="s">
        <v>511</v>
      </c>
      <c r="C53" s="294"/>
      <c r="D53" s="294"/>
      <c r="E53" s="294"/>
      <c r="F53" s="295"/>
      <c r="G53" s="61"/>
    </row>
    <row r="54" spans="2:7" s="56" customFormat="1"/>
    <row r="1048539" spans="8:9">
      <c r="H1048539" s="83"/>
      <c r="I1048539" s="83"/>
    </row>
  </sheetData>
  <mergeCells count="39">
    <mergeCell ref="D50:F50"/>
    <mergeCell ref="B52:F52"/>
    <mergeCell ref="B53:F53"/>
    <mergeCell ref="B43:F43"/>
    <mergeCell ref="B44:F44"/>
    <mergeCell ref="B46:F46"/>
    <mergeCell ref="D47:F47"/>
    <mergeCell ref="D48:F48"/>
    <mergeCell ref="D49:F49"/>
    <mergeCell ref="B37:F37"/>
    <mergeCell ref="C38:F38"/>
    <mergeCell ref="C39:F39"/>
    <mergeCell ref="C40:F40"/>
    <mergeCell ref="C41:F41"/>
    <mergeCell ref="B34:F34"/>
    <mergeCell ref="B35:F35"/>
    <mergeCell ref="B27:F27"/>
    <mergeCell ref="B28:F28"/>
    <mergeCell ref="B29:F29"/>
    <mergeCell ref="B30:F30"/>
    <mergeCell ref="B31:F31"/>
    <mergeCell ref="B32:F32"/>
    <mergeCell ref="B25:F25"/>
    <mergeCell ref="C10:F10"/>
    <mergeCell ref="B12:F12"/>
    <mergeCell ref="B13:C13"/>
    <mergeCell ref="D13:F13"/>
    <mergeCell ref="B14:C14"/>
    <mergeCell ref="D14:F14"/>
    <mergeCell ref="B19:F19"/>
    <mergeCell ref="B20:F20"/>
    <mergeCell ref="B21:F21"/>
    <mergeCell ref="B22:F22"/>
    <mergeCell ref="B24:F24"/>
    <mergeCell ref="C5:F5"/>
    <mergeCell ref="C6:F6"/>
    <mergeCell ref="C7:F7"/>
    <mergeCell ref="C8:F8"/>
    <mergeCell ref="C9:F9"/>
  </mergeCells>
  <dataValidations count="2">
    <dataValidation type="list" allowBlank="1" showInputMessage="1" showErrorMessage="1" sqref="C5">
      <formula1>"Mise à jour à partir du plan d'études, Nouvelle création"</formula1>
    </dataValidation>
    <dataValidation type="list" allowBlank="1" showInputMessage="1" showErrorMessage="1" sqref="C48:C50">
      <formula1>"Académique, Professionnel, Associatif, Autre"</formula1>
    </dataValidation>
  </dataValidations>
  <hyperlinks>
    <hyperlink ref="B1" location="'Schéma d''enseignement'!G38" display="Schéma d'enseignement"/>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theme="5"/>
  </sheetPr>
  <dimension ref="B1:I1048536"/>
  <sheetViews>
    <sheetView zoomScaleNormal="100" workbookViewId="0">
      <selection activeCell="B1" sqref="B1"/>
    </sheetView>
  </sheetViews>
  <sheetFormatPr baseColWidth="10" defaultColWidth="8.85546875" defaultRowHeight="15.75"/>
  <cols>
    <col min="1" max="1" width="1.140625" style="99" customWidth="1"/>
    <col min="2" max="2" width="29.42578125" style="99" customWidth="1"/>
    <col min="3" max="3" width="15.5703125" style="99" customWidth="1"/>
    <col min="4" max="4" width="11.85546875" style="99" customWidth="1"/>
    <col min="5" max="5" width="7" style="99" customWidth="1"/>
    <col min="6" max="6" width="21.4257812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54" t="s">
        <v>252</v>
      </c>
      <c r="C3" s="55"/>
      <c r="D3" s="55"/>
      <c r="E3" s="55"/>
      <c r="F3" s="55"/>
      <c r="G3" s="80"/>
    </row>
    <row r="4" spans="2:7" s="56" customFormat="1"/>
    <row r="5" spans="2:7" s="56" customFormat="1">
      <c r="B5" s="57" t="s">
        <v>253</v>
      </c>
      <c r="C5" s="291" t="s">
        <v>311</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788</v>
      </c>
      <c r="D9" s="291"/>
      <c r="E9" s="291"/>
      <c r="F9" s="291"/>
      <c r="G9" s="81"/>
    </row>
    <row r="10" spans="2:7" s="56" customFormat="1">
      <c r="B10" s="57" t="s">
        <v>263</v>
      </c>
      <c r="C10" s="291">
        <v>5</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43199</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23.25" customHeight="1">
      <c r="B17" s="21" t="s">
        <v>512</v>
      </c>
      <c r="C17" s="21" t="s">
        <v>513</v>
      </c>
      <c r="D17" s="21">
        <v>3</v>
      </c>
      <c r="E17" s="21">
        <v>3</v>
      </c>
      <c r="F17" s="21" t="s">
        <v>272</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73.5" customHeight="1">
      <c r="B20" s="308" t="s">
        <v>514</v>
      </c>
      <c r="C20" s="365"/>
      <c r="D20" s="365"/>
      <c r="E20" s="365"/>
      <c r="F20" s="366"/>
      <c r="G20" s="84"/>
    </row>
    <row r="21" spans="2:7" s="56" customFormat="1">
      <c r="B21" s="305" t="s">
        <v>275</v>
      </c>
      <c r="C21" s="306"/>
      <c r="D21" s="306"/>
      <c r="E21" s="306"/>
      <c r="F21" s="307"/>
      <c r="G21" s="83"/>
    </row>
    <row r="22" spans="2:7" s="56" customFormat="1" ht="107.1" customHeight="1">
      <c r="B22" s="312" t="s">
        <v>515</v>
      </c>
      <c r="C22" s="349"/>
      <c r="D22" s="349"/>
      <c r="E22" s="349"/>
      <c r="F22" s="350"/>
      <c r="G22" s="85"/>
    </row>
    <row r="23" spans="2:7" s="56" customFormat="1"/>
    <row r="24" spans="2:7" s="56" customFormat="1">
      <c r="B24" s="305" t="s">
        <v>277</v>
      </c>
      <c r="C24" s="306"/>
      <c r="D24" s="306"/>
      <c r="E24" s="306"/>
      <c r="F24" s="307"/>
      <c r="G24" s="83"/>
    </row>
    <row r="25" spans="2:7" s="56" customFormat="1" ht="30.6" customHeight="1">
      <c r="B25" s="293" t="s">
        <v>516</v>
      </c>
      <c r="C25" s="365"/>
      <c r="D25" s="365"/>
      <c r="E25" s="365"/>
      <c r="F25" s="366"/>
      <c r="G25" s="84"/>
    </row>
    <row r="26" spans="2:7" s="56" customFormat="1"/>
    <row r="27" spans="2:7" s="56" customFormat="1">
      <c r="B27" s="305" t="s">
        <v>279</v>
      </c>
      <c r="C27" s="306"/>
      <c r="D27" s="306"/>
      <c r="E27" s="306"/>
      <c r="F27" s="307"/>
      <c r="G27" s="82"/>
    </row>
    <row r="28" spans="2:7" s="56" customFormat="1">
      <c r="B28" s="325" t="s">
        <v>9</v>
      </c>
      <c r="C28" s="331"/>
      <c r="D28" s="331"/>
      <c r="E28" s="331"/>
      <c r="F28" s="332"/>
      <c r="G28" s="94"/>
    </row>
    <row r="29" spans="2:7" s="56" customFormat="1">
      <c r="B29" s="444" t="s">
        <v>163</v>
      </c>
      <c r="C29" s="331"/>
      <c r="D29" s="331"/>
      <c r="E29" s="331"/>
      <c r="F29" s="332"/>
      <c r="G29" s="94"/>
    </row>
    <row r="30" spans="2:7" s="56" customFormat="1">
      <c r="B30" s="444" t="s">
        <v>106</v>
      </c>
      <c r="C30" s="331"/>
      <c r="D30" s="331"/>
      <c r="E30" s="331"/>
      <c r="F30" s="332"/>
      <c r="G30" s="94"/>
    </row>
    <row r="31" spans="2:7" s="56" customFormat="1">
      <c r="B31" s="339" t="s">
        <v>489</v>
      </c>
      <c r="C31" s="379"/>
      <c r="D31" s="379"/>
      <c r="E31" s="379"/>
      <c r="F31" s="379"/>
      <c r="G31" s="94"/>
    </row>
    <row r="32" spans="2:7" s="56" customFormat="1">
      <c r="B32" s="126"/>
      <c r="C32" s="126"/>
      <c r="D32" s="126"/>
      <c r="E32" s="126"/>
      <c r="F32" s="126"/>
    </row>
    <row r="33" spans="2:7" s="56" customFormat="1">
      <c r="B33" s="305" t="s">
        <v>284</v>
      </c>
      <c r="C33" s="306"/>
      <c r="D33" s="306"/>
      <c r="E33" s="306"/>
      <c r="F33" s="307"/>
      <c r="G33" s="83"/>
    </row>
    <row r="34" spans="2:7" s="56" customFormat="1" ht="367.5" customHeight="1">
      <c r="B34" s="449" t="s">
        <v>517</v>
      </c>
      <c r="C34" s="349"/>
      <c r="D34" s="349"/>
      <c r="E34" s="349"/>
      <c r="F34" s="350"/>
      <c r="G34" s="85"/>
    </row>
    <row r="35" spans="2:7" s="56" customFormat="1" ht="14.25" customHeight="1">
      <c r="B35" s="60" t="s">
        <v>490</v>
      </c>
      <c r="C35" s="61"/>
      <c r="D35" s="61"/>
      <c r="E35" s="61"/>
      <c r="F35" s="61"/>
      <c r="G35" s="61"/>
    </row>
    <row r="36" spans="2:7" s="56" customFormat="1">
      <c r="B36" s="305" t="s">
        <v>324</v>
      </c>
      <c r="C36" s="306"/>
      <c r="D36" s="306"/>
      <c r="E36" s="306"/>
      <c r="F36" s="307"/>
      <c r="G36" s="83"/>
    </row>
    <row r="37" spans="2:7" s="56" customFormat="1">
      <c r="B37" s="100" t="s">
        <v>500</v>
      </c>
      <c r="C37" s="379" t="s">
        <v>492</v>
      </c>
      <c r="D37" s="379"/>
      <c r="E37" s="379"/>
      <c r="F37" s="379"/>
      <c r="G37" s="85"/>
    </row>
    <row r="38" spans="2:7" s="56" customFormat="1">
      <c r="B38" s="100"/>
      <c r="C38" s="450"/>
      <c r="D38" s="450"/>
      <c r="E38" s="450"/>
      <c r="F38" s="450"/>
      <c r="G38" s="85"/>
    </row>
    <row r="39" spans="2:7" s="56" customFormat="1"/>
    <row r="40" spans="2:7" s="56" customFormat="1">
      <c r="B40" s="305" t="s">
        <v>287</v>
      </c>
      <c r="C40" s="306"/>
      <c r="D40" s="306"/>
      <c r="E40" s="306"/>
      <c r="F40" s="307"/>
      <c r="G40" s="83"/>
    </row>
    <row r="41" spans="2:7" s="56" customFormat="1" ht="33" customHeight="1">
      <c r="B41" s="308" t="s">
        <v>518</v>
      </c>
      <c r="C41" s="349"/>
      <c r="D41" s="349"/>
      <c r="E41" s="349"/>
      <c r="F41" s="350"/>
      <c r="G41" s="61"/>
    </row>
    <row r="42" spans="2:7" s="56" customFormat="1"/>
    <row r="43" spans="2:7" s="56" customFormat="1" ht="33.6" customHeight="1">
      <c r="B43" s="313" t="s">
        <v>289</v>
      </c>
      <c r="C43" s="314"/>
      <c r="D43" s="314"/>
      <c r="E43" s="314"/>
      <c r="F43" s="315"/>
      <c r="G43" s="83"/>
    </row>
    <row r="44" spans="2:7" s="56" customFormat="1">
      <c r="B44" s="62" t="s">
        <v>290</v>
      </c>
      <c r="C44" s="62" t="s">
        <v>291</v>
      </c>
      <c r="D44" s="305" t="s">
        <v>292</v>
      </c>
      <c r="E44" s="306"/>
      <c r="F44" s="307"/>
      <c r="G44" s="83"/>
    </row>
    <row r="45" spans="2:7" s="56" customFormat="1">
      <c r="B45" s="63"/>
      <c r="C45" s="63"/>
      <c r="D45" s="316"/>
      <c r="E45" s="317"/>
      <c r="F45" s="318"/>
      <c r="G45" s="98"/>
    </row>
    <row r="46" spans="2:7" s="56" customFormat="1">
      <c r="B46" s="63"/>
      <c r="C46" s="63"/>
      <c r="D46" s="316"/>
      <c r="E46" s="317"/>
      <c r="F46" s="318"/>
      <c r="G46" s="98"/>
    </row>
    <row r="47" spans="2:7" s="56" customFormat="1">
      <c r="B47" s="64"/>
      <c r="C47" s="64"/>
      <c r="D47" s="316"/>
      <c r="E47" s="317"/>
      <c r="F47" s="318"/>
      <c r="G47" s="98"/>
    </row>
    <row r="48" spans="2:7" s="56" customFormat="1"/>
    <row r="49" spans="2:7" s="56" customFormat="1">
      <c r="B49" s="305" t="s">
        <v>293</v>
      </c>
      <c r="C49" s="306"/>
      <c r="D49" s="306"/>
      <c r="E49" s="306"/>
      <c r="F49" s="307"/>
      <c r="G49" s="83"/>
    </row>
    <row r="50" spans="2:7" s="56" customFormat="1" ht="86.25" customHeight="1">
      <c r="B50" s="312" t="s">
        <v>519</v>
      </c>
      <c r="C50" s="294"/>
      <c r="D50" s="294"/>
      <c r="E50" s="294"/>
      <c r="F50" s="295"/>
      <c r="G50" s="61"/>
    </row>
    <row r="51" spans="2:7" s="56" customFormat="1"/>
    <row r="1048536" spans="8:9">
      <c r="H1048536" s="83"/>
      <c r="I1048536" s="83"/>
    </row>
  </sheetData>
  <mergeCells count="36">
    <mergeCell ref="D45:F45"/>
    <mergeCell ref="D46:F46"/>
    <mergeCell ref="D47:F47"/>
    <mergeCell ref="B49:F49"/>
    <mergeCell ref="B50:F50"/>
    <mergeCell ref="D44:F44"/>
    <mergeCell ref="B33:F33"/>
    <mergeCell ref="B34:F34"/>
    <mergeCell ref="B36:F36"/>
    <mergeCell ref="C37:F37"/>
    <mergeCell ref="C38:F38"/>
    <mergeCell ref="B40:F40"/>
    <mergeCell ref="B41:F41"/>
    <mergeCell ref="B43:F43"/>
    <mergeCell ref="B27:F27"/>
    <mergeCell ref="B28:F28"/>
    <mergeCell ref="B29:F29"/>
    <mergeCell ref="B30:F30"/>
    <mergeCell ref="B31:F31"/>
    <mergeCell ref="B25:F25"/>
    <mergeCell ref="C10:F10"/>
    <mergeCell ref="B12:F12"/>
    <mergeCell ref="B13:C13"/>
    <mergeCell ref="D13:F13"/>
    <mergeCell ref="B14:C14"/>
    <mergeCell ref="D14:F14"/>
    <mergeCell ref="B19:F19"/>
    <mergeCell ref="B20:F20"/>
    <mergeCell ref="B21:F21"/>
    <mergeCell ref="B22:F22"/>
    <mergeCell ref="B24:F24"/>
    <mergeCell ref="C5:F5"/>
    <mergeCell ref="C6:F6"/>
    <mergeCell ref="C7:F7"/>
    <mergeCell ref="C8:F8"/>
    <mergeCell ref="C9:F9"/>
  </mergeCells>
  <dataValidations count="2">
    <dataValidation type="list" allowBlank="1" showInputMessage="1" showErrorMessage="1" sqref="C5">
      <formula1>"Mise à jour à partir du plan d'études, Nouvelle création"</formula1>
    </dataValidation>
    <dataValidation type="list" allowBlank="1" showInputMessage="1" showErrorMessage="1" sqref="C45:C47">
      <formula1>"Académique, Professionnel, Associatif, Autre"</formula1>
    </dataValidation>
  </dataValidations>
  <hyperlinks>
    <hyperlink ref="B1" location="'Schéma d''enseignement'!G39" display="Schéma d'enseignement"/>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5"/>
  </sheetPr>
  <dimension ref="B1:I1048536"/>
  <sheetViews>
    <sheetView zoomScaleNormal="100" workbookViewId="0">
      <selection activeCell="B1" sqref="B1"/>
    </sheetView>
  </sheetViews>
  <sheetFormatPr baseColWidth="10" defaultColWidth="8.85546875" defaultRowHeight="15.75"/>
  <cols>
    <col min="1" max="1" width="1.140625" style="99" customWidth="1"/>
    <col min="2" max="2" width="29.42578125" style="99" customWidth="1"/>
    <col min="3" max="3" width="15.5703125" style="99" customWidth="1"/>
    <col min="4" max="4" width="11.85546875" style="99" customWidth="1"/>
    <col min="5" max="5" width="7" style="99" customWidth="1"/>
    <col min="6" max="6" width="20.42578125" style="99" customWidth="1"/>
    <col min="7" max="9" width="70.5703125" style="99" customWidth="1"/>
    <col min="10" max="10" width="8.85546875" style="99"/>
    <col min="11" max="11" width="128.140625" style="99" customWidth="1"/>
    <col min="12" max="16384" width="8.85546875" style="99"/>
  </cols>
  <sheetData>
    <row r="1" spans="2:7">
      <c r="B1" s="192" t="s">
        <v>783</v>
      </c>
    </row>
    <row r="3" spans="2:7" ht="22.35" customHeight="1">
      <c r="B3" s="54" t="s">
        <v>252</v>
      </c>
      <c r="C3" s="55"/>
      <c r="D3" s="55"/>
      <c r="E3" s="55"/>
      <c r="F3" s="55"/>
      <c r="G3" s="80"/>
    </row>
    <row r="4" spans="2:7" s="56" customFormat="1"/>
    <row r="5" spans="2:7" s="56" customFormat="1">
      <c r="B5" s="57" t="s">
        <v>253</v>
      </c>
      <c r="C5" s="291" t="s">
        <v>254</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ht="15.75" customHeight="1">
      <c r="B9" s="57" t="s">
        <v>261</v>
      </c>
      <c r="C9" s="451" t="s">
        <v>211</v>
      </c>
      <c r="D9" s="452"/>
      <c r="E9" s="452"/>
      <c r="F9" s="453"/>
      <c r="G9" s="81"/>
    </row>
    <row r="10" spans="2:7" s="56" customFormat="1">
      <c r="B10" s="57" t="s">
        <v>263</v>
      </c>
      <c r="C10" s="451">
        <v>5</v>
      </c>
      <c r="D10" s="452"/>
      <c r="E10" s="452"/>
      <c r="F10" s="453"/>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43201</v>
      </c>
      <c r="C14" s="300"/>
      <c r="D14" s="291" t="s">
        <v>389</v>
      </c>
      <c r="E14" s="291"/>
      <c r="F14" s="291"/>
      <c r="G14" s="81"/>
    </row>
    <row r="15" spans="2:7" s="56" customFormat="1"/>
    <row r="16" spans="2:7" s="56" customFormat="1">
      <c r="B16" s="59" t="s">
        <v>267</v>
      </c>
      <c r="C16" s="59" t="s">
        <v>268</v>
      </c>
      <c r="D16" s="59" t="s">
        <v>269</v>
      </c>
      <c r="E16" s="59" t="s">
        <v>270</v>
      </c>
      <c r="F16" s="59" t="s">
        <v>271</v>
      </c>
      <c r="G16" s="82"/>
    </row>
    <row r="17" spans="2:7" s="56" customFormat="1" ht="35.25" customHeight="1">
      <c r="B17" s="26" t="s">
        <v>789</v>
      </c>
      <c r="C17" s="21">
        <v>42</v>
      </c>
      <c r="D17" s="21">
        <v>3</v>
      </c>
      <c r="E17" s="21">
        <v>3</v>
      </c>
      <c r="F17" s="21" t="s">
        <v>391</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35.1" customHeight="1">
      <c r="B20" s="308" t="s">
        <v>520</v>
      </c>
      <c r="C20" s="365"/>
      <c r="D20" s="365"/>
      <c r="E20" s="365"/>
      <c r="F20" s="366"/>
      <c r="G20" s="84"/>
    </row>
    <row r="21" spans="2:7" s="56" customFormat="1">
      <c r="B21" s="305" t="s">
        <v>275</v>
      </c>
      <c r="C21" s="306"/>
      <c r="D21" s="306"/>
      <c r="E21" s="306"/>
      <c r="F21" s="307"/>
      <c r="G21" s="83"/>
    </row>
    <row r="22" spans="2:7" s="56" customFormat="1" ht="40.5" customHeight="1">
      <c r="B22" s="308" t="s">
        <v>521</v>
      </c>
      <c r="C22" s="294"/>
      <c r="D22" s="294"/>
      <c r="E22" s="294"/>
      <c r="F22" s="295"/>
      <c r="G22" s="85"/>
    </row>
    <row r="23" spans="2:7" s="56" customFormat="1"/>
    <row r="24" spans="2:7" s="56" customFormat="1">
      <c r="B24" s="305" t="s">
        <v>277</v>
      </c>
      <c r="C24" s="306"/>
      <c r="D24" s="306"/>
      <c r="E24" s="306"/>
      <c r="F24" s="307"/>
      <c r="G24" s="83"/>
    </row>
    <row r="25" spans="2:7" s="56" customFormat="1" ht="17.100000000000001" customHeight="1">
      <c r="B25" s="293" t="s">
        <v>522</v>
      </c>
      <c r="C25" s="294"/>
      <c r="D25" s="294"/>
      <c r="E25" s="294"/>
      <c r="F25" s="295"/>
      <c r="G25" s="84"/>
    </row>
    <row r="26" spans="2:7" s="56" customFormat="1"/>
    <row r="27" spans="2:7" s="56" customFormat="1">
      <c r="B27" s="305" t="s">
        <v>279</v>
      </c>
      <c r="C27" s="306"/>
      <c r="D27" s="306"/>
      <c r="E27" s="306"/>
      <c r="F27" s="307"/>
      <c r="G27" s="82"/>
    </row>
    <row r="28" spans="2:7" s="56" customFormat="1">
      <c r="B28" s="412" t="s">
        <v>523</v>
      </c>
      <c r="C28" s="320"/>
      <c r="D28" s="320"/>
      <c r="E28" s="320"/>
      <c r="F28" s="321"/>
      <c r="G28" s="94"/>
    </row>
    <row r="29" spans="2:7" s="56" customFormat="1">
      <c r="B29" s="319" t="s">
        <v>524</v>
      </c>
      <c r="C29" s="320"/>
      <c r="D29" s="320"/>
      <c r="E29" s="320"/>
      <c r="F29" s="321"/>
      <c r="G29" s="94"/>
    </row>
    <row r="30" spans="2:7" s="56" customFormat="1">
      <c r="B30" s="351" t="s">
        <v>525</v>
      </c>
      <c r="C30" s="351"/>
      <c r="D30" s="351"/>
      <c r="E30" s="351"/>
      <c r="F30" s="351"/>
      <c r="G30" s="94"/>
    </row>
    <row r="31" spans="2:7" s="56" customFormat="1"/>
    <row r="32" spans="2:7" s="56" customFormat="1">
      <c r="B32" s="305" t="s">
        <v>284</v>
      </c>
      <c r="C32" s="306"/>
      <c r="D32" s="306"/>
      <c r="E32" s="306"/>
      <c r="F32" s="307"/>
      <c r="G32" s="83"/>
    </row>
    <row r="33" spans="2:9" s="56" customFormat="1" ht="409.5" customHeight="1">
      <c r="B33" s="431" t="s">
        <v>567</v>
      </c>
      <c r="C33" s="391"/>
      <c r="D33" s="391"/>
      <c r="E33" s="391"/>
      <c r="F33" s="392"/>
      <c r="G33" s="129" t="s">
        <v>569</v>
      </c>
      <c r="H33" s="129" t="s">
        <v>570</v>
      </c>
      <c r="I33" s="129" t="s">
        <v>568</v>
      </c>
    </row>
    <row r="34" spans="2:9" s="56" customFormat="1" ht="16.5" customHeight="1">
      <c r="B34" s="60"/>
      <c r="C34" s="61"/>
      <c r="D34" s="61"/>
      <c r="E34" s="61"/>
      <c r="F34" s="61"/>
      <c r="G34" s="61"/>
    </row>
    <row r="35" spans="2:9" s="56" customFormat="1">
      <c r="B35" s="305" t="s">
        <v>324</v>
      </c>
      <c r="C35" s="306"/>
      <c r="D35" s="306"/>
      <c r="E35" s="306"/>
      <c r="F35" s="307"/>
      <c r="G35" s="83"/>
    </row>
    <row r="36" spans="2:9" s="56" customFormat="1">
      <c r="B36" s="100" t="s">
        <v>508</v>
      </c>
      <c r="C36" s="379"/>
      <c r="D36" s="379"/>
      <c r="E36" s="379"/>
      <c r="F36" s="379"/>
      <c r="G36" s="85"/>
    </row>
    <row r="37" spans="2:9" s="56" customFormat="1">
      <c r="B37" s="100" t="s">
        <v>526</v>
      </c>
      <c r="C37" s="379"/>
      <c r="D37" s="379"/>
      <c r="E37" s="379"/>
      <c r="F37" s="379"/>
      <c r="G37" s="85"/>
    </row>
    <row r="38" spans="2:9" s="56" customFormat="1">
      <c r="B38" s="100" t="s">
        <v>527</v>
      </c>
      <c r="C38" s="293"/>
      <c r="D38" s="294"/>
      <c r="E38" s="294"/>
      <c r="F38" s="295"/>
      <c r="G38" s="85"/>
    </row>
    <row r="39" spans="2:9" s="56" customFormat="1"/>
    <row r="40" spans="2:9" s="56" customFormat="1">
      <c r="B40" s="305" t="s">
        <v>287</v>
      </c>
      <c r="C40" s="306"/>
      <c r="D40" s="306"/>
      <c r="E40" s="306"/>
      <c r="F40" s="307"/>
      <c r="G40" s="83"/>
    </row>
    <row r="41" spans="2:9" s="56" customFormat="1" ht="16.5" customHeight="1">
      <c r="B41" s="293" t="s">
        <v>332</v>
      </c>
      <c r="C41" s="294"/>
      <c r="D41" s="294"/>
      <c r="E41" s="294"/>
      <c r="F41" s="295"/>
      <c r="G41" s="61"/>
    </row>
    <row r="42" spans="2:9" s="56" customFormat="1"/>
    <row r="43" spans="2:9" s="56" customFormat="1">
      <c r="B43" s="305" t="s">
        <v>289</v>
      </c>
      <c r="C43" s="306"/>
      <c r="D43" s="306"/>
      <c r="E43" s="306"/>
      <c r="F43" s="307"/>
      <c r="G43" s="83"/>
    </row>
    <row r="44" spans="2:9" s="56" customFormat="1">
      <c r="B44" s="62" t="s">
        <v>290</v>
      </c>
      <c r="C44" s="62" t="s">
        <v>291</v>
      </c>
      <c r="D44" s="305" t="s">
        <v>292</v>
      </c>
      <c r="E44" s="306"/>
      <c r="F44" s="307"/>
      <c r="G44" s="83"/>
    </row>
    <row r="45" spans="2:9" s="56" customFormat="1">
      <c r="B45" s="63"/>
      <c r="C45" s="63"/>
      <c r="D45" s="316"/>
      <c r="E45" s="317"/>
      <c r="F45" s="318"/>
      <c r="G45" s="98"/>
    </row>
    <row r="46" spans="2:9" s="56" customFormat="1">
      <c r="B46" s="63"/>
      <c r="C46" s="63"/>
      <c r="D46" s="316"/>
      <c r="E46" s="317"/>
      <c r="F46" s="318"/>
      <c r="G46" s="98"/>
    </row>
    <row r="47" spans="2:9" s="56" customFormat="1">
      <c r="B47" s="64"/>
      <c r="C47" s="64"/>
      <c r="D47" s="316"/>
      <c r="E47" s="317"/>
      <c r="F47" s="318"/>
      <c r="G47" s="98"/>
    </row>
    <row r="48" spans="2:9" s="56" customFormat="1"/>
    <row r="49" spans="2:7" s="56" customFormat="1">
      <c r="B49" s="305" t="s">
        <v>293</v>
      </c>
      <c r="C49" s="306"/>
      <c r="D49" s="306"/>
      <c r="E49" s="306"/>
      <c r="F49" s="307"/>
      <c r="G49" s="83"/>
    </row>
    <row r="50" spans="2:7" s="56" customFormat="1" ht="63.95" customHeight="1">
      <c r="B50" s="308" t="s">
        <v>528</v>
      </c>
      <c r="C50" s="294"/>
      <c r="D50" s="294"/>
      <c r="E50" s="294"/>
      <c r="F50" s="295"/>
      <c r="G50" s="61"/>
    </row>
    <row r="51" spans="2:7" s="56" customFormat="1"/>
    <row r="1048536" spans="8:9">
      <c r="H1048536" s="83"/>
      <c r="I1048536" s="83"/>
    </row>
  </sheetData>
  <mergeCells count="36">
    <mergeCell ref="B49:F49"/>
    <mergeCell ref="B50:F50"/>
    <mergeCell ref="B40:F40"/>
    <mergeCell ref="B41:F41"/>
    <mergeCell ref="B43:F43"/>
    <mergeCell ref="D44:F44"/>
    <mergeCell ref="D45:F45"/>
    <mergeCell ref="D46:F46"/>
    <mergeCell ref="B35:F35"/>
    <mergeCell ref="C36:F36"/>
    <mergeCell ref="C37:F37"/>
    <mergeCell ref="C38:F38"/>
    <mergeCell ref="D47:F47"/>
    <mergeCell ref="B32:F32"/>
    <mergeCell ref="B33:F33"/>
    <mergeCell ref="B27:F27"/>
    <mergeCell ref="B28:F28"/>
    <mergeCell ref="B29:F29"/>
    <mergeCell ref="B30:F30"/>
    <mergeCell ref="B25:F25"/>
    <mergeCell ref="C10:F10"/>
    <mergeCell ref="B12:F12"/>
    <mergeCell ref="B13:C13"/>
    <mergeCell ref="D13:F13"/>
    <mergeCell ref="B14:C14"/>
    <mergeCell ref="D14:F14"/>
    <mergeCell ref="B19:F19"/>
    <mergeCell ref="B20:F20"/>
    <mergeCell ref="B21:F21"/>
    <mergeCell ref="B22:F22"/>
    <mergeCell ref="B24:F24"/>
    <mergeCell ref="C5:F5"/>
    <mergeCell ref="C6:F6"/>
    <mergeCell ref="C7:F7"/>
    <mergeCell ref="C8:F8"/>
    <mergeCell ref="C9:F9"/>
  </mergeCells>
  <dataValidations count="2">
    <dataValidation type="list" allowBlank="1" showInputMessage="1" showErrorMessage="1" sqref="C45:C47">
      <formula1>"Académique, Professionnel, Associatif, Autre"</formula1>
    </dataValidation>
    <dataValidation type="list" allowBlank="1" showInputMessage="1" showErrorMessage="1" sqref="C5">
      <formula1>"Mise à jour à partir du plan d'études, Nouvelle création"</formula1>
    </dataValidation>
  </dataValidations>
  <hyperlinks>
    <hyperlink ref="B1" location="'Schéma d''enseignement'!G40" display="Schéma d'enseignement"/>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theme="5"/>
  </sheetPr>
  <dimension ref="B1:I1048540"/>
  <sheetViews>
    <sheetView zoomScale="98" zoomScaleNormal="98" workbookViewId="0">
      <selection activeCell="B1" sqref="B1"/>
    </sheetView>
  </sheetViews>
  <sheetFormatPr baseColWidth="10" defaultColWidth="8.85546875" defaultRowHeight="15.75"/>
  <cols>
    <col min="1" max="1" width="1.140625" style="99" customWidth="1"/>
    <col min="2" max="2" width="40" style="99" customWidth="1"/>
    <col min="3" max="3" width="15.5703125" style="99" customWidth="1"/>
    <col min="4" max="4" width="11.85546875" style="99" customWidth="1"/>
    <col min="5" max="5" width="7" style="99" customWidth="1"/>
    <col min="6" max="6" width="21.85546875"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407" t="s">
        <v>252</v>
      </c>
      <c r="C3" s="407"/>
      <c r="D3" s="407"/>
      <c r="E3" s="407"/>
      <c r="F3" s="407"/>
      <c r="G3" s="80"/>
    </row>
    <row r="4" spans="2:7" s="56" customFormat="1"/>
    <row r="5" spans="2:7" s="56" customFormat="1">
      <c r="B5" s="57" t="s">
        <v>253</v>
      </c>
      <c r="C5" s="291" t="s">
        <v>311</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ht="15.75" customHeight="1">
      <c r="B9" s="57" t="s">
        <v>261</v>
      </c>
      <c r="C9" s="451" t="s">
        <v>211</v>
      </c>
      <c r="D9" s="452"/>
      <c r="E9" s="452"/>
      <c r="F9" s="453"/>
      <c r="G9" s="81"/>
    </row>
    <row r="10" spans="2:7" s="56" customFormat="1">
      <c r="B10" s="57" t="s">
        <v>263</v>
      </c>
      <c r="C10" s="451">
        <v>5</v>
      </c>
      <c r="D10" s="452"/>
      <c r="E10" s="452"/>
      <c r="F10" s="453"/>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43201</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23.25" customHeight="1">
      <c r="B17" s="21" t="s">
        <v>204</v>
      </c>
      <c r="C17" s="21">
        <v>21</v>
      </c>
      <c r="D17" s="21">
        <v>3</v>
      </c>
      <c r="E17" s="21">
        <v>3</v>
      </c>
      <c r="F17" s="21" t="s">
        <v>272</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30.95" customHeight="1">
      <c r="B20" s="308" t="s">
        <v>529</v>
      </c>
      <c r="C20" s="365"/>
      <c r="D20" s="365"/>
      <c r="E20" s="365"/>
      <c r="F20" s="366"/>
      <c r="G20" s="84"/>
    </row>
    <row r="21" spans="2:7" s="56" customFormat="1">
      <c r="B21" s="305" t="s">
        <v>275</v>
      </c>
      <c r="C21" s="306"/>
      <c r="D21" s="306"/>
      <c r="E21" s="306"/>
      <c r="F21" s="307"/>
      <c r="G21" s="83"/>
    </row>
    <row r="22" spans="2:7" s="56" customFormat="1" ht="97.5" customHeight="1">
      <c r="B22" s="308" t="s">
        <v>530</v>
      </c>
      <c r="C22" s="294"/>
      <c r="D22" s="294"/>
      <c r="E22" s="294"/>
      <c r="F22" s="295"/>
      <c r="G22" s="85"/>
    </row>
    <row r="23" spans="2:7" s="56" customFormat="1"/>
    <row r="24" spans="2:7" s="56" customFormat="1">
      <c r="B24" s="305" t="s">
        <v>277</v>
      </c>
      <c r="C24" s="306"/>
      <c r="D24" s="306"/>
      <c r="E24" s="306"/>
      <c r="F24" s="307"/>
      <c r="G24" s="83"/>
    </row>
    <row r="25" spans="2:7" s="56" customFormat="1" ht="30.6" customHeight="1">
      <c r="B25" s="308" t="s">
        <v>531</v>
      </c>
      <c r="C25" s="349"/>
      <c r="D25" s="349"/>
      <c r="E25" s="349"/>
      <c r="F25" s="350"/>
      <c r="G25" s="84"/>
    </row>
    <row r="26" spans="2:7" s="56" customFormat="1"/>
    <row r="27" spans="2:7" s="56" customFormat="1">
      <c r="B27" s="305" t="s">
        <v>279</v>
      </c>
      <c r="C27" s="306"/>
      <c r="D27" s="306"/>
      <c r="E27" s="306"/>
      <c r="F27" s="307"/>
      <c r="G27" s="82"/>
    </row>
    <row r="28" spans="2:7" s="56" customFormat="1" ht="39.75" customHeight="1">
      <c r="B28" s="454" t="s">
        <v>571</v>
      </c>
      <c r="C28" s="455"/>
      <c r="D28" s="455"/>
      <c r="E28" s="455"/>
      <c r="F28" s="456"/>
      <c r="G28" s="94"/>
    </row>
    <row r="29" spans="2:7" s="56" customFormat="1">
      <c r="B29" s="319" t="s">
        <v>7</v>
      </c>
      <c r="C29" s="320"/>
      <c r="D29" s="320"/>
      <c r="E29" s="320"/>
      <c r="F29" s="321"/>
      <c r="G29" s="94"/>
    </row>
    <row r="30" spans="2:7" s="56" customFormat="1">
      <c r="B30" s="319" t="s">
        <v>10</v>
      </c>
      <c r="C30" s="320"/>
      <c r="D30" s="320"/>
      <c r="E30" s="320"/>
      <c r="F30" s="321"/>
      <c r="G30" s="94"/>
    </row>
    <row r="31" spans="2:7" s="56" customFormat="1">
      <c r="B31" s="319" t="s">
        <v>160</v>
      </c>
      <c r="C31" s="320"/>
      <c r="D31" s="320"/>
      <c r="E31" s="320"/>
      <c r="F31" s="321"/>
      <c r="G31" s="94"/>
    </row>
    <row r="32" spans="2:7" s="56" customFormat="1">
      <c r="B32" s="351" t="s">
        <v>12</v>
      </c>
      <c r="C32" s="351"/>
      <c r="D32" s="351"/>
      <c r="E32" s="351"/>
      <c r="F32" s="351"/>
      <c r="G32" s="94"/>
    </row>
    <row r="33" spans="2:7" s="56" customFormat="1"/>
    <row r="34" spans="2:7" s="56" customFormat="1">
      <c r="B34" s="305" t="s">
        <v>284</v>
      </c>
      <c r="C34" s="306"/>
      <c r="D34" s="306"/>
      <c r="E34" s="306"/>
      <c r="F34" s="307"/>
      <c r="G34" s="83"/>
    </row>
    <row r="35" spans="2:7" s="56" customFormat="1" ht="364.5" customHeight="1">
      <c r="B35" s="308" t="s">
        <v>572</v>
      </c>
      <c r="C35" s="349"/>
      <c r="D35" s="349"/>
      <c r="E35" s="349"/>
      <c r="F35" s="350"/>
      <c r="G35" s="85"/>
    </row>
    <row r="36" spans="2:7" s="56" customFormat="1" ht="16.5" customHeight="1">
      <c r="B36" s="60"/>
      <c r="C36" s="61"/>
      <c r="D36" s="61"/>
      <c r="E36" s="61"/>
      <c r="F36" s="61"/>
      <c r="G36" s="61"/>
    </row>
    <row r="37" spans="2:7" s="56" customFormat="1">
      <c r="B37" s="305" t="s">
        <v>324</v>
      </c>
      <c r="C37" s="306"/>
      <c r="D37" s="306"/>
      <c r="E37" s="306"/>
      <c r="F37" s="307"/>
      <c r="G37" s="83"/>
    </row>
    <row r="38" spans="2:7" s="56" customFormat="1">
      <c r="B38" s="100" t="s">
        <v>532</v>
      </c>
      <c r="C38" s="379"/>
      <c r="D38" s="379"/>
      <c r="E38" s="379"/>
      <c r="F38" s="379"/>
      <c r="G38" s="85"/>
    </row>
    <row r="39" spans="2:7" s="56" customFormat="1">
      <c r="B39" s="104"/>
      <c r="C39" s="379"/>
      <c r="D39" s="379"/>
      <c r="E39" s="379"/>
      <c r="F39" s="379"/>
      <c r="G39" s="85"/>
    </row>
    <row r="40" spans="2:7" s="56" customFormat="1">
      <c r="B40" s="100"/>
      <c r="C40" s="293"/>
      <c r="D40" s="294"/>
      <c r="E40" s="294"/>
      <c r="F40" s="295"/>
      <c r="G40" s="85"/>
    </row>
    <row r="41" spans="2:7" s="56" customFormat="1">
      <c r="B41" s="100"/>
      <c r="C41" s="379"/>
      <c r="D41" s="379"/>
      <c r="E41" s="379"/>
      <c r="F41" s="379"/>
      <c r="G41" s="85"/>
    </row>
    <row r="42" spans="2:7" s="56" customFormat="1">
      <c r="B42" s="100"/>
      <c r="C42" s="379"/>
      <c r="D42" s="379"/>
      <c r="E42" s="379"/>
      <c r="F42" s="379"/>
      <c r="G42" s="85"/>
    </row>
    <row r="43" spans="2:7" s="56" customFormat="1"/>
    <row r="44" spans="2:7" s="56" customFormat="1">
      <c r="B44" s="305" t="s">
        <v>287</v>
      </c>
      <c r="C44" s="306"/>
      <c r="D44" s="306"/>
      <c r="E44" s="306"/>
      <c r="F44" s="307"/>
      <c r="G44" s="83"/>
    </row>
    <row r="45" spans="2:7" s="56" customFormat="1" ht="51" customHeight="1">
      <c r="B45" s="293" t="s">
        <v>533</v>
      </c>
      <c r="C45" s="294"/>
      <c r="D45" s="294"/>
      <c r="E45" s="294"/>
      <c r="F45" s="295"/>
      <c r="G45" s="61"/>
    </row>
    <row r="46" spans="2:7" s="56" customFormat="1"/>
    <row r="47" spans="2:7" s="56" customFormat="1">
      <c r="B47" s="305" t="s">
        <v>289</v>
      </c>
      <c r="C47" s="306"/>
      <c r="D47" s="306"/>
      <c r="E47" s="306"/>
      <c r="F47" s="307"/>
      <c r="G47" s="83"/>
    </row>
    <row r="48" spans="2:7" s="56" customFormat="1">
      <c r="B48" s="62" t="s">
        <v>290</v>
      </c>
      <c r="C48" s="62" t="s">
        <v>291</v>
      </c>
      <c r="D48" s="305" t="s">
        <v>292</v>
      </c>
      <c r="E48" s="306"/>
      <c r="F48" s="307"/>
      <c r="G48" s="83"/>
    </row>
    <row r="49" spans="2:7" s="56" customFormat="1">
      <c r="B49" s="63"/>
      <c r="C49" s="63"/>
      <c r="D49" s="316"/>
      <c r="E49" s="317"/>
      <c r="F49" s="318"/>
      <c r="G49" s="98"/>
    </row>
    <row r="50" spans="2:7" s="56" customFormat="1">
      <c r="B50" s="63"/>
      <c r="C50" s="63"/>
      <c r="D50" s="316"/>
      <c r="E50" s="317"/>
      <c r="F50" s="318"/>
      <c r="G50" s="98"/>
    </row>
    <row r="51" spans="2:7" s="56" customFormat="1">
      <c r="B51" s="64"/>
      <c r="C51" s="64"/>
      <c r="D51" s="316"/>
      <c r="E51" s="317"/>
      <c r="F51" s="318"/>
      <c r="G51" s="98"/>
    </row>
    <row r="52" spans="2:7" s="56" customFormat="1"/>
    <row r="53" spans="2:7" s="56" customFormat="1">
      <c r="B53" s="305" t="s">
        <v>293</v>
      </c>
      <c r="C53" s="306"/>
      <c r="D53" s="306"/>
      <c r="E53" s="306"/>
      <c r="F53" s="307"/>
      <c r="G53" s="83"/>
    </row>
    <row r="54" spans="2:7" s="56" customFormat="1" ht="55.5" customHeight="1">
      <c r="B54" s="308" t="s">
        <v>534</v>
      </c>
      <c r="C54" s="294"/>
      <c r="D54" s="294"/>
      <c r="E54" s="294"/>
      <c r="F54" s="295"/>
      <c r="G54" s="61"/>
    </row>
    <row r="55" spans="2:7" s="56" customFormat="1"/>
    <row r="1048540" spans="8:9">
      <c r="H1048540" s="83"/>
      <c r="I1048540" s="83"/>
    </row>
  </sheetData>
  <mergeCells count="41">
    <mergeCell ref="D51:F51"/>
    <mergeCell ref="B53:F53"/>
    <mergeCell ref="B54:F54"/>
    <mergeCell ref="B3:F3"/>
    <mergeCell ref="B44:F44"/>
    <mergeCell ref="B45:F45"/>
    <mergeCell ref="B47:F47"/>
    <mergeCell ref="D48:F48"/>
    <mergeCell ref="D49:F49"/>
    <mergeCell ref="D50:F50"/>
    <mergeCell ref="B37:F37"/>
    <mergeCell ref="C38:F38"/>
    <mergeCell ref="C39:F39"/>
    <mergeCell ref="C40:F40"/>
    <mergeCell ref="C41:F41"/>
    <mergeCell ref="C42:F42"/>
    <mergeCell ref="B34:F34"/>
    <mergeCell ref="B35:F35"/>
    <mergeCell ref="B27:F27"/>
    <mergeCell ref="B28:F28"/>
    <mergeCell ref="B29:F29"/>
    <mergeCell ref="B30:F30"/>
    <mergeCell ref="B31:F31"/>
    <mergeCell ref="B32:F32"/>
    <mergeCell ref="B25:F25"/>
    <mergeCell ref="C10:F10"/>
    <mergeCell ref="B12:F12"/>
    <mergeCell ref="B13:C13"/>
    <mergeCell ref="D13:F13"/>
    <mergeCell ref="B14:C14"/>
    <mergeCell ref="D14:F14"/>
    <mergeCell ref="B19:F19"/>
    <mergeCell ref="B20:F20"/>
    <mergeCell ref="B21:F21"/>
    <mergeCell ref="B22:F22"/>
    <mergeCell ref="B24:F24"/>
    <mergeCell ref="C5:F5"/>
    <mergeCell ref="C6:F6"/>
    <mergeCell ref="C7:F7"/>
    <mergeCell ref="C8:F8"/>
    <mergeCell ref="C9:F9"/>
  </mergeCells>
  <dataValidations count="2">
    <dataValidation type="list" allowBlank="1" showInputMessage="1" showErrorMessage="1" sqref="C49:C51">
      <formula1>"Académique, Professionnel, Associatif, Autre"</formula1>
    </dataValidation>
    <dataValidation type="list" allowBlank="1" showInputMessage="1" showErrorMessage="1" sqref="C5">
      <formula1>"Mise à jour à partir du plan d'études, Nouvelle création"</formula1>
    </dataValidation>
  </dataValidations>
  <hyperlinks>
    <hyperlink ref="B1" location="'Schéma d''enseignement'!G41" display="Schéma d'enseignement"/>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theme="5"/>
  </sheetPr>
  <dimension ref="B1:I1048541"/>
  <sheetViews>
    <sheetView zoomScale="80" zoomScaleNormal="80" workbookViewId="0">
      <selection activeCell="B1" sqref="B1"/>
    </sheetView>
  </sheetViews>
  <sheetFormatPr baseColWidth="10" defaultColWidth="8.85546875" defaultRowHeight="15.75"/>
  <cols>
    <col min="1" max="1" width="1.140625" style="99" customWidth="1"/>
    <col min="2" max="2" width="52.140625" style="99" customWidth="1"/>
    <col min="3" max="3" width="15.5703125" style="99" customWidth="1"/>
    <col min="4" max="4" width="11.85546875" style="99" customWidth="1"/>
    <col min="5" max="5" width="7" style="99" customWidth="1"/>
    <col min="6" max="6" width="63.140625" style="99" customWidth="1"/>
    <col min="7" max="7" width="90"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407" t="s">
        <v>252</v>
      </c>
      <c r="C3" s="407"/>
      <c r="D3" s="407"/>
      <c r="E3" s="407"/>
      <c r="F3" s="407"/>
      <c r="G3" s="80"/>
    </row>
    <row r="4" spans="2:7" s="56" customFormat="1"/>
    <row r="5" spans="2:7" s="56" customFormat="1">
      <c r="B5" s="57" t="s">
        <v>253</v>
      </c>
      <c r="C5" s="291"/>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212</v>
      </c>
      <c r="D9" s="291"/>
      <c r="E9" s="291"/>
      <c r="F9" s="291"/>
      <c r="G9" s="81"/>
    </row>
    <row r="10" spans="2:7" s="56" customFormat="1">
      <c r="B10" s="57" t="s">
        <v>263</v>
      </c>
      <c r="C10" s="291" t="s">
        <v>535</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43200</v>
      </c>
      <c r="C14" s="300"/>
      <c r="D14" s="291" t="s">
        <v>389</v>
      </c>
      <c r="E14" s="291"/>
      <c r="F14" s="291"/>
      <c r="G14" s="81"/>
    </row>
    <row r="15" spans="2:7" s="56" customFormat="1"/>
    <row r="16" spans="2:7" s="56" customFormat="1">
      <c r="B16" s="59" t="s">
        <v>267</v>
      </c>
      <c r="C16" s="59" t="s">
        <v>268</v>
      </c>
      <c r="D16" s="59" t="s">
        <v>269</v>
      </c>
      <c r="E16" s="59" t="s">
        <v>270</v>
      </c>
      <c r="F16" s="59" t="s">
        <v>271</v>
      </c>
      <c r="G16" s="82"/>
    </row>
    <row r="17" spans="2:7" s="56" customFormat="1" ht="23.25" customHeight="1">
      <c r="B17" s="21" t="s">
        <v>205</v>
      </c>
      <c r="C17" s="21" t="s">
        <v>390</v>
      </c>
      <c r="D17" s="21">
        <v>2</v>
      </c>
      <c r="E17" s="21">
        <v>2</v>
      </c>
      <c r="F17" s="21" t="s">
        <v>391</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34.5" customHeight="1">
      <c r="B20" s="308" t="s">
        <v>545</v>
      </c>
      <c r="C20" s="294"/>
      <c r="D20" s="294"/>
      <c r="E20" s="294"/>
      <c r="F20" s="295"/>
      <c r="G20" s="84"/>
    </row>
    <row r="21" spans="2:7" s="56" customFormat="1">
      <c r="B21" s="305" t="s">
        <v>275</v>
      </c>
      <c r="C21" s="306"/>
      <c r="D21" s="306"/>
      <c r="E21" s="306"/>
      <c r="F21" s="307"/>
      <c r="G21" s="83"/>
    </row>
    <row r="22" spans="2:7" s="56" customFormat="1" ht="50.45" customHeight="1">
      <c r="B22" s="312" t="s">
        <v>546</v>
      </c>
      <c r="C22" s="294"/>
      <c r="D22" s="294"/>
      <c r="E22" s="294"/>
      <c r="F22" s="295"/>
      <c r="G22" s="85"/>
    </row>
    <row r="23" spans="2:7" s="56" customFormat="1"/>
    <row r="24" spans="2:7" s="56" customFormat="1">
      <c r="B24" s="305" t="s">
        <v>277</v>
      </c>
      <c r="C24" s="306"/>
      <c r="D24" s="306"/>
      <c r="E24" s="306"/>
      <c r="F24" s="307"/>
      <c r="G24" s="83"/>
    </row>
    <row r="25" spans="2:7" s="56" customFormat="1" ht="30.6" customHeight="1">
      <c r="B25" s="308" t="s">
        <v>547</v>
      </c>
      <c r="C25" s="294"/>
      <c r="D25" s="294"/>
      <c r="E25" s="294"/>
      <c r="F25" s="295"/>
      <c r="G25" s="84"/>
    </row>
    <row r="26" spans="2:7" s="56" customFormat="1"/>
    <row r="27" spans="2:7" s="56" customFormat="1">
      <c r="B27" s="305" t="s">
        <v>279</v>
      </c>
      <c r="C27" s="306"/>
      <c r="D27" s="306"/>
      <c r="E27" s="306"/>
      <c r="F27" s="307"/>
      <c r="G27" s="82"/>
    </row>
    <row r="28" spans="2:7" s="56" customFormat="1">
      <c r="B28" s="319" t="s">
        <v>395</v>
      </c>
      <c r="C28" s="320"/>
      <c r="D28" s="320"/>
      <c r="E28" s="320"/>
      <c r="F28" s="321"/>
      <c r="G28" s="94"/>
    </row>
    <row r="29" spans="2:7" s="56" customFormat="1">
      <c r="B29" s="351" t="s">
        <v>10</v>
      </c>
      <c r="C29" s="351"/>
      <c r="D29" s="351"/>
      <c r="E29" s="351"/>
      <c r="F29" s="351"/>
      <c r="G29" s="94"/>
    </row>
    <row r="30" spans="2:7" s="56" customFormat="1">
      <c r="B30" s="319" t="s">
        <v>539</v>
      </c>
      <c r="C30" s="320"/>
      <c r="D30" s="320"/>
      <c r="E30" s="320"/>
      <c r="F30" s="321"/>
      <c r="G30" s="94"/>
    </row>
    <row r="31" spans="2:7" s="56" customFormat="1">
      <c r="B31" s="319" t="s">
        <v>106</v>
      </c>
      <c r="C31" s="320"/>
      <c r="D31" s="320"/>
      <c r="E31" s="320"/>
      <c r="F31" s="321"/>
      <c r="G31" s="94"/>
    </row>
    <row r="32" spans="2:7" s="56" customFormat="1">
      <c r="B32" s="319" t="s">
        <v>540</v>
      </c>
      <c r="C32" s="320"/>
      <c r="D32" s="320"/>
      <c r="E32" s="320"/>
      <c r="F32" s="321"/>
      <c r="G32" s="94"/>
    </row>
    <row r="33" spans="2:7" s="56" customFormat="1">
      <c r="B33" s="351" t="s">
        <v>541</v>
      </c>
      <c r="C33" s="351"/>
      <c r="D33" s="351"/>
      <c r="E33" s="351"/>
      <c r="F33" s="351"/>
      <c r="G33" s="94"/>
    </row>
    <row r="34" spans="2:7" s="56" customFormat="1"/>
    <row r="35" spans="2:7" s="56" customFormat="1">
      <c r="B35" s="305" t="s">
        <v>284</v>
      </c>
      <c r="C35" s="306"/>
      <c r="D35" s="306"/>
      <c r="E35" s="306"/>
      <c r="F35" s="307"/>
      <c r="G35" s="83"/>
    </row>
    <row r="36" spans="2:7" s="56" customFormat="1" ht="409.5" customHeight="1">
      <c r="B36" s="312" t="s">
        <v>576</v>
      </c>
      <c r="C36" s="294"/>
      <c r="D36" s="294"/>
      <c r="E36" s="294"/>
      <c r="F36" s="295"/>
      <c r="G36" s="129" t="s">
        <v>577</v>
      </c>
    </row>
    <row r="37" spans="2:7" s="56" customFormat="1" ht="16.5" customHeight="1">
      <c r="B37" s="60"/>
      <c r="C37" s="61"/>
      <c r="D37" s="61"/>
      <c r="E37" s="61"/>
      <c r="F37" s="61"/>
      <c r="G37" s="61"/>
    </row>
    <row r="38" spans="2:7" s="56" customFormat="1">
      <c r="B38" s="305" t="s">
        <v>324</v>
      </c>
      <c r="C38" s="306"/>
      <c r="D38" s="306"/>
      <c r="E38" s="306"/>
      <c r="F38" s="307"/>
      <c r="G38" s="83"/>
    </row>
    <row r="39" spans="2:7" s="56" customFormat="1" ht="31.5">
      <c r="B39" s="104" t="s">
        <v>548</v>
      </c>
      <c r="C39" s="379"/>
      <c r="D39" s="379"/>
      <c r="E39" s="379"/>
      <c r="F39" s="379"/>
      <c r="G39" s="85"/>
    </row>
    <row r="40" spans="2:7" s="56" customFormat="1">
      <c r="B40" s="100" t="s">
        <v>549</v>
      </c>
      <c r="C40" s="379"/>
      <c r="D40" s="379"/>
      <c r="E40" s="379"/>
      <c r="F40" s="379"/>
      <c r="G40" s="85"/>
    </row>
    <row r="41" spans="2:7" s="56" customFormat="1">
      <c r="B41" s="100" t="s">
        <v>550</v>
      </c>
      <c r="C41" s="293"/>
      <c r="D41" s="294"/>
      <c r="E41" s="294"/>
      <c r="F41" s="295"/>
      <c r="G41" s="85"/>
    </row>
    <row r="42" spans="2:7" s="56" customFormat="1">
      <c r="B42" s="100"/>
      <c r="C42" s="379"/>
      <c r="D42" s="379"/>
      <c r="E42" s="379"/>
      <c r="F42" s="379"/>
      <c r="G42" s="85"/>
    </row>
    <row r="43" spans="2:7" s="56" customFormat="1">
      <c r="B43" s="100"/>
      <c r="C43" s="379"/>
      <c r="D43" s="379"/>
      <c r="E43" s="379"/>
      <c r="F43" s="379"/>
      <c r="G43" s="85"/>
    </row>
    <row r="44" spans="2:7" s="56" customFormat="1"/>
    <row r="45" spans="2:7" s="56" customFormat="1">
      <c r="B45" s="305" t="s">
        <v>287</v>
      </c>
      <c r="C45" s="306"/>
      <c r="D45" s="306"/>
      <c r="E45" s="306"/>
      <c r="F45" s="307"/>
      <c r="G45" s="83"/>
    </row>
    <row r="46" spans="2:7" s="56" customFormat="1" ht="17.45" customHeight="1">
      <c r="B46" s="293" t="s">
        <v>551</v>
      </c>
      <c r="C46" s="294"/>
      <c r="D46" s="294"/>
      <c r="E46" s="294"/>
      <c r="F46" s="295"/>
      <c r="G46" s="61"/>
    </row>
    <row r="47" spans="2:7" s="56" customFormat="1"/>
    <row r="48" spans="2:7" s="56" customFormat="1">
      <c r="B48" s="305" t="s">
        <v>289</v>
      </c>
      <c r="C48" s="306"/>
      <c r="D48" s="306"/>
      <c r="E48" s="306"/>
      <c r="F48" s="307"/>
      <c r="G48" s="83"/>
    </row>
    <row r="49" spans="2:7" s="56" customFormat="1">
      <c r="B49" s="62" t="s">
        <v>290</v>
      </c>
      <c r="C49" s="62" t="s">
        <v>291</v>
      </c>
      <c r="D49" s="305" t="s">
        <v>292</v>
      </c>
      <c r="E49" s="306"/>
      <c r="F49" s="307"/>
      <c r="G49" s="83"/>
    </row>
    <row r="50" spans="2:7" s="56" customFormat="1">
      <c r="B50" s="63"/>
      <c r="C50" s="63"/>
      <c r="D50" s="316"/>
      <c r="E50" s="317"/>
      <c r="F50" s="318"/>
      <c r="G50" s="98"/>
    </row>
    <row r="51" spans="2:7" s="56" customFormat="1">
      <c r="B51" s="63"/>
      <c r="C51" s="63"/>
      <c r="D51" s="316"/>
      <c r="E51" s="317"/>
      <c r="F51" s="318"/>
      <c r="G51" s="98"/>
    </row>
    <row r="52" spans="2:7" s="56" customFormat="1">
      <c r="B52" s="64"/>
      <c r="C52" s="64"/>
      <c r="D52" s="316"/>
      <c r="E52" s="317"/>
      <c r="F52" s="318"/>
      <c r="G52" s="98"/>
    </row>
    <row r="53" spans="2:7" s="56" customFormat="1"/>
    <row r="54" spans="2:7" s="56" customFormat="1">
      <c r="B54" s="305" t="s">
        <v>293</v>
      </c>
      <c r="C54" s="306"/>
      <c r="D54" s="306"/>
      <c r="E54" s="306"/>
      <c r="F54" s="307"/>
      <c r="G54" s="83"/>
    </row>
    <row r="55" spans="2:7" s="56" customFormat="1" ht="352.5" customHeight="1">
      <c r="B55" s="308" t="s">
        <v>578</v>
      </c>
      <c r="C55" s="294"/>
      <c r="D55" s="294"/>
      <c r="E55" s="294"/>
      <c r="F55" s="295"/>
      <c r="G55" s="129" t="s">
        <v>579</v>
      </c>
    </row>
    <row r="56" spans="2:7" s="56" customFormat="1"/>
    <row r="1048541" spans="8:9">
      <c r="H1048541" s="83"/>
      <c r="I1048541" s="83"/>
    </row>
  </sheetData>
  <mergeCells count="42">
    <mergeCell ref="D52:F52"/>
    <mergeCell ref="B54:F54"/>
    <mergeCell ref="B55:F55"/>
    <mergeCell ref="B45:F45"/>
    <mergeCell ref="B46:F46"/>
    <mergeCell ref="B48:F48"/>
    <mergeCell ref="D49:F49"/>
    <mergeCell ref="D50:F50"/>
    <mergeCell ref="D51:F51"/>
    <mergeCell ref="C43:F43"/>
    <mergeCell ref="B33:F33"/>
    <mergeCell ref="B35:F35"/>
    <mergeCell ref="B36:F36"/>
    <mergeCell ref="B27:F27"/>
    <mergeCell ref="B28:F28"/>
    <mergeCell ref="B29:F29"/>
    <mergeCell ref="B30:F30"/>
    <mergeCell ref="B31:F31"/>
    <mergeCell ref="B32:F32"/>
    <mergeCell ref="B38:F38"/>
    <mergeCell ref="C39:F39"/>
    <mergeCell ref="C40:F40"/>
    <mergeCell ref="C41:F41"/>
    <mergeCell ref="C42:F42"/>
    <mergeCell ref="C9:F9"/>
    <mergeCell ref="B25:F25"/>
    <mergeCell ref="C10:F10"/>
    <mergeCell ref="B12:F12"/>
    <mergeCell ref="B13:C13"/>
    <mergeCell ref="D13:F13"/>
    <mergeCell ref="B14:C14"/>
    <mergeCell ref="D14:F14"/>
    <mergeCell ref="B19:F19"/>
    <mergeCell ref="B20:F20"/>
    <mergeCell ref="B21:F21"/>
    <mergeCell ref="B22:F22"/>
    <mergeCell ref="B24:F24"/>
    <mergeCell ref="B3:F3"/>
    <mergeCell ref="C5:F5"/>
    <mergeCell ref="C6:F6"/>
    <mergeCell ref="C7:F7"/>
    <mergeCell ref="C8:F8"/>
  </mergeCells>
  <dataValidations count="2">
    <dataValidation type="list" allowBlank="1" showInputMessage="1" showErrorMessage="1" sqref="C50:C52">
      <formula1>"Académique, Professionnel, Associatif, Autre"</formula1>
    </dataValidation>
    <dataValidation type="list" allowBlank="1" showInputMessage="1" showErrorMessage="1" sqref="C5">
      <formula1>"Mise à jour à partir du plan d'études, Nouvelle création"</formula1>
    </dataValidation>
  </dataValidations>
  <hyperlinks>
    <hyperlink ref="B1" location="'Schéma d''enseignement'!G42" display="Schéma d'enseignement"/>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theme="5"/>
  </sheetPr>
  <dimension ref="B1:I1048541"/>
  <sheetViews>
    <sheetView zoomScaleNormal="100" workbookViewId="0">
      <selection activeCell="B1" sqref="B1"/>
    </sheetView>
  </sheetViews>
  <sheetFormatPr baseColWidth="10" defaultColWidth="8.85546875" defaultRowHeight="15.75"/>
  <cols>
    <col min="1" max="1" width="1.140625" style="99" customWidth="1"/>
    <col min="2" max="2" width="39.85546875" style="99" customWidth="1"/>
    <col min="3" max="3" width="15.5703125" style="99" customWidth="1"/>
    <col min="4" max="4" width="11.85546875" style="99" customWidth="1"/>
    <col min="5" max="5" width="7" style="99" customWidth="1"/>
    <col min="6" max="6" width="59.85546875" style="99" customWidth="1"/>
    <col min="7" max="7" width="8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407" t="s">
        <v>252</v>
      </c>
      <c r="C3" s="407"/>
      <c r="D3" s="407"/>
      <c r="E3" s="407"/>
      <c r="F3" s="407"/>
      <c r="G3" s="80"/>
    </row>
    <row r="4" spans="2:7" s="56" customFormat="1">
      <c r="C4" s="128"/>
      <c r="D4" s="128"/>
      <c r="E4" s="128"/>
      <c r="F4" s="128"/>
    </row>
    <row r="5" spans="2:7" s="56" customFormat="1">
      <c r="B5" s="57" t="s">
        <v>253</v>
      </c>
      <c r="C5" s="291"/>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c r="B9" s="57" t="s">
        <v>261</v>
      </c>
      <c r="C9" s="291" t="s">
        <v>212</v>
      </c>
      <c r="D9" s="291"/>
      <c r="E9" s="291"/>
      <c r="F9" s="291"/>
      <c r="G9" s="81"/>
    </row>
    <row r="10" spans="2:7" s="56" customFormat="1">
      <c r="B10" s="57" t="s">
        <v>263</v>
      </c>
      <c r="C10" s="291" t="s">
        <v>535</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43200</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23.25" customHeight="1">
      <c r="B17" s="21" t="s">
        <v>206</v>
      </c>
      <c r="C17" s="21" t="s">
        <v>390</v>
      </c>
      <c r="D17" s="21">
        <v>2</v>
      </c>
      <c r="E17" s="21">
        <v>2</v>
      </c>
      <c r="F17" s="21" t="s">
        <v>391</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46.5" customHeight="1">
      <c r="B20" s="308" t="s">
        <v>536</v>
      </c>
      <c r="C20" s="294"/>
      <c r="D20" s="294"/>
      <c r="E20" s="294"/>
      <c r="F20" s="295"/>
      <c r="G20" s="84"/>
    </row>
    <row r="21" spans="2:7" s="56" customFormat="1">
      <c r="B21" s="305" t="s">
        <v>275</v>
      </c>
      <c r="C21" s="306"/>
      <c r="D21" s="306"/>
      <c r="E21" s="306"/>
      <c r="F21" s="307"/>
      <c r="G21" s="83"/>
    </row>
    <row r="22" spans="2:7" s="56" customFormat="1" ht="80.25" customHeight="1">
      <c r="B22" s="312" t="s">
        <v>537</v>
      </c>
      <c r="C22" s="294"/>
      <c r="D22" s="294"/>
      <c r="E22" s="294"/>
      <c r="F22" s="295"/>
      <c r="G22" s="85"/>
    </row>
    <row r="23" spans="2:7" s="56" customFormat="1"/>
    <row r="24" spans="2:7" s="56" customFormat="1">
      <c r="B24" s="305" t="s">
        <v>277</v>
      </c>
      <c r="C24" s="306"/>
      <c r="D24" s="306"/>
      <c r="E24" s="306"/>
      <c r="F24" s="307"/>
      <c r="G24" s="83"/>
    </row>
    <row r="25" spans="2:7" s="56" customFormat="1" ht="30.6" customHeight="1">
      <c r="B25" s="308" t="s">
        <v>538</v>
      </c>
      <c r="C25" s="294"/>
      <c r="D25" s="294"/>
      <c r="E25" s="294"/>
      <c r="F25" s="295"/>
      <c r="G25" s="84"/>
    </row>
    <row r="26" spans="2:7" s="56" customFormat="1"/>
    <row r="27" spans="2:7" s="56" customFormat="1">
      <c r="B27" s="305" t="s">
        <v>279</v>
      </c>
      <c r="C27" s="306"/>
      <c r="D27" s="306"/>
      <c r="E27" s="306"/>
      <c r="F27" s="307"/>
      <c r="G27" s="82"/>
    </row>
    <row r="28" spans="2:7" s="56" customFormat="1">
      <c r="B28" s="319" t="s">
        <v>395</v>
      </c>
      <c r="C28" s="320"/>
      <c r="D28" s="320"/>
      <c r="E28" s="320"/>
      <c r="F28" s="321"/>
      <c r="G28" s="94"/>
    </row>
    <row r="29" spans="2:7" s="56" customFormat="1">
      <c r="B29" s="351" t="s">
        <v>10</v>
      </c>
      <c r="C29" s="351"/>
      <c r="D29" s="351"/>
      <c r="E29" s="351"/>
      <c r="F29" s="351"/>
      <c r="G29" s="94"/>
    </row>
    <row r="30" spans="2:7" s="56" customFormat="1">
      <c r="B30" s="319" t="s">
        <v>539</v>
      </c>
      <c r="C30" s="320"/>
      <c r="D30" s="320"/>
      <c r="E30" s="320"/>
      <c r="F30" s="321"/>
      <c r="G30" s="94"/>
    </row>
    <row r="31" spans="2:7" s="56" customFormat="1">
      <c r="B31" s="319" t="s">
        <v>106</v>
      </c>
      <c r="C31" s="320"/>
      <c r="D31" s="320"/>
      <c r="E31" s="320"/>
      <c r="F31" s="321"/>
      <c r="G31" s="94"/>
    </row>
    <row r="32" spans="2:7" s="56" customFormat="1">
      <c r="B32" s="319" t="s">
        <v>540</v>
      </c>
      <c r="C32" s="320"/>
      <c r="D32" s="320"/>
      <c r="E32" s="320"/>
      <c r="F32" s="321"/>
      <c r="G32" s="94"/>
    </row>
    <row r="33" spans="2:7" s="56" customFormat="1">
      <c r="B33" s="319" t="s">
        <v>541</v>
      </c>
      <c r="C33" s="320"/>
      <c r="D33" s="320"/>
      <c r="E33" s="320"/>
      <c r="F33" s="321"/>
      <c r="G33" s="94"/>
    </row>
    <row r="34" spans="2:7" s="56" customFormat="1"/>
    <row r="35" spans="2:7" s="56" customFormat="1">
      <c r="B35" s="305" t="s">
        <v>284</v>
      </c>
      <c r="C35" s="306"/>
      <c r="D35" s="306"/>
      <c r="E35" s="306"/>
      <c r="F35" s="307"/>
      <c r="G35" s="83"/>
    </row>
    <row r="36" spans="2:7" s="56" customFormat="1" ht="377.45" customHeight="1">
      <c r="B36" s="430" t="s">
        <v>573</v>
      </c>
      <c r="C36" s="391"/>
      <c r="D36" s="391"/>
      <c r="E36" s="391"/>
      <c r="F36" s="392"/>
      <c r="G36" s="141" t="s">
        <v>574</v>
      </c>
    </row>
    <row r="37" spans="2:7" s="56" customFormat="1" ht="16.5" customHeight="1">
      <c r="B37" s="60"/>
      <c r="C37" s="61"/>
      <c r="D37" s="61"/>
      <c r="E37" s="61"/>
      <c r="F37" s="61"/>
      <c r="G37" s="61"/>
    </row>
    <row r="38" spans="2:7" s="56" customFormat="1">
      <c r="B38" s="305" t="s">
        <v>324</v>
      </c>
      <c r="C38" s="306"/>
      <c r="D38" s="306"/>
      <c r="E38" s="306"/>
      <c r="F38" s="307"/>
      <c r="G38" s="83"/>
    </row>
    <row r="39" spans="2:7" s="56" customFormat="1">
      <c r="B39" s="100" t="s">
        <v>337</v>
      </c>
      <c r="C39" s="379"/>
      <c r="D39" s="379"/>
      <c r="E39" s="379"/>
      <c r="F39" s="379"/>
      <c r="G39" s="85"/>
    </row>
    <row r="40" spans="2:7" s="56" customFormat="1">
      <c r="B40" s="100" t="s">
        <v>338</v>
      </c>
      <c r="C40" s="379"/>
      <c r="D40" s="379"/>
      <c r="E40" s="379"/>
      <c r="F40" s="379"/>
      <c r="G40" s="85"/>
    </row>
    <row r="41" spans="2:7" s="56" customFormat="1">
      <c r="B41" s="100" t="s">
        <v>542</v>
      </c>
      <c r="C41" s="293" t="s">
        <v>543</v>
      </c>
      <c r="D41" s="294"/>
      <c r="E41" s="294"/>
      <c r="F41" s="295"/>
      <c r="G41" s="85"/>
    </row>
    <row r="42" spans="2:7" s="56" customFormat="1">
      <c r="B42" s="100"/>
      <c r="C42" s="379"/>
      <c r="D42" s="379"/>
      <c r="E42" s="379"/>
      <c r="F42" s="379"/>
      <c r="G42" s="85"/>
    </row>
    <row r="43" spans="2:7" s="56" customFormat="1">
      <c r="B43" s="100"/>
      <c r="C43" s="379"/>
      <c r="D43" s="379"/>
      <c r="E43" s="379"/>
      <c r="F43" s="379"/>
      <c r="G43" s="85"/>
    </row>
    <row r="44" spans="2:7" s="56" customFormat="1"/>
    <row r="45" spans="2:7" s="56" customFormat="1">
      <c r="B45" s="305" t="s">
        <v>287</v>
      </c>
      <c r="C45" s="306"/>
      <c r="D45" s="306"/>
      <c r="E45" s="306"/>
      <c r="F45" s="307"/>
      <c r="G45" s="83"/>
    </row>
    <row r="46" spans="2:7" s="56" customFormat="1" ht="16.5" customHeight="1">
      <c r="B46" s="308" t="s">
        <v>544</v>
      </c>
      <c r="C46" s="294"/>
      <c r="D46" s="294"/>
      <c r="E46" s="294"/>
      <c r="F46" s="295"/>
      <c r="G46" s="61"/>
    </row>
    <row r="47" spans="2:7" s="56" customFormat="1"/>
    <row r="48" spans="2:7" s="56" customFormat="1">
      <c r="B48" s="305" t="s">
        <v>289</v>
      </c>
      <c r="C48" s="306"/>
      <c r="D48" s="306"/>
      <c r="E48" s="306"/>
      <c r="F48" s="307"/>
      <c r="G48" s="83"/>
    </row>
    <row r="49" spans="2:7" s="56" customFormat="1">
      <c r="B49" s="62" t="s">
        <v>290</v>
      </c>
      <c r="C49" s="62" t="s">
        <v>291</v>
      </c>
      <c r="D49" s="305" t="s">
        <v>292</v>
      </c>
      <c r="E49" s="306"/>
      <c r="F49" s="307"/>
      <c r="G49" s="83"/>
    </row>
    <row r="50" spans="2:7" s="56" customFormat="1">
      <c r="B50" s="63"/>
      <c r="C50" s="63"/>
      <c r="D50" s="316"/>
      <c r="E50" s="317"/>
      <c r="F50" s="318"/>
      <c r="G50" s="98"/>
    </row>
    <row r="51" spans="2:7" s="56" customFormat="1">
      <c r="B51" s="63"/>
      <c r="C51" s="63"/>
      <c r="D51" s="316"/>
      <c r="E51" s="317"/>
      <c r="F51" s="318"/>
      <c r="G51" s="98"/>
    </row>
    <row r="52" spans="2:7" s="56" customFormat="1">
      <c r="B52" s="64"/>
      <c r="C52" s="64"/>
      <c r="D52" s="316"/>
      <c r="E52" s="317"/>
      <c r="F52" s="318"/>
      <c r="G52" s="98"/>
    </row>
    <row r="53" spans="2:7" s="56" customFormat="1"/>
    <row r="54" spans="2:7" s="56" customFormat="1">
      <c r="B54" s="305" t="s">
        <v>293</v>
      </c>
      <c r="C54" s="306"/>
      <c r="D54" s="306"/>
      <c r="E54" s="306"/>
      <c r="F54" s="307"/>
      <c r="G54" s="83"/>
    </row>
    <row r="55" spans="2:7" s="56" customFormat="1" ht="409.6" customHeight="1">
      <c r="B55" s="308" t="s">
        <v>575</v>
      </c>
      <c r="C55" s="294"/>
      <c r="D55" s="294"/>
      <c r="E55" s="294"/>
      <c r="F55" s="295"/>
      <c r="G55" s="61"/>
    </row>
    <row r="56" spans="2:7" s="56" customFormat="1"/>
    <row r="1048541" spans="8:9">
      <c r="H1048541" s="83"/>
      <c r="I1048541" s="83"/>
    </row>
  </sheetData>
  <mergeCells count="42">
    <mergeCell ref="D52:F52"/>
    <mergeCell ref="B54:F54"/>
    <mergeCell ref="B55:F55"/>
    <mergeCell ref="B3:F3"/>
    <mergeCell ref="B45:F45"/>
    <mergeCell ref="B46:F46"/>
    <mergeCell ref="B48:F48"/>
    <mergeCell ref="D49:F49"/>
    <mergeCell ref="D50:F50"/>
    <mergeCell ref="D51:F51"/>
    <mergeCell ref="B38:F38"/>
    <mergeCell ref="C39:F39"/>
    <mergeCell ref="C40:F40"/>
    <mergeCell ref="C41:F41"/>
    <mergeCell ref="C42:F42"/>
    <mergeCell ref="C43:F43"/>
    <mergeCell ref="B33:F33"/>
    <mergeCell ref="B35:F35"/>
    <mergeCell ref="B36:F36"/>
    <mergeCell ref="B27:F27"/>
    <mergeCell ref="B28:F28"/>
    <mergeCell ref="B29:F29"/>
    <mergeCell ref="B30:F30"/>
    <mergeCell ref="B31:F31"/>
    <mergeCell ref="B32:F32"/>
    <mergeCell ref="B25:F25"/>
    <mergeCell ref="C10:F10"/>
    <mergeCell ref="B12:F12"/>
    <mergeCell ref="B13:C13"/>
    <mergeCell ref="D13:F13"/>
    <mergeCell ref="B14:C14"/>
    <mergeCell ref="D14:F14"/>
    <mergeCell ref="B19:F19"/>
    <mergeCell ref="B20:F20"/>
    <mergeCell ref="B21:F21"/>
    <mergeCell ref="B22:F22"/>
    <mergeCell ref="B24:F24"/>
    <mergeCell ref="C5:F5"/>
    <mergeCell ref="C6:F6"/>
    <mergeCell ref="C7:F7"/>
    <mergeCell ref="C8:F8"/>
    <mergeCell ref="C9:F9"/>
  </mergeCells>
  <dataValidations count="2">
    <dataValidation type="list" allowBlank="1" showInputMessage="1" showErrorMessage="1" sqref="C50:C52">
      <formula1>"Académique, Professionnel, Associatif, Autre"</formula1>
    </dataValidation>
    <dataValidation type="list" allowBlank="1" showInputMessage="1" showErrorMessage="1" sqref="C5">
      <formula1>"Mise à jour à partir du plan d'études, Nouvelle création"</formula1>
    </dataValidation>
  </dataValidations>
  <hyperlinks>
    <hyperlink ref="B1" location="'Schéma d''enseignement'!G43" display="Schéma d'enseignement"/>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theme="5"/>
  </sheetPr>
  <dimension ref="B1:I1048539"/>
  <sheetViews>
    <sheetView zoomScaleNormal="100" workbookViewId="0">
      <selection activeCell="B1" sqref="B1"/>
    </sheetView>
  </sheetViews>
  <sheetFormatPr baseColWidth="10" defaultColWidth="8.85546875" defaultRowHeight="15.75"/>
  <cols>
    <col min="1" max="1" width="1.140625" style="99" customWidth="1"/>
    <col min="2" max="2" width="35.5703125" style="99" customWidth="1"/>
    <col min="3" max="3" width="15.5703125" style="99" customWidth="1"/>
    <col min="4" max="4" width="11.85546875" style="99" customWidth="1"/>
    <col min="5" max="5" width="7" style="99" customWidth="1"/>
    <col min="6" max="6" width="68" style="99" customWidth="1"/>
    <col min="7" max="7" width="8.140625" style="99" customWidth="1"/>
    <col min="8" max="8" width="20.140625" style="99" customWidth="1"/>
    <col min="9" max="9" width="119.85546875" style="99" customWidth="1"/>
    <col min="10" max="10" width="8.85546875" style="99"/>
    <col min="11" max="11" width="128.140625" style="99" customWidth="1"/>
    <col min="12" max="16384" width="8.85546875" style="99"/>
  </cols>
  <sheetData>
    <row r="1" spans="2:7">
      <c r="B1" s="192" t="s">
        <v>783</v>
      </c>
    </row>
    <row r="3" spans="2:7" ht="22.35" customHeight="1">
      <c r="B3" s="54" t="s">
        <v>252</v>
      </c>
      <c r="C3" s="55"/>
      <c r="D3" s="55"/>
      <c r="E3" s="55"/>
      <c r="F3" s="55"/>
      <c r="G3" s="80"/>
    </row>
    <row r="4" spans="2:7" s="56" customFormat="1"/>
    <row r="5" spans="2:7" s="56" customFormat="1">
      <c r="B5" s="57" t="s">
        <v>253</v>
      </c>
      <c r="C5" s="291" t="s">
        <v>311</v>
      </c>
      <c r="D5" s="291"/>
      <c r="E5" s="291"/>
      <c r="F5" s="291"/>
      <c r="G5" s="81"/>
    </row>
    <row r="6" spans="2:7" s="56" customFormat="1">
      <c r="B6" s="58" t="s">
        <v>255</v>
      </c>
      <c r="C6" s="292" t="s">
        <v>256</v>
      </c>
      <c r="D6" s="292"/>
      <c r="E6" s="292"/>
      <c r="F6" s="292"/>
      <c r="G6" s="75"/>
    </row>
    <row r="7" spans="2:7" s="56" customFormat="1">
      <c r="B7" s="57" t="s">
        <v>257</v>
      </c>
      <c r="C7" s="291" t="s">
        <v>258</v>
      </c>
      <c r="D7" s="291"/>
      <c r="E7" s="291"/>
      <c r="F7" s="291"/>
      <c r="G7" s="81"/>
    </row>
    <row r="8" spans="2:7" s="56" customFormat="1">
      <c r="B8" s="57" t="s">
        <v>259</v>
      </c>
      <c r="C8" s="291" t="s">
        <v>260</v>
      </c>
      <c r="D8" s="291"/>
      <c r="E8" s="291"/>
      <c r="F8" s="291"/>
      <c r="G8" s="81"/>
    </row>
    <row r="9" spans="2:7" s="56" customFormat="1" ht="15.75" customHeight="1">
      <c r="B9" s="57" t="s">
        <v>261</v>
      </c>
      <c r="C9" s="451" t="s">
        <v>212</v>
      </c>
      <c r="D9" s="452"/>
      <c r="E9" s="452"/>
      <c r="F9" s="453"/>
      <c r="G9" s="81"/>
    </row>
    <row r="10" spans="2:7" s="56" customFormat="1">
      <c r="B10" s="57" t="s">
        <v>263</v>
      </c>
      <c r="C10" s="451" t="s">
        <v>535</v>
      </c>
      <c r="D10" s="452"/>
      <c r="E10" s="452"/>
      <c r="F10" s="453"/>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v>43200</v>
      </c>
      <c r="C14" s="300"/>
      <c r="D14" s="291" t="s">
        <v>310</v>
      </c>
      <c r="E14" s="291"/>
      <c r="F14" s="291"/>
      <c r="G14" s="81"/>
    </row>
    <row r="15" spans="2:7" s="56" customFormat="1"/>
    <row r="16" spans="2:7" s="56" customFormat="1">
      <c r="B16" s="59" t="s">
        <v>267</v>
      </c>
      <c r="C16" s="59" t="s">
        <v>268</v>
      </c>
      <c r="D16" s="59" t="s">
        <v>269</v>
      </c>
      <c r="E16" s="59" t="s">
        <v>270</v>
      </c>
      <c r="F16" s="59" t="s">
        <v>271</v>
      </c>
      <c r="G16" s="82"/>
    </row>
    <row r="17" spans="2:7" s="56" customFormat="1" ht="33" customHeight="1">
      <c r="B17" s="21" t="s">
        <v>552</v>
      </c>
      <c r="C17" s="21" t="s">
        <v>513</v>
      </c>
      <c r="D17" s="21">
        <v>3</v>
      </c>
      <c r="E17" s="21">
        <v>3</v>
      </c>
      <c r="F17" s="21" t="s">
        <v>391</v>
      </c>
      <c r="G17" s="75"/>
    </row>
    <row r="18" spans="2:7" s="56" customFormat="1" ht="23.25" customHeight="1">
      <c r="B18" s="74"/>
      <c r="C18" s="75"/>
      <c r="D18" s="75"/>
      <c r="E18" s="75"/>
      <c r="F18" s="75"/>
      <c r="G18" s="75"/>
    </row>
    <row r="19" spans="2:7" s="56" customFormat="1">
      <c r="B19" s="305" t="s">
        <v>273</v>
      </c>
      <c r="C19" s="306"/>
      <c r="D19" s="306"/>
      <c r="E19" s="306"/>
      <c r="F19" s="307"/>
      <c r="G19" s="83"/>
    </row>
    <row r="20" spans="2:7" s="56" customFormat="1" ht="48" customHeight="1">
      <c r="B20" s="308" t="s">
        <v>553</v>
      </c>
      <c r="C20" s="294"/>
      <c r="D20" s="294"/>
      <c r="E20" s="294"/>
      <c r="F20" s="295"/>
      <c r="G20" s="84"/>
    </row>
    <row r="21" spans="2:7" s="56" customFormat="1">
      <c r="B21" s="305" t="s">
        <v>275</v>
      </c>
      <c r="C21" s="306"/>
      <c r="D21" s="306"/>
      <c r="E21" s="306"/>
      <c r="F21" s="307"/>
      <c r="G21" s="83"/>
    </row>
    <row r="22" spans="2:7" s="56" customFormat="1" ht="91.5" customHeight="1">
      <c r="B22" s="312" t="s">
        <v>580</v>
      </c>
      <c r="C22" s="294"/>
      <c r="D22" s="294"/>
      <c r="E22" s="294"/>
      <c r="F22" s="295"/>
      <c r="G22" s="85"/>
    </row>
    <row r="23" spans="2:7" s="56" customFormat="1"/>
    <row r="24" spans="2:7" s="56" customFormat="1">
      <c r="B24" s="305" t="s">
        <v>277</v>
      </c>
      <c r="C24" s="306"/>
      <c r="D24" s="306"/>
      <c r="E24" s="306"/>
      <c r="F24" s="307"/>
      <c r="G24" s="83"/>
    </row>
    <row r="25" spans="2:7" s="56" customFormat="1" ht="18.600000000000001" customHeight="1">
      <c r="B25" s="293" t="s">
        <v>554</v>
      </c>
      <c r="C25" s="365"/>
      <c r="D25" s="365"/>
      <c r="E25" s="365"/>
      <c r="F25" s="366"/>
      <c r="G25" s="84"/>
    </row>
    <row r="26" spans="2:7" s="56" customFormat="1"/>
    <row r="27" spans="2:7" s="56" customFormat="1">
      <c r="B27" s="305" t="s">
        <v>279</v>
      </c>
      <c r="C27" s="306"/>
      <c r="D27" s="306"/>
      <c r="E27" s="306"/>
      <c r="F27" s="307"/>
      <c r="G27" s="82"/>
    </row>
    <row r="28" spans="2:7" s="56" customFormat="1">
      <c r="B28" s="319" t="s">
        <v>395</v>
      </c>
      <c r="C28" s="320"/>
      <c r="D28" s="320"/>
      <c r="E28" s="320"/>
      <c r="F28" s="321"/>
      <c r="G28" s="94"/>
    </row>
    <row r="29" spans="2:7" s="56" customFormat="1">
      <c r="B29" s="351" t="s">
        <v>10</v>
      </c>
      <c r="C29" s="351"/>
      <c r="D29" s="351"/>
      <c r="E29" s="351"/>
      <c r="F29" s="351"/>
      <c r="G29" s="94"/>
    </row>
    <row r="30" spans="2:7" s="56" customFormat="1">
      <c r="B30" s="379" t="s">
        <v>555</v>
      </c>
      <c r="C30" s="379"/>
      <c r="D30" s="379"/>
      <c r="E30" s="379"/>
      <c r="F30" s="379"/>
      <c r="G30" s="94"/>
    </row>
    <row r="31" spans="2:7" s="56" customFormat="1">
      <c r="B31" s="351" t="s">
        <v>539</v>
      </c>
      <c r="C31" s="351"/>
      <c r="D31" s="351"/>
      <c r="E31" s="351"/>
      <c r="F31" s="351"/>
      <c r="G31" s="94"/>
    </row>
    <row r="32" spans="2:7" s="56" customFormat="1"/>
    <row r="33" spans="2:7" s="56" customFormat="1">
      <c r="B33" s="305" t="s">
        <v>284</v>
      </c>
      <c r="C33" s="306"/>
      <c r="D33" s="306"/>
      <c r="E33" s="306"/>
      <c r="F33" s="307"/>
      <c r="G33" s="83"/>
    </row>
    <row r="34" spans="2:7" s="56" customFormat="1" ht="386.45" customHeight="1">
      <c r="B34" s="430" t="s">
        <v>581</v>
      </c>
      <c r="C34" s="391"/>
      <c r="D34" s="391"/>
      <c r="E34" s="391"/>
      <c r="F34" s="392"/>
      <c r="G34" s="85"/>
    </row>
    <row r="35" spans="2:7" s="56" customFormat="1" ht="16.5" customHeight="1">
      <c r="B35" s="60"/>
      <c r="C35" s="61"/>
      <c r="D35" s="61"/>
      <c r="E35" s="61"/>
      <c r="F35" s="61"/>
      <c r="G35" s="61"/>
    </row>
    <row r="36" spans="2:7" s="56" customFormat="1">
      <c r="B36" s="305" t="s">
        <v>324</v>
      </c>
      <c r="C36" s="306"/>
      <c r="D36" s="306"/>
      <c r="E36" s="306"/>
      <c r="F36" s="307"/>
      <c r="G36" s="83"/>
    </row>
    <row r="37" spans="2:7" s="56" customFormat="1">
      <c r="B37" s="100" t="s">
        <v>556</v>
      </c>
      <c r="C37" s="379" t="s">
        <v>557</v>
      </c>
      <c r="D37" s="379"/>
      <c r="E37" s="379"/>
      <c r="F37" s="379"/>
      <c r="G37" s="85"/>
    </row>
    <row r="38" spans="2:7" s="56" customFormat="1">
      <c r="B38" s="4" t="s">
        <v>558</v>
      </c>
      <c r="C38" s="379" t="s">
        <v>559</v>
      </c>
      <c r="D38" s="379"/>
      <c r="E38" s="379"/>
      <c r="F38" s="379"/>
      <c r="G38" s="85"/>
    </row>
    <row r="39" spans="2:7" s="56" customFormat="1">
      <c r="B39" s="100" t="s">
        <v>560</v>
      </c>
      <c r="C39" s="293"/>
      <c r="D39" s="294"/>
      <c r="E39" s="294"/>
      <c r="F39" s="295"/>
      <c r="G39" s="85"/>
    </row>
    <row r="40" spans="2:7" s="56" customFormat="1">
      <c r="B40" s="100" t="s">
        <v>400</v>
      </c>
      <c r="C40" s="379"/>
      <c r="D40" s="379"/>
      <c r="E40" s="379"/>
      <c r="F40" s="379"/>
      <c r="G40" s="85"/>
    </row>
    <row r="41" spans="2:7" s="56" customFormat="1">
      <c r="B41" s="100" t="s">
        <v>561</v>
      </c>
      <c r="C41" s="379"/>
      <c r="D41" s="379"/>
      <c r="E41" s="379"/>
      <c r="F41" s="379"/>
      <c r="G41" s="85"/>
    </row>
    <row r="42" spans="2:7" s="56" customFormat="1"/>
    <row r="43" spans="2:7" s="56" customFormat="1">
      <c r="B43" s="305" t="s">
        <v>287</v>
      </c>
      <c r="C43" s="306"/>
      <c r="D43" s="306"/>
      <c r="E43" s="306"/>
      <c r="F43" s="307"/>
      <c r="G43" s="83"/>
    </row>
    <row r="44" spans="2:7" s="56" customFormat="1" ht="21" customHeight="1">
      <c r="B44" s="293" t="s">
        <v>551</v>
      </c>
      <c r="C44" s="294"/>
      <c r="D44" s="294"/>
      <c r="E44" s="294"/>
      <c r="F44" s="295"/>
      <c r="G44" s="61"/>
    </row>
    <row r="45" spans="2:7" s="56" customFormat="1"/>
    <row r="46" spans="2:7" s="56" customFormat="1">
      <c r="B46" s="305" t="s">
        <v>289</v>
      </c>
      <c r="C46" s="306"/>
      <c r="D46" s="306"/>
      <c r="E46" s="306"/>
      <c r="F46" s="307"/>
      <c r="G46" s="83"/>
    </row>
    <row r="47" spans="2:7" s="56" customFormat="1">
      <c r="B47" s="62" t="s">
        <v>290</v>
      </c>
      <c r="C47" s="62" t="s">
        <v>291</v>
      </c>
      <c r="D47" s="305" t="s">
        <v>292</v>
      </c>
      <c r="E47" s="306"/>
      <c r="F47" s="307"/>
      <c r="G47" s="83"/>
    </row>
    <row r="48" spans="2:7" s="56" customFormat="1">
      <c r="B48" s="100"/>
      <c r="C48" s="100"/>
      <c r="D48" s="316"/>
      <c r="E48" s="317"/>
      <c r="F48" s="318"/>
      <c r="G48" s="98"/>
    </row>
    <row r="49" spans="2:7" s="56" customFormat="1">
      <c r="B49" s="63"/>
      <c r="C49" s="63"/>
      <c r="D49" s="316"/>
      <c r="E49" s="317"/>
      <c r="F49" s="318"/>
      <c r="G49" s="98"/>
    </row>
    <row r="50" spans="2:7" s="56" customFormat="1">
      <c r="B50" s="64"/>
      <c r="C50" s="64"/>
      <c r="D50" s="316"/>
      <c r="E50" s="317"/>
      <c r="F50" s="318"/>
      <c r="G50" s="98"/>
    </row>
    <row r="51" spans="2:7" s="56" customFormat="1"/>
    <row r="52" spans="2:7" s="56" customFormat="1">
      <c r="B52" s="305" t="s">
        <v>293</v>
      </c>
      <c r="C52" s="306"/>
      <c r="D52" s="306"/>
      <c r="E52" s="306"/>
      <c r="F52" s="307"/>
      <c r="G52" s="83"/>
    </row>
    <row r="53" spans="2:7" s="56" customFormat="1" ht="273.75" customHeight="1">
      <c r="B53" s="308" t="s">
        <v>582</v>
      </c>
      <c r="C53" s="294"/>
      <c r="D53" s="294"/>
      <c r="E53" s="294"/>
      <c r="F53" s="295"/>
      <c r="G53" s="61"/>
    </row>
    <row r="54" spans="2:7" s="56" customFormat="1"/>
    <row r="1048539" spans="8:9">
      <c r="H1048539" s="83"/>
      <c r="I1048539" s="83"/>
    </row>
  </sheetData>
  <mergeCells count="39">
    <mergeCell ref="B52:F52"/>
    <mergeCell ref="B53:F53"/>
    <mergeCell ref="B30:F30"/>
    <mergeCell ref="B44:F44"/>
    <mergeCell ref="B46:F46"/>
    <mergeCell ref="D47:F47"/>
    <mergeCell ref="D48:F48"/>
    <mergeCell ref="D49:F49"/>
    <mergeCell ref="D50:F50"/>
    <mergeCell ref="C37:F37"/>
    <mergeCell ref="C38:F38"/>
    <mergeCell ref="C39:F39"/>
    <mergeCell ref="C40:F40"/>
    <mergeCell ref="C41:F41"/>
    <mergeCell ref="B43:F43"/>
    <mergeCell ref="B33:F33"/>
    <mergeCell ref="B34:F34"/>
    <mergeCell ref="B36:F36"/>
    <mergeCell ref="B27:F27"/>
    <mergeCell ref="B28:F28"/>
    <mergeCell ref="B29:F29"/>
    <mergeCell ref="B31:F31"/>
    <mergeCell ref="B25:F25"/>
    <mergeCell ref="C10:F10"/>
    <mergeCell ref="B12:F12"/>
    <mergeCell ref="B13:C13"/>
    <mergeCell ref="D13:F13"/>
    <mergeCell ref="B14:C14"/>
    <mergeCell ref="D14:F14"/>
    <mergeCell ref="B19:F19"/>
    <mergeCell ref="B20:F20"/>
    <mergeCell ref="B21:F21"/>
    <mergeCell ref="B22:F22"/>
    <mergeCell ref="B24:F24"/>
    <mergeCell ref="C5:F5"/>
    <mergeCell ref="C6:F6"/>
    <mergeCell ref="C7:F7"/>
    <mergeCell ref="C8:F8"/>
    <mergeCell ref="C9:F9"/>
  </mergeCells>
  <dataValidations count="2">
    <dataValidation type="list" allowBlank="1" showInputMessage="1" showErrorMessage="1" sqref="C48:C50">
      <formula1>"Académique, Professionnel, Associatif, Autre"</formula1>
    </dataValidation>
    <dataValidation type="list" allowBlank="1" showInputMessage="1" showErrorMessage="1" sqref="C5">
      <formula1>"Mise à jour à partir du plan d'études, Nouvelle création"</formula1>
    </dataValidation>
  </dataValidations>
  <hyperlinks>
    <hyperlink ref="B1" location="'Schéma d''enseignement'!G44" display="Schéma d'enseignement"/>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G62"/>
  <sheetViews>
    <sheetView workbookViewId="0">
      <selection activeCell="B1" sqref="B1"/>
    </sheetView>
  </sheetViews>
  <sheetFormatPr baseColWidth="10" defaultColWidth="8.85546875" defaultRowHeight="15.75"/>
  <cols>
    <col min="1" max="1" width="1.140625" style="99" customWidth="1"/>
    <col min="2" max="2" width="29.42578125" style="99" customWidth="1"/>
    <col min="3" max="3" width="15.5703125" style="99" customWidth="1"/>
    <col min="4" max="4" width="11.85546875" style="99" customWidth="1"/>
    <col min="5" max="5" width="7" style="99" customWidth="1"/>
    <col min="6" max="6" width="32.5703125" style="99" customWidth="1"/>
    <col min="7" max="7" width="8.140625" style="99" customWidth="1"/>
    <col min="8" max="8" width="20.140625" style="99" customWidth="1"/>
    <col min="9" max="9" width="119.85546875" style="99" customWidth="1"/>
    <col min="10" max="10" width="11.5703125" style="99" customWidth="1"/>
    <col min="11" max="11" width="128.140625" style="99" customWidth="1"/>
    <col min="12" max="256" width="11.5703125" style="99" customWidth="1"/>
    <col min="257" max="16384" width="8.85546875" style="99"/>
  </cols>
  <sheetData>
    <row r="1" spans="2:7">
      <c r="B1" s="192" t="s">
        <v>783</v>
      </c>
    </row>
    <row r="3" spans="2:7">
      <c r="B3" s="54" t="s">
        <v>252</v>
      </c>
      <c r="C3" s="55"/>
      <c r="D3" s="55"/>
      <c r="E3" s="55"/>
      <c r="F3" s="55"/>
      <c r="G3" s="80"/>
    </row>
    <row r="4" spans="2:7" s="56" customFormat="1"/>
    <row r="5" spans="2:7" s="56" customFormat="1">
      <c r="B5" s="57" t="s">
        <v>253</v>
      </c>
      <c r="C5" s="291" t="s">
        <v>254</v>
      </c>
      <c r="D5" s="291"/>
      <c r="E5" s="291"/>
      <c r="F5" s="291"/>
      <c r="G5" s="81"/>
    </row>
    <row r="6" spans="2:7" s="56" customFormat="1">
      <c r="B6" s="144" t="s">
        <v>255</v>
      </c>
      <c r="C6" s="292" t="s">
        <v>754</v>
      </c>
      <c r="D6" s="292"/>
      <c r="E6" s="292"/>
      <c r="F6" s="292"/>
      <c r="G6" s="75"/>
    </row>
    <row r="7" spans="2:7" s="56" customFormat="1">
      <c r="B7" s="57" t="s">
        <v>257</v>
      </c>
      <c r="C7" s="291" t="s">
        <v>584</v>
      </c>
      <c r="D7" s="291"/>
      <c r="E7" s="291"/>
      <c r="F7" s="291"/>
      <c r="G7" s="81"/>
    </row>
    <row r="8" spans="2:7" s="56" customFormat="1">
      <c r="B8" s="57" t="s">
        <v>259</v>
      </c>
      <c r="C8" s="291" t="s">
        <v>740</v>
      </c>
      <c r="D8" s="291"/>
      <c r="E8" s="291"/>
      <c r="F8" s="291"/>
      <c r="G8" s="81"/>
    </row>
    <row r="9" spans="2:7" s="56" customFormat="1">
      <c r="B9" s="57" t="s">
        <v>261</v>
      </c>
      <c r="C9" s="291" t="s">
        <v>197</v>
      </c>
      <c r="D9" s="291"/>
      <c r="E9" s="291"/>
      <c r="F9" s="291"/>
      <c r="G9" s="81"/>
    </row>
    <row r="10" spans="2:7" s="56" customFormat="1">
      <c r="B10" s="57" t="s">
        <v>263</v>
      </c>
      <c r="C10" s="291">
        <v>5</v>
      </c>
      <c r="D10" s="291"/>
      <c r="E10" s="291"/>
      <c r="F10" s="291"/>
      <c r="G10" s="81"/>
    </row>
    <row r="11" spans="2:7" s="56" customFormat="1"/>
    <row r="12" spans="2:7" s="56" customFormat="1">
      <c r="B12" s="296" t="s">
        <v>264</v>
      </c>
      <c r="C12" s="296"/>
      <c r="D12" s="296"/>
      <c r="E12" s="296"/>
      <c r="F12" s="296"/>
      <c r="G12" s="82"/>
    </row>
    <row r="13" spans="2:7" s="56" customFormat="1">
      <c r="B13" s="297" t="s">
        <v>265</v>
      </c>
      <c r="C13" s="298"/>
      <c r="D13" s="296" t="s">
        <v>266</v>
      </c>
      <c r="E13" s="296"/>
      <c r="F13" s="296"/>
      <c r="G13" s="82"/>
    </row>
    <row r="14" spans="2:7" s="56" customFormat="1">
      <c r="B14" s="299"/>
      <c r="C14" s="300"/>
      <c r="D14" s="291"/>
      <c r="E14" s="291"/>
      <c r="F14" s="291"/>
      <c r="G14" s="81"/>
    </row>
    <row r="15" spans="2:7" s="56" customFormat="1"/>
    <row r="16" spans="2:7" s="56" customFormat="1">
      <c r="B16" s="59" t="s">
        <v>267</v>
      </c>
      <c r="C16" s="59" t="s">
        <v>268</v>
      </c>
      <c r="D16" s="59" t="s">
        <v>269</v>
      </c>
      <c r="E16" s="59" t="s">
        <v>270</v>
      </c>
      <c r="F16" s="59" t="s">
        <v>271</v>
      </c>
      <c r="G16" s="82"/>
    </row>
    <row r="17" spans="2:7" s="56" customFormat="1">
      <c r="B17" s="26" t="s">
        <v>736</v>
      </c>
      <c r="C17" s="21">
        <v>21</v>
      </c>
      <c r="D17" s="21">
        <v>2</v>
      </c>
      <c r="E17" s="21">
        <v>2</v>
      </c>
      <c r="F17" s="21" t="s">
        <v>272</v>
      </c>
      <c r="G17" s="75"/>
    </row>
    <row r="18" spans="2:7" s="56" customFormat="1">
      <c r="B18" s="74"/>
      <c r="C18" s="75"/>
      <c r="D18" s="75"/>
      <c r="E18" s="75"/>
      <c r="F18" s="75"/>
      <c r="G18" s="75"/>
    </row>
    <row r="19" spans="2:7" s="56" customFormat="1">
      <c r="B19" s="305" t="s">
        <v>273</v>
      </c>
      <c r="C19" s="306"/>
      <c r="D19" s="306"/>
      <c r="E19" s="306"/>
      <c r="F19" s="307"/>
      <c r="G19" s="83"/>
    </row>
    <row r="20" spans="2:7" s="56" customFormat="1">
      <c r="B20" s="308" t="s">
        <v>755</v>
      </c>
      <c r="C20" s="365"/>
      <c r="D20" s="365"/>
      <c r="E20" s="365"/>
      <c r="F20" s="366"/>
      <c r="G20" s="84"/>
    </row>
    <row r="21" spans="2:7" s="56" customFormat="1">
      <c r="B21" s="305" t="s">
        <v>275</v>
      </c>
      <c r="C21" s="306"/>
      <c r="D21" s="306"/>
      <c r="E21" s="306"/>
      <c r="F21" s="307"/>
      <c r="G21" s="83"/>
    </row>
    <row r="22" spans="2:7" s="56" customFormat="1" ht="33" customHeight="1">
      <c r="B22" s="312" t="s">
        <v>762</v>
      </c>
      <c r="C22" s="294"/>
      <c r="D22" s="294"/>
      <c r="E22" s="294"/>
      <c r="F22" s="295"/>
      <c r="G22" s="143"/>
    </row>
    <row r="23" spans="2:7" s="56" customFormat="1"/>
    <row r="24" spans="2:7" s="56" customFormat="1">
      <c r="B24" s="305" t="s">
        <v>277</v>
      </c>
      <c r="C24" s="306"/>
      <c r="D24" s="306"/>
      <c r="E24" s="306"/>
      <c r="F24" s="307"/>
      <c r="G24" s="83"/>
    </row>
    <row r="25" spans="2:7" s="56" customFormat="1">
      <c r="B25" s="293" t="s">
        <v>756</v>
      </c>
      <c r="C25" s="365"/>
      <c r="D25" s="365"/>
      <c r="E25" s="365"/>
      <c r="F25" s="366"/>
      <c r="G25" s="84"/>
    </row>
    <row r="26" spans="2:7" s="56" customFormat="1"/>
    <row r="27" spans="2:7" s="56" customFormat="1">
      <c r="B27" s="305" t="s">
        <v>279</v>
      </c>
      <c r="C27" s="306"/>
      <c r="D27" s="306"/>
      <c r="E27" s="306"/>
      <c r="F27" s="307"/>
      <c r="G27" s="82"/>
    </row>
    <row r="28" spans="2:7" s="56" customFormat="1">
      <c r="B28" s="384" t="s">
        <v>746</v>
      </c>
      <c r="C28" s="385"/>
      <c r="D28" s="385"/>
      <c r="E28" s="385"/>
      <c r="F28" s="386"/>
      <c r="G28" s="94"/>
    </row>
    <row r="29" spans="2:7" s="56" customFormat="1">
      <c r="B29" s="384" t="s">
        <v>745</v>
      </c>
      <c r="C29" s="385"/>
      <c r="D29" s="385"/>
      <c r="E29" s="385"/>
      <c r="F29" s="386"/>
      <c r="G29" s="94"/>
    </row>
    <row r="30" spans="2:7" s="56" customFormat="1">
      <c r="B30" s="384" t="s">
        <v>757</v>
      </c>
      <c r="C30" s="385"/>
      <c r="D30" s="385"/>
      <c r="E30" s="385"/>
      <c r="F30" s="386"/>
      <c r="G30" s="94"/>
    </row>
    <row r="31" spans="2:7" s="56" customFormat="1">
      <c r="G31" s="94"/>
    </row>
    <row r="32" spans="2:7" s="56" customFormat="1">
      <c r="B32" s="384"/>
      <c r="C32" s="385"/>
      <c r="D32" s="385"/>
      <c r="E32" s="385"/>
      <c r="F32" s="386"/>
      <c r="G32" s="94"/>
    </row>
    <row r="33" spans="2:7" s="56" customFormat="1">
      <c r="B33" s="384"/>
      <c r="C33" s="385"/>
      <c r="D33" s="385"/>
      <c r="E33" s="385"/>
      <c r="F33" s="386"/>
      <c r="G33" s="94"/>
    </row>
    <row r="34" spans="2:7" s="56" customFormat="1">
      <c r="B34" s="384"/>
      <c r="C34" s="385"/>
      <c r="D34" s="385"/>
      <c r="E34" s="385"/>
      <c r="F34" s="386"/>
      <c r="G34" s="94"/>
    </row>
    <row r="35" spans="2:7" s="56" customFormat="1">
      <c r="B35" s="384"/>
      <c r="C35" s="385"/>
      <c r="D35" s="385"/>
      <c r="E35" s="385"/>
      <c r="F35" s="386"/>
      <c r="G35" s="94"/>
    </row>
    <row r="36" spans="2:7" s="56" customFormat="1">
      <c r="B36" s="387"/>
      <c r="C36" s="388"/>
      <c r="D36" s="388"/>
      <c r="E36" s="388"/>
      <c r="F36" s="389"/>
      <c r="G36" s="143"/>
    </row>
    <row r="37" spans="2:7" s="56" customFormat="1"/>
    <row r="38" spans="2:7" s="56" customFormat="1">
      <c r="B38" s="305" t="s">
        <v>284</v>
      </c>
      <c r="C38" s="306"/>
      <c r="D38" s="306"/>
      <c r="E38" s="306"/>
      <c r="F38" s="307"/>
      <c r="G38" s="83"/>
    </row>
    <row r="39" spans="2:7" s="56" customFormat="1" ht="276.60000000000002" customHeight="1">
      <c r="B39" s="460" t="s">
        <v>748</v>
      </c>
      <c r="C39" s="461"/>
      <c r="D39" s="461"/>
      <c r="E39" s="461"/>
      <c r="F39" s="462"/>
      <c r="G39" s="143"/>
    </row>
    <row r="40" spans="2:7" s="56" customFormat="1" ht="249" customHeight="1">
      <c r="B40" s="457" t="s">
        <v>758</v>
      </c>
      <c r="C40" s="458"/>
      <c r="D40" s="458"/>
      <c r="E40" s="458"/>
      <c r="F40" s="459"/>
      <c r="G40" s="143"/>
    </row>
    <row r="41" spans="2:7" s="56" customFormat="1">
      <c r="B41" s="60"/>
      <c r="C41" s="61"/>
      <c r="D41" s="61"/>
      <c r="E41" s="61"/>
      <c r="F41" s="61"/>
      <c r="G41" s="61"/>
    </row>
    <row r="42" spans="2:7" s="56" customFormat="1">
      <c r="B42" s="305" t="s">
        <v>749</v>
      </c>
      <c r="C42" s="306"/>
      <c r="D42" s="306"/>
      <c r="E42" s="306"/>
      <c r="F42" s="307"/>
      <c r="G42" s="83"/>
    </row>
    <row r="43" spans="2:7" s="56" customFormat="1">
      <c r="B43" s="100" t="s">
        <v>587</v>
      </c>
      <c r="C43" s="379"/>
      <c r="D43" s="379"/>
      <c r="E43" s="379"/>
      <c r="F43" s="379"/>
      <c r="G43" s="143"/>
    </row>
    <row r="44" spans="2:7" s="56" customFormat="1">
      <c r="B44" s="100" t="s">
        <v>589</v>
      </c>
      <c r="C44" s="379"/>
      <c r="D44" s="379"/>
      <c r="E44" s="379"/>
      <c r="F44" s="379"/>
      <c r="G44" s="143"/>
    </row>
    <row r="45" spans="2:7" s="56" customFormat="1">
      <c r="B45" s="100" t="s">
        <v>591</v>
      </c>
      <c r="C45" s="293" t="s">
        <v>759</v>
      </c>
      <c r="D45" s="294"/>
      <c r="E45" s="294"/>
      <c r="F45" s="295"/>
      <c r="G45" s="143"/>
    </row>
    <row r="46" spans="2:7" s="56" customFormat="1">
      <c r="B46" s="100"/>
      <c r="C46" s="379"/>
      <c r="D46" s="379"/>
      <c r="E46" s="379"/>
      <c r="F46" s="379"/>
      <c r="G46" s="143"/>
    </row>
    <row r="47" spans="2:7" s="56" customFormat="1">
      <c r="B47" s="100"/>
      <c r="C47" s="379"/>
      <c r="D47" s="379"/>
      <c r="E47" s="379"/>
      <c r="F47" s="379"/>
      <c r="G47" s="143"/>
    </row>
    <row r="48" spans="2:7" s="56" customFormat="1"/>
    <row r="49" spans="1:7" s="56" customFormat="1">
      <c r="B49" s="305" t="s">
        <v>287</v>
      </c>
      <c r="C49" s="306"/>
      <c r="D49" s="306"/>
      <c r="E49" s="306"/>
      <c r="F49" s="307"/>
      <c r="G49" s="83"/>
    </row>
    <row r="50" spans="1:7" s="56" customFormat="1">
      <c r="B50" s="293"/>
      <c r="C50" s="294"/>
      <c r="D50" s="294"/>
      <c r="E50" s="294"/>
      <c r="F50" s="295"/>
      <c r="G50" s="61"/>
    </row>
    <row r="51" spans="1:7" s="56" customFormat="1"/>
    <row r="52" spans="1:7" s="56" customFormat="1">
      <c r="B52" s="305" t="s">
        <v>289</v>
      </c>
      <c r="C52" s="306"/>
      <c r="D52" s="306"/>
      <c r="E52" s="306"/>
      <c r="F52" s="307"/>
      <c r="G52" s="83"/>
    </row>
    <row r="53" spans="1:7" s="56" customFormat="1">
      <c r="B53" s="62" t="s">
        <v>290</v>
      </c>
      <c r="C53" s="62" t="s">
        <v>291</v>
      </c>
      <c r="D53" s="305" t="s">
        <v>292</v>
      </c>
      <c r="E53" s="306"/>
      <c r="F53" s="307"/>
      <c r="G53" s="83"/>
    </row>
    <row r="54" spans="1:7" s="56" customFormat="1">
      <c r="A54" s="181"/>
      <c r="B54" s="100"/>
      <c r="C54" s="100"/>
      <c r="D54" s="370"/>
      <c r="E54" s="317"/>
      <c r="F54" s="318"/>
      <c r="G54" s="98"/>
    </row>
    <row r="55" spans="1:7" s="56" customFormat="1">
      <c r="B55" s="63"/>
      <c r="C55" s="63"/>
      <c r="D55" s="316"/>
      <c r="E55" s="317"/>
      <c r="F55" s="318"/>
      <c r="G55" s="98"/>
    </row>
    <row r="56" spans="1:7" s="56" customFormat="1">
      <c r="B56" s="64"/>
      <c r="C56" s="64"/>
      <c r="D56" s="316"/>
      <c r="E56" s="317"/>
      <c r="F56" s="318"/>
      <c r="G56" s="98"/>
    </row>
    <row r="57" spans="1:7" s="56" customFormat="1"/>
    <row r="58" spans="1:7" s="56" customFormat="1">
      <c r="B58" s="305" t="s">
        <v>293</v>
      </c>
      <c r="C58" s="306"/>
      <c r="D58" s="306"/>
      <c r="E58" s="306"/>
      <c r="F58" s="307"/>
      <c r="G58" s="83"/>
    </row>
    <row r="59" spans="1:7" s="56" customFormat="1">
      <c r="B59" s="381"/>
      <c r="C59" s="382"/>
      <c r="D59" s="382"/>
      <c r="E59" s="382"/>
      <c r="F59" s="383"/>
      <c r="G59" s="61"/>
    </row>
    <row r="60" spans="1:7" s="56" customFormat="1"/>
    <row r="61" spans="1:7" s="56" customFormat="1">
      <c r="B61" s="305" t="s">
        <v>428</v>
      </c>
      <c r="C61" s="306"/>
      <c r="D61" s="306"/>
      <c r="E61" s="306"/>
      <c r="F61" s="307"/>
      <c r="G61" s="83"/>
    </row>
    <row r="62" spans="1:7">
      <c r="B62" s="381"/>
      <c r="C62" s="382"/>
      <c r="D62" s="382"/>
      <c r="E62" s="382"/>
      <c r="F62" s="383"/>
      <c r="G62" s="61"/>
    </row>
  </sheetData>
  <mergeCells count="46">
    <mergeCell ref="C9:F9"/>
    <mergeCell ref="C5:F5"/>
    <mergeCell ref="C6:F6"/>
    <mergeCell ref="C7:F7"/>
    <mergeCell ref="C8:F8"/>
    <mergeCell ref="B25:F25"/>
    <mergeCell ref="C10:F10"/>
    <mergeCell ref="B12:F12"/>
    <mergeCell ref="B13:C13"/>
    <mergeCell ref="D13:F13"/>
    <mergeCell ref="B14:C14"/>
    <mergeCell ref="D14:F14"/>
    <mergeCell ref="B19:F19"/>
    <mergeCell ref="B20:F20"/>
    <mergeCell ref="B21:F21"/>
    <mergeCell ref="B22:F22"/>
    <mergeCell ref="B24:F24"/>
    <mergeCell ref="B40:F40"/>
    <mergeCell ref="B27:F27"/>
    <mergeCell ref="B28:F28"/>
    <mergeCell ref="B29:F29"/>
    <mergeCell ref="B30:F30"/>
    <mergeCell ref="B32:F32"/>
    <mergeCell ref="B33:F33"/>
    <mergeCell ref="B34:F34"/>
    <mergeCell ref="B35:F35"/>
    <mergeCell ref="B36:F36"/>
    <mergeCell ref="B38:F38"/>
    <mergeCell ref="B39:F39"/>
    <mergeCell ref="D55:F55"/>
    <mergeCell ref="B42:F42"/>
    <mergeCell ref="C43:F43"/>
    <mergeCell ref="C44:F44"/>
    <mergeCell ref="C45:F45"/>
    <mergeCell ref="C46:F46"/>
    <mergeCell ref="C47:F47"/>
    <mergeCell ref="B49:F49"/>
    <mergeCell ref="B50:F50"/>
    <mergeCell ref="B52:F52"/>
    <mergeCell ref="D53:F53"/>
    <mergeCell ref="D54:F54"/>
    <mergeCell ref="D56:F56"/>
    <mergeCell ref="B58:F58"/>
    <mergeCell ref="B59:F59"/>
    <mergeCell ref="B61:F61"/>
    <mergeCell ref="B62:F62"/>
  </mergeCells>
  <dataValidations count="2">
    <dataValidation type="list" allowBlank="1" showInputMessage="1" showErrorMessage="1" sqref="C54:C56 IY54:IY56 SU54:SU56 ACQ54:ACQ56 AMM54:AMM56 AWI54:AWI56 BGE54:BGE56 BQA54:BQA56 BZW54:BZW56 CJS54:CJS56 CTO54:CTO56 DDK54:DDK56 DNG54:DNG56 DXC54:DXC56 EGY54:EGY56 EQU54:EQU56 FAQ54:FAQ56 FKM54:FKM56 FUI54:FUI56 GEE54:GEE56 GOA54:GOA56 GXW54:GXW56 HHS54:HHS56 HRO54:HRO56 IBK54:IBK56 ILG54:ILG56 IVC54:IVC56 JEY54:JEY56 JOU54:JOU56 JYQ54:JYQ56 KIM54:KIM56 KSI54:KSI56 LCE54:LCE56 LMA54:LMA56 LVW54:LVW56 MFS54:MFS56 MPO54:MPO56 MZK54:MZK56 NJG54:NJG56 NTC54:NTC56 OCY54:OCY56 OMU54:OMU56 OWQ54:OWQ56 PGM54:PGM56 PQI54:PQI56 QAE54:QAE56 QKA54:QKA56 QTW54:QTW56 RDS54:RDS56 RNO54:RNO56 RXK54:RXK56 SHG54:SHG56 SRC54:SRC56 TAY54:TAY56 TKU54:TKU56 TUQ54:TUQ56 UEM54:UEM56 UOI54:UOI56 UYE54:UYE56 VIA54:VIA56 VRW54:VRW56 WBS54:WBS56 WLO54:WLO56 WVK54:WVK56 C65590:C65592 IY65590:IY65592 SU65590:SU65592 ACQ65590:ACQ65592 AMM65590:AMM65592 AWI65590:AWI65592 BGE65590:BGE65592 BQA65590:BQA65592 BZW65590:BZW65592 CJS65590:CJS65592 CTO65590:CTO65592 DDK65590:DDK65592 DNG65590:DNG65592 DXC65590:DXC65592 EGY65590:EGY65592 EQU65590:EQU65592 FAQ65590:FAQ65592 FKM65590:FKM65592 FUI65590:FUI65592 GEE65590:GEE65592 GOA65590:GOA65592 GXW65590:GXW65592 HHS65590:HHS65592 HRO65590:HRO65592 IBK65590:IBK65592 ILG65590:ILG65592 IVC65590:IVC65592 JEY65590:JEY65592 JOU65590:JOU65592 JYQ65590:JYQ65592 KIM65590:KIM65592 KSI65590:KSI65592 LCE65590:LCE65592 LMA65590:LMA65592 LVW65590:LVW65592 MFS65590:MFS65592 MPO65590:MPO65592 MZK65590:MZK65592 NJG65590:NJG65592 NTC65590:NTC65592 OCY65590:OCY65592 OMU65590:OMU65592 OWQ65590:OWQ65592 PGM65590:PGM65592 PQI65590:PQI65592 QAE65590:QAE65592 QKA65590:QKA65592 QTW65590:QTW65592 RDS65590:RDS65592 RNO65590:RNO65592 RXK65590:RXK65592 SHG65590:SHG65592 SRC65590:SRC65592 TAY65590:TAY65592 TKU65590:TKU65592 TUQ65590:TUQ65592 UEM65590:UEM65592 UOI65590:UOI65592 UYE65590:UYE65592 VIA65590:VIA65592 VRW65590:VRW65592 WBS65590:WBS65592 WLO65590:WLO65592 WVK65590:WVK65592 C131126:C131128 IY131126:IY131128 SU131126:SU131128 ACQ131126:ACQ131128 AMM131126:AMM131128 AWI131126:AWI131128 BGE131126:BGE131128 BQA131126:BQA131128 BZW131126:BZW131128 CJS131126:CJS131128 CTO131126:CTO131128 DDK131126:DDK131128 DNG131126:DNG131128 DXC131126:DXC131128 EGY131126:EGY131128 EQU131126:EQU131128 FAQ131126:FAQ131128 FKM131126:FKM131128 FUI131126:FUI131128 GEE131126:GEE131128 GOA131126:GOA131128 GXW131126:GXW131128 HHS131126:HHS131128 HRO131126:HRO131128 IBK131126:IBK131128 ILG131126:ILG131128 IVC131126:IVC131128 JEY131126:JEY131128 JOU131126:JOU131128 JYQ131126:JYQ131128 KIM131126:KIM131128 KSI131126:KSI131128 LCE131126:LCE131128 LMA131126:LMA131128 LVW131126:LVW131128 MFS131126:MFS131128 MPO131126:MPO131128 MZK131126:MZK131128 NJG131126:NJG131128 NTC131126:NTC131128 OCY131126:OCY131128 OMU131126:OMU131128 OWQ131126:OWQ131128 PGM131126:PGM131128 PQI131126:PQI131128 QAE131126:QAE131128 QKA131126:QKA131128 QTW131126:QTW131128 RDS131126:RDS131128 RNO131126:RNO131128 RXK131126:RXK131128 SHG131126:SHG131128 SRC131126:SRC131128 TAY131126:TAY131128 TKU131126:TKU131128 TUQ131126:TUQ131128 UEM131126:UEM131128 UOI131126:UOI131128 UYE131126:UYE131128 VIA131126:VIA131128 VRW131126:VRW131128 WBS131126:WBS131128 WLO131126:WLO131128 WVK131126:WVK131128 C196662:C196664 IY196662:IY196664 SU196662:SU196664 ACQ196662:ACQ196664 AMM196662:AMM196664 AWI196662:AWI196664 BGE196662:BGE196664 BQA196662:BQA196664 BZW196662:BZW196664 CJS196662:CJS196664 CTO196662:CTO196664 DDK196662:DDK196664 DNG196662:DNG196664 DXC196662:DXC196664 EGY196662:EGY196664 EQU196662:EQU196664 FAQ196662:FAQ196664 FKM196662:FKM196664 FUI196662:FUI196664 GEE196662:GEE196664 GOA196662:GOA196664 GXW196662:GXW196664 HHS196662:HHS196664 HRO196662:HRO196664 IBK196662:IBK196664 ILG196662:ILG196664 IVC196662:IVC196664 JEY196662:JEY196664 JOU196662:JOU196664 JYQ196662:JYQ196664 KIM196662:KIM196664 KSI196662:KSI196664 LCE196662:LCE196664 LMA196662:LMA196664 LVW196662:LVW196664 MFS196662:MFS196664 MPO196662:MPO196664 MZK196662:MZK196664 NJG196662:NJG196664 NTC196662:NTC196664 OCY196662:OCY196664 OMU196662:OMU196664 OWQ196662:OWQ196664 PGM196662:PGM196664 PQI196662:PQI196664 QAE196662:QAE196664 QKA196662:QKA196664 QTW196662:QTW196664 RDS196662:RDS196664 RNO196662:RNO196664 RXK196662:RXK196664 SHG196662:SHG196664 SRC196662:SRC196664 TAY196662:TAY196664 TKU196662:TKU196664 TUQ196662:TUQ196664 UEM196662:UEM196664 UOI196662:UOI196664 UYE196662:UYE196664 VIA196662:VIA196664 VRW196662:VRW196664 WBS196662:WBS196664 WLO196662:WLO196664 WVK196662:WVK196664 C262198:C262200 IY262198:IY262200 SU262198:SU262200 ACQ262198:ACQ262200 AMM262198:AMM262200 AWI262198:AWI262200 BGE262198:BGE262200 BQA262198:BQA262200 BZW262198:BZW262200 CJS262198:CJS262200 CTO262198:CTO262200 DDK262198:DDK262200 DNG262198:DNG262200 DXC262198:DXC262200 EGY262198:EGY262200 EQU262198:EQU262200 FAQ262198:FAQ262200 FKM262198:FKM262200 FUI262198:FUI262200 GEE262198:GEE262200 GOA262198:GOA262200 GXW262198:GXW262200 HHS262198:HHS262200 HRO262198:HRO262200 IBK262198:IBK262200 ILG262198:ILG262200 IVC262198:IVC262200 JEY262198:JEY262200 JOU262198:JOU262200 JYQ262198:JYQ262200 KIM262198:KIM262200 KSI262198:KSI262200 LCE262198:LCE262200 LMA262198:LMA262200 LVW262198:LVW262200 MFS262198:MFS262200 MPO262198:MPO262200 MZK262198:MZK262200 NJG262198:NJG262200 NTC262198:NTC262200 OCY262198:OCY262200 OMU262198:OMU262200 OWQ262198:OWQ262200 PGM262198:PGM262200 PQI262198:PQI262200 QAE262198:QAE262200 QKA262198:QKA262200 QTW262198:QTW262200 RDS262198:RDS262200 RNO262198:RNO262200 RXK262198:RXK262200 SHG262198:SHG262200 SRC262198:SRC262200 TAY262198:TAY262200 TKU262198:TKU262200 TUQ262198:TUQ262200 UEM262198:UEM262200 UOI262198:UOI262200 UYE262198:UYE262200 VIA262198:VIA262200 VRW262198:VRW262200 WBS262198:WBS262200 WLO262198:WLO262200 WVK262198:WVK262200 C327734:C327736 IY327734:IY327736 SU327734:SU327736 ACQ327734:ACQ327736 AMM327734:AMM327736 AWI327734:AWI327736 BGE327734:BGE327736 BQA327734:BQA327736 BZW327734:BZW327736 CJS327734:CJS327736 CTO327734:CTO327736 DDK327734:DDK327736 DNG327734:DNG327736 DXC327734:DXC327736 EGY327734:EGY327736 EQU327734:EQU327736 FAQ327734:FAQ327736 FKM327734:FKM327736 FUI327734:FUI327736 GEE327734:GEE327736 GOA327734:GOA327736 GXW327734:GXW327736 HHS327734:HHS327736 HRO327734:HRO327736 IBK327734:IBK327736 ILG327734:ILG327736 IVC327734:IVC327736 JEY327734:JEY327736 JOU327734:JOU327736 JYQ327734:JYQ327736 KIM327734:KIM327736 KSI327734:KSI327736 LCE327734:LCE327736 LMA327734:LMA327736 LVW327734:LVW327736 MFS327734:MFS327736 MPO327734:MPO327736 MZK327734:MZK327736 NJG327734:NJG327736 NTC327734:NTC327736 OCY327734:OCY327736 OMU327734:OMU327736 OWQ327734:OWQ327736 PGM327734:PGM327736 PQI327734:PQI327736 QAE327734:QAE327736 QKA327734:QKA327736 QTW327734:QTW327736 RDS327734:RDS327736 RNO327734:RNO327736 RXK327734:RXK327736 SHG327734:SHG327736 SRC327734:SRC327736 TAY327734:TAY327736 TKU327734:TKU327736 TUQ327734:TUQ327736 UEM327734:UEM327736 UOI327734:UOI327736 UYE327734:UYE327736 VIA327734:VIA327736 VRW327734:VRW327736 WBS327734:WBS327736 WLO327734:WLO327736 WVK327734:WVK327736 C393270:C393272 IY393270:IY393272 SU393270:SU393272 ACQ393270:ACQ393272 AMM393270:AMM393272 AWI393270:AWI393272 BGE393270:BGE393272 BQA393270:BQA393272 BZW393270:BZW393272 CJS393270:CJS393272 CTO393270:CTO393272 DDK393270:DDK393272 DNG393270:DNG393272 DXC393270:DXC393272 EGY393270:EGY393272 EQU393270:EQU393272 FAQ393270:FAQ393272 FKM393270:FKM393272 FUI393270:FUI393272 GEE393270:GEE393272 GOA393270:GOA393272 GXW393270:GXW393272 HHS393270:HHS393272 HRO393270:HRO393272 IBK393270:IBK393272 ILG393270:ILG393272 IVC393270:IVC393272 JEY393270:JEY393272 JOU393270:JOU393272 JYQ393270:JYQ393272 KIM393270:KIM393272 KSI393270:KSI393272 LCE393270:LCE393272 LMA393270:LMA393272 LVW393270:LVW393272 MFS393270:MFS393272 MPO393270:MPO393272 MZK393270:MZK393272 NJG393270:NJG393272 NTC393270:NTC393272 OCY393270:OCY393272 OMU393270:OMU393272 OWQ393270:OWQ393272 PGM393270:PGM393272 PQI393270:PQI393272 QAE393270:QAE393272 QKA393270:QKA393272 QTW393270:QTW393272 RDS393270:RDS393272 RNO393270:RNO393272 RXK393270:RXK393272 SHG393270:SHG393272 SRC393270:SRC393272 TAY393270:TAY393272 TKU393270:TKU393272 TUQ393270:TUQ393272 UEM393270:UEM393272 UOI393270:UOI393272 UYE393270:UYE393272 VIA393270:VIA393272 VRW393270:VRW393272 WBS393270:WBS393272 WLO393270:WLO393272 WVK393270:WVK393272 C458806:C458808 IY458806:IY458808 SU458806:SU458808 ACQ458806:ACQ458808 AMM458806:AMM458808 AWI458806:AWI458808 BGE458806:BGE458808 BQA458806:BQA458808 BZW458806:BZW458808 CJS458806:CJS458808 CTO458806:CTO458808 DDK458806:DDK458808 DNG458806:DNG458808 DXC458806:DXC458808 EGY458806:EGY458808 EQU458806:EQU458808 FAQ458806:FAQ458808 FKM458806:FKM458808 FUI458806:FUI458808 GEE458806:GEE458808 GOA458806:GOA458808 GXW458806:GXW458808 HHS458806:HHS458808 HRO458806:HRO458808 IBK458806:IBK458808 ILG458806:ILG458808 IVC458806:IVC458808 JEY458806:JEY458808 JOU458806:JOU458808 JYQ458806:JYQ458808 KIM458806:KIM458808 KSI458806:KSI458808 LCE458806:LCE458808 LMA458806:LMA458808 LVW458806:LVW458808 MFS458806:MFS458808 MPO458806:MPO458808 MZK458806:MZK458808 NJG458806:NJG458808 NTC458806:NTC458808 OCY458806:OCY458808 OMU458806:OMU458808 OWQ458806:OWQ458808 PGM458806:PGM458808 PQI458806:PQI458808 QAE458806:QAE458808 QKA458806:QKA458808 QTW458806:QTW458808 RDS458806:RDS458808 RNO458806:RNO458808 RXK458806:RXK458808 SHG458806:SHG458808 SRC458806:SRC458808 TAY458806:TAY458808 TKU458806:TKU458808 TUQ458806:TUQ458808 UEM458806:UEM458808 UOI458806:UOI458808 UYE458806:UYE458808 VIA458806:VIA458808 VRW458806:VRW458808 WBS458806:WBS458808 WLO458806:WLO458808 WVK458806:WVK458808 C524342:C524344 IY524342:IY524344 SU524342:SU524344 ACQ524342:ACQ524344 AMM524342:AMM524344 AWI524342:AWI524344 BGE524342:BGE524344 BQA524342:BQA524344 BZW524342:BZW524344 CJS524342:CJS524344 CTO524342:CTO524344 DDK524342:DDK524344 DNG524342:DNG524344 DXC524342:DXC524344 EGY524342:EGY524344 EQU524342:EQU524344 FAQ524342:FAQ524344 FKM524342:FKM524344 FUI524342:FUI524344 GEE524342:GEE524344 GOA524342:GOA524344 GXW524342:GXW524344 HHS524342:HHS524344 HRO524342:HRO524344 IBK524342:IBK524344 ILG524342:ILG524344 IVC524342:IVC524344 JEY524342:JEY524344 JOU524342:JOU524344 JYQ524342:JYQ524344 KIM524342:KIM524344 KSI524342:KSI524344 LCE524342:LCE524344 LMA524342:LMA524344 LVW524342:LVW524344 MFS524342:MFS524344 MPO524342:MPO524344 MZK524342:MZK524344 NJG524342:NJG524344 NTC524342:NTC524344 OCY524342:OCY524344 OMU524342:OMU524344 OWQ524342:OWQ524344 PGM524342:PGM524344 PQI524342:PQI524344 QAE524342:QAE524344 QKA524342:QKA524344 QTW524342:QTW524344 RDS524342:RDS524344 RNO524342:RNO524344 RXK524342:RXK524344 SHG524342:SHG524344 SRC524342:SRC524344 TAY524342:TAY524344 TKU524342:TKU524344 TUQ524342:TUQ524344 UEM524342:UEM524344 UOI524342:UOI524344 UYE524342:UYE524344 VIA524342:VIA524344 VRW524342:VRW524344 WBS524342:WBS524344 WLO524342:WLO524344 WVK524342:WVK524344 C589878:C589880 IY589878:IY589880 SU589878:SU589880 ACQ589878:ACQ589880 AMM589878:AMM589880 AWI589878:AWI589880 BGE589878:BGE589880 BQA589878:BQA589880 BZW589878:BZW589880 CJS589878:CJS589880 CTO589878:CTO589880 DDK589878:DDK589880 DNG589878:DNG589880 DXC589878:DXC589880 EGY589878:EGY589880 EQU589878:EQU589880 FAQ589878:FAQ589880 FKM589878:FKM589880 FUI589878:FUI589880 GEE589878:GEE589880 GOA589878:GOA589880 GXW589878:GXW589880 HHS589878:HHS589880 HRO589878:HRO589880 IBK589878:IBK589880 ILG589878:ILG589880 IVC589878:IVC589880 JEY589878:JEY589880 JOU589878:JOU589880 JYQ589878:JYQ589880 KIM589878:KIM589880 KSI589878:KSI589880 LCE589878:LCE589880 LMA589878:LMA589880 LVW589878:LVW589880 MFS589878:MFS589880 MPO589878:MPO589880 MZK589878:MZK589880 NJG589878:NJG589880 NTC589878:NTC589880 OCY589878:OCY589880 OMU589878:OMU589880 OWQ589878:OWQ589880 PGM589878:PGM589880 PQI589878:PQI589880 QAE589878:QAE589880 QKA589878:QKA589880 QTW589878:QTW589880 RDS589878:RDS589880 RNO589878:RNO589880 RXK589878:RXK589880 SHG589878:SHG589880 SRC589878:SRC589880 TAY589878:TAY589880 TKU589878:TKU589880 TUQ589878:TUQ589880 UEM589878:UEM589880 UOI589878:UOI589880 UYE589878:UYE589880 VIA589878:VIA589880 VRW589878:VRW589880 WBS589878:WBS589880 WLO589878:WLO589880 WVK589878:WVK589880 C655414:C655416 IY655414:IY655416 SU655414:SU655416 ACQ655414:ACQ655416 AMM655414:AMM655416 AWI655414:AWI655416 BGE655414:BGE655416 BQA655414:BQA655416 BZW655414:BZW655416 CJS655414:CJS655416 CTO655414:CTO655416 DDK655414:DDK655416 DNG655414:DNG655416 DXC655414:DXC655416 EGY655414:EGY655416 EQU655414:EQU655416 FAQ655414:FAQ655416 FKM655414:FKM655416 FUI655414:FUI655416 GEE655414:GEE655416 GOA655414:GOA655416 GXW655414:GXW655416 HHS655414:HHS655416 HRO655414:HRO655416 IBK655414:IBK655416 ILG655414:ILG655416 IVC655414:IVC655416 JEY655414:JEY655416 JOU655414:JOU655416 JYQ655414:JYQ655416 KIM655414:KIM655416 KSI655414:KSI655416 LCE655414:LCE655416 LMA655414:LMA655416 LVW655414:LVW655416 MFS655414:MFS655416 MPO655414:MPO655416 MZK655414:MZK655416 NJG655414:NJG655416 NTC655414:NTC655416 OCY655414:OCY655416 OMU655414:OMU655416 OWQ655414:OWQ655416 PGM655414:PGM655416 PQI655414:PQI655416 QAE655414:QAE655416 QKA655414:QKA655416 QTW655414:QTW655416 RDS655414:RDS655416 RNO655414:RNO655416 RXK655414:RXK655416 SHG655414:SHG655416 SRC655414:SRC655416 TAY655414:TAY655416 TKU655414:TKU655416 TUQ655414:TUQ655416 UEM655414:UEM655416 UOI655414:UOI655416 UYE655414:UYE655416 VIA655414:VIA655416 VRW655414:VRW655416 WBS655414:WBS655416 WLO655414:WLO655416 WVK655414:WVK655416 C720950:C720952 IY720950:IY720952 SU720950:SU720952 ACQ720950:ACQ720952 AMM720950:AMM720952 AWI720950:AWI720952 BGE720950:BGE720952 BQA720950:BQA720952 BZW720950:BZW720952 CJS720950:CJS720952 CTO720950:CTO720952 DDK720950:DDK720952 DNG720950:DNG720952 DXC720950:DXC720952 EGY720950:EGY720952 EQU720950:EQU720952 FAQ720950:FAQ720952 FKM720950:FKM720952 FUI720950:FUI720952 GEE720950:GEE720952 GOA720950:GOA720952 GXW720950:GXW720952 HHS720950:HHS720952 HRO720950:HRO720952 IBK720950:IBK720952 ILG720950:ILG720952 IVC720950:IVC720952 JEY720950:JEY720952 JOU720950:JOU720952 JYQ720950:JYQ720952 KIM720950:KIM720952 KSI720950:KSI720952 LCE720950:LCE720952 LMA720950:LMA720952 LVW720950:LVW720952 MFS720950:MFS720952 MPO720950:MPO720952 MZK720950:MZK720952 NJG720950:NJG720952 NTC720950:NTC720952 OCY720950:OCY720952 OMU720950:OMU720952 OWQ720950:OWQ720952 PGM720950:PGM720952 PQI720950:PQI720952 QAE720950:QAE720952 QKA720950:QKA720952 QTW720950:QTW720952 RDS720950:RDS720952 RNO720950:RNO720952 RXK720950:RXK720952 SHG720950:SHG720952 SRC720950:SRC720952 TAY720950:TAY720952 TKU720950:TKU720952 TUQ720950:TUQ720952 UEM720950:UEM720952 UOI720950:UOI720952 UYE720950:UYE720952 VIA720950:VIA720952 VRW720950:VRW720952 WBS720950:WBS720952 WLO720950:WLO720952 WVK720950:WVK720952 C786486:C786488 IY786486:IY786488 SU786486:SU786488 ACQ786486:ACQ786488 AMM786486:AMM786488 AWI786486:AWI786488 BGE786486:BGE786488 BQA786486:BQA786488 BZW786486:BZW786488 CJS786486:CJS786488 CTO786486:CTO786488 DDK786486:DDK786488 DNG786486:DNG786488 DXC786486:DXC786488 EGY786486:EGY786488 EQU786486:EQU786488 FAQ786486:FAQ786488 FKM786486:FKM786488 FUI786486:FUI786488 GEE786486:GEE786488 GOA786486:GOA786488 GXW786486:GXW786488 HHS786486:HHS786488 HRO786486:HRO786488 IBK786486:IBK786488 ILG786486:ILG786488 IVC786486:IVC786488 JEY786486:JEY786488 JOU786486:JOU786488 JYQ786486:JYQ786488 KIM786486:KIM786488 KSI786486:KSI786488 LCE786486:LCE786488 LMA786486:LMA786488 LVW786486:LVW786488 MFS786486:MFS786488 MPO786486:MPO786488 MZK786486:MZK786488 NJG786486:NJG786488 NTC786486:NTC786488 OCY786486:OCY786488 OMU786486:OMU786488 OWQ786486:OWQ786488 PGM786486:PGM786488 PQI786486:PQI786488 QAE786486:QAE786488 QKA786486:QKA786488 QTW786486:QTW786488 RDS786486:RDS786488 RNO786486:RNO786488 RXK786486:RXK786488 SHG786486:SHG786488 SRC786486:SRC786488 TAY786486:TAY786488 TKU786486:TKU786488 TUQ786486:TUQ786488 UEM786486:UEM786488 UOI786486:UOI786488 UYE786486:UYE786488 VIA786486:VIA786488 VRW786486:VRW786488 WBS786486:WBS786488 WLO786486:WLO786488 WVK786486:WVK786488 C852022:C852024 IY852022:IY852024 SU852022:SU852024 ACQ852022:ACQ852024 AMM852022:AMM852024 AWI852022:AWI852024 BGE852022:BGE852024 BQA852022:BQA852024 BZW852022:BZW852024 CJS852022:CJS852024 CTO852022:CTO852024 DDK852022:DDK852024 DNG852022:DNG852024 DXC852022:DXC852024 EGY852022:EGY852024 EQU852022:EQU852024 FAQ852022:FAQ852024 FKM852022:FKM852024 FUI852022:FUI852024 GEE852022:GEE852024 GOA852022:GOA852024 GXW852022:GXW852024 HHS852022:HHS852024 HRO852022:HRO852024 IBK852022:IBK852024 ILG852022:ILG852024 IVC852022:IVC852024 JEY852022:JEY852024 JOU852022:JOU852024 JYQ852022:JYQ852024 KIM852022:KIM852024 KSI852022:KSI852024 LCE852022:LCE852024 LMA852022:LMA852024 LVW852022:LVW852024 MFS852022:MFS852024 MPO852022:MPO852024 MZK852022:MZK852024 NJG852022:NJG852024 NTC852022:NTC852024 OCY852022:OCY852024 OMU852022:OMU852024 OWQ852022:OWQ852024 PGM852022:PGM852024 PQI852022:PQI852024 QAE852022:QAE852024 QKA852022:QKA852024 QTW852022:QTW852024 RDS852022:RDS852024 RNO852022:RNO852024 RXK852022:RXK852024 SHG852022:SHG852024 SRC852022:SRC852024 TAY852022:TAY852024 TKU852022:TKU852024 TUQ852022:TUQ852024 UEM852022:UEM852024 UOI852022:UOI852024 UYE852022:UYE852024 VIA852022:VIA852024 VRW852022:VRW852024 WBS852022:WBS852024 WLO852022:WLO852024 WVK852022:WVK852024 C917558:C917560 IY917558:IY917560 SU917558:SU917560 ACQ917558:ACQ917560 AMM917558:AMM917560 AWI917558:AWI917560 BGE917558:BGE917560 BQA917558:BQA917560 BZW917558:BZW917560 CJS917558:CJS917560 CTO917558:CTO917560 DDK917558:DDK917560 DNG917558:DNG917560 DXC917558:DXC917560 EGY917558:EGY917560 EQU917558:EQU917560 FAQ917558:FAQ917560 FKM917558:FKM917560 FUI917558:FUI917560 GEE917558:GEE917560 GOA917558:GOA917560 GXW917558:GXW917560 HHS917558:HHS917560 HRO917558:HRO917560 IBK917558:IBK917560 ILG917558:ILG917560 IVC917558:IVC917560 JEY917558:JEY917560 JOU917558:JOU917560 JYQ917558:JYQ917560 KIM917558:KIM917560 KSI917558:KSI917560 LCE917558:LCE917560 LMA917558:LMA917560 LVW917558:LVW917560 MFS917558:MFS917560 MPO917558:MPO917560 MZK917558:MZK917560 NJG917558:NJG917560 NTC917558:NTC917560 OCY917558:OCY917560 OMU917558:OMU917560 OWQ917558:OWQ917560 PGM917558:PGM917560 PQI917558:PQI917560 QAE917558:QAE917560 QKA917558:QKA917560 QTW917558:QTW917560 RDS917558:RDS917560 RNO917558:RNO917560 RXK917558:RXK917560 SHG917558:SHG917560 SRC917558:SRC917560 TAY917558:TAY917560 TKU917558:TKU917560 TUQ917558:TUQ917560 UEM917558:UEM917560 UOI917558:UOI917560 UYE917558:UYE917560 VIA917558:VIA917560 VRW917558:VRW917560 WBS917558:WBS917560 WLO917558:WLO917560 WVK917558:WVK917560 C983094:C983096 IY983094:IY983096 SU983094:SU983096 ACQ983094:ACQ983096 AMM983094:AMM983096 AWI983094:AWI983096 BGE983094:BGE983096 BQA983094:BQA983096 BZW983094:BZW983096 CJS983094:CJS983096 CTO983094:CTO983096 DDK983094:DDK983096 DNG983094:DNG983096 DXC983094:DXC983096 EGY983094:EGY983096 EQU983094:EQU983096 FAQ983094:FAQ983096 FKM983094:FKM983096 FUI983094:FUI983096 GEE983094:GEE983096 GOA983094:GOA983096 GXW983094:GXW983096 HHS983094:HHS983096 HRO983094:HRO983096 IBK983094:IBK983096 ILG983094:ILG983096 IVC983094:IVC983096 JEY983094:JEY983096 JOU983094:JOU983096 JYQ983094:JYQ983096 KIM983094:KIM983096 KSI983094:KSI983096 LCE983094:LCE983096 LMA983094:LMA983096 LVW983094:LVW983096 MFS983094:MFS983096 MPO983094:MPO983096 MZK983094:MZK983096 NJG983094:NJG983096 NTC983094:NTC983096 OCY983094:OCY983096 OMU983094:OMU983096 OWQ983094:OWQ983096 PGM983094:PGM983096 PQI983094:PQI983096 QAE983094:QAE983096 QKA983094:QKA983096 QTW983094:QTW983096 RDS983094:RDS983096 RNO983094:RNO983096 RXK983094:RXK983096 SHG983094:SHG983096 SRC983094:SRC983096 TAY983094:TAY983096 TKU983094:TKU983096 TUQ983094:TUQ983096 UEM983094:UEM983096 UOI983094:UOI983096 UYE983094:UYE983096 VIA983094:VIA983096 VRW983094:VRW983096 WBS983094:WBS983096 WLO983094:WLO983096 WVK983094:WVK983096">
      <formula1>"Académique, Professionnel, Associatif, Autre"</formula1>
    </dataValidation>
    <dataValidation type="list" allowBlank="1" showInputMessage="1" showErrorMessage="1"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formula1>"Mise à jour à partir du plan d'études, Nouvelle création"</formula1>
    </dataValidation>
  </dataValidations>
  <hyperlinks>
    <hyperlink ref="B1" location="'Schéma d''enseignement'!G45" display="Schéma d'enseignement"/>
  </hyperlink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rgb="FFFF8080"/>
  </sheetPr>
  <dimension ref="B1:F52"/>
  <sheetViews>
    <sheetView workbookViewId="0">
      <selection activeCell="B1" sqref="B1"/>
    </sheetView>
  </sheetViews>
  <sheetFormatPr baseColWidth="10" defaultColWidth="8.85546875" defaultRowHeight="15"/>
  <cols>
    <col min="1" max="1" width="3.4257812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c r="B1" s="192" t="s">
        <v>783</v>
      </c>
    </row>
    <row r="2" spans="2:6" ht="15.75">
      <c r="B2" s="54" t="s">
        <v>252</v>
      </c>
      <c r="C2" s="55"/>
      <c r="D2" s="55"/>
      <c r="E2" s="55"/>
      <c r="F2" s="55"/>
    </row>
    <row r="3" spans="2:6" ht="15.75">
      <c r="B3" s="56"/>
      <c r="C3" s="56"/>
      <c r="D3" s="56"/>
      <c r="E3" s="56"/>
      <c r="F3" s="56"/>
    </row>
    <row r="4" spans="2:6" ht="15.75">
      <c r="B4" s="57" t="s">
        <v>253</v>
      </c>
      <c r="C4" s="291" t="s">
        <v>254</v>
      </c>
      <c r="D4" s="291"/>
      <c r="E4" s="291"/>
      <c r="F4" s="291"/>
    </row>
    <row r="5" spans="2:6" ht="16.5" customHeight="1">
      <c r="B5" s="102" t="s">
        <v>255</v>
      </c>
      <c r="C5" s="292" t="s">
        <v>583</v>
      </c>
      <c r="D5" s="292"/>
      <c r="E5" s="292"/>
      <c r="F5" s="292"/>
    </row>
    <row r="6" spans="2:6" ht="15.75">
      <c r="B6" s="57" t="s">
        <v>257</v>
      </c>
      <c r="C6" s="291" t="s">
        <v>584</v>
      </c>
      <c r="D6" s="291"/>
      <c r="E6" s="291"/>
      <c r="F6" s="291"/>
    </row>
    <row r="7" spans="2:6" ht="15.75">
      <c r="B7" s="57" t="s">
        <v>259</v>
      </c>
      <c r="C7" s="291" t="s">
        <v>585</v>
      </c>
      <c r="D7" s="291"/>
      <c r="E7" s="291"/>
      <c r="F7" s="291"/>
    </row>
    <row r="8" spans="2:6" ht="15.75">
      <c r="B8" s="57" t="s">
        <v>261</v>
      </c>
      <c r="C8" s="291" t="s">
        <v>197</v>
      </c>
      <c r="D8" s="291"/>
      <c r="E8" s="291"/>
      <c r="F8" s="291"/>
    </row>
    <row r="9" spans="2:6" ht="15.75">
      <c r="B9" s="57" t="s">
        <v>263</v>
      </c>
      <c r="C9" s="291">
        <v>5</v>
      </c>
      <c r="D9" s="291"/>
      <c r="E9" s="291"/>
      <c r="F9" s="291"/>
    </row>
    <row r="10" spans="2:6" ht="15.75">
      <c r="B10" s="56"/>
      <c r="C10" s="56"/>
      <c r="D10" s="56"/>
      <c r="E10" s="56"/>
      <c r="F10" s="56"/>
    </row>
    <row r="11" spans="2:6" ht="15.75">
      <c r="B11" s="296" t="s">
        <v>264</v>
      </c>
      <c r="C11" s="296"/>
      <c r="D11" s="296"/>
      <c r="E11" s="296"/>
      <c r="F11" s="296"/>
    </row>
    <row r="12" spans="2:6" ht="15.75">
      <c r="B12" s="297" t="s">
        <v>265</v>
      </c>
      <c r="C12" s="298"/>
      <c r="D12" s="296" t="s">
        <v>266</v>
      </c>
      <c r="E12" s="296"/>
      <c r="F12" s="296"/>
    </row>
    <row r="13" spans="2:6" ht="15.75">
      <c r="B13" s="299"/>
      <c r="C13" s="300"/>
      <c r="D13" s="291" t="s">
        <v>254</v>
      </c>
      <c r="E13" s="291"/>
      <c r="F13" s="291"/>
    </row>
    <row r="14" spans="2:6" ht="15.75">
      <c r="B14" s="56"/>
      <c r="C14" s="56"/>
      <c r="D14" s="56"/>
      <c r="E14" s="56"/>
      <c r="F14" s="56"/>
    </row>
    <row r="15" spans="2:6" ht="15.75">
      <c r="B15" s="59" t="s">
        <v>267</v>
      </c>
      <c r="C15" s="59" t="s">
        <v>268</v>
      </c>
      <c r="D15" s="59" t="s">
        <v>269</v>
      </c>
      <c r="E15" s="59" t="s">
        <v>270</v>
      </c>
      <c r="F15" s="59" t="s">
        <v>271</v>
      </c>
    </row>
    <row r="16" spans="2:6" ht="36.950000000000003" customHeight="1">
      <c r="B16" s="26" t="s">
        <v>791</v>
      </c>
      <c r="C16" s="21">
        <v>42</v>
      </c>
      <c r="D16" s="21">
        <v>2</v>
      </c>
      <c r="E16" s="21">
        <v>2</v>
      </c>
      <c r="F16" s="21" t="s">
        <v>272</v>
      </c>
    </row>
    <row r="17" spans="2:6" ht="15.75">
      <c r="B17" s="74"/>
      <c r="C17" s="75"/>
      <c r="D17" s="75"/>
      <c r="E17" s="75"/>
      <c r="F17" s="75"/>
    </row>
    <row r="18" spans="2:6" ht="15.75">
      <c r="B18" s="305" t="s">
        <v>273</v>
      </c>
      <c r="C18" s="306"/>
      <c r="D18" s="306"/>
      <c r="E18" s="306"/>
      <c r="F18" s="307"/>
    </row>
    <row r="19" spans="2:6" ht="15.75">
      <c r="B19" s="308" t="s">
        <v>632</v>
      </c>
      <c r="C19" s="365"/>
      <c r="D19" s="365"/>
      <c r="E19" s="365"/>
      <c r="F19" s="366"/>
    </row>
    <row r="20" spans="2:6" ht="15.75">
      <c r="B20" s="305" t="s">
        <v>275</v>
      </c>
      <c r="C20" s="306"/>
      <c r="D20" s="306"/>
      <c r="E20" s="306"/>
      <c r="F20" s="307"/>
    </row>
    <row r="21" spans="2:6" ht="50.1" customHeight="1">
      <c r="B21" s="312" t="s">
        <v>633</v>
      </c>
      <c r="C21" s="294"/>
      <c r="D21" s="294"/>
      <c r="E21" s="294"/>
      <c r="F21" s="295"/>
    </row>
    <row r="22" spans="2:6" ht="15.75">
      <c r="B22" s="56"/>
      <c r="C22" s="56"/>
      <c r="D22" s="56"/>
      <c r="E22" s="56"/>
      <c r="F22" s="56"/>
    </row>
    <row r="23" spans="2:6" ht="15.75">
      <c r="B23" s="305" t="s">
        <v>277</v>
      </c>
      <c r="C23" s="306"/>
      <c r="D23" s="306"/>
      <c r="E23" s="306"/>
      <c r="F23" s="307"/>
    </row>
    <row r="24" spans="2:6" ht="15.75">
      <c r="B24" s="293" t="s">
        <v>634</v>
      </c>
      <c r="C24" s="365"/>
      <c r="D24" s="365"/>
      <c r="E24" s="365"/>
      <c r="F24" s="366"/>
    </row>
    <row r="25" spans="2:6" ht="15.75">
      <c r="B25" s="56"/>
      <c r="C25" s="56"/>
      <c r="D25" s="56"/>
      <c r="E25" s="56"/>
      <c r="F25" s="56"/>
    </row>
    <row r="26" spans="2:6" ht="15.75">
      <c r="B26" s="305" t="s">
        <v>279</v>
      </c>
      <c r="C26" s="306"/>
      <c r="D26" s="306"/>
      <c r="E26" s="306"/>
      <c r="F26" s="307"/>
    </row>
    <row r="27" spans="2:6" ht="15.75">
      <c r="B27" s="319" t="s">
        <v>635</v>
      </c>
      <c r="C27" s="320"/>
      <c r="D27" s="320"/>
      <c r="E27" s="320"/>
      <c r="F27" s="321"/>
    </row>
    <row r="28" spans="2:6" ht="15.75">
      <c r="B28" s="319" t="s">
        <v>108</v>
      </c>
      <c r="C28" s="320"/>
      <c r="D28" s="320"/>
      <c r="E28" s="320"/>
      <c r="F28" s="321"/>
    </row>
    <row r="29" spans="2:6" ht="15.75">
      <c r="B29" s="319" t="s">
        <v>636</v>
      </c>
      <c r="C29" s="320"/>
      <c r="D29" s="320"/>
      <c r="E29" s="320"/>
      <c r="F29" s="321"/>
    </row>
    <row r="30" spans="2:6" ht="15.75">
      <c r="B30" s="319" t="s">
        <v>15</v>
      </c>
      <c r="C30" s="320"/>
      <c r="D30" s="320"/>
      <c r="E30" s="320"/>
      <c r="F30" s="321"/>
    </row>
    <row r="31" spans="2:6" ht="15.75">
      <c r="B31" s="319" t="s">
        <v>637</v>
      </c>
      <c r="C31" s="320"/>
      <c r="D31" s="320"/>
      <c r="E31" s="320"/>
      <c r="F31" s="321"/>
    </row>
    <row r="32" spans="2:6" ht="15.75">
      <c r="B32" s="351" t="s">
        <v>638</v>
      </c>
      <c r="C32" s="351"/>
      <c r="D32" s="351"/>
      <c r="E32" s="351"/>
      <c r="F32" s="351"/>
    </row>
    <row r="33" spans="2:6" ht="15.75">
      <c r="B33" s="56"/>
      <c r="C33" s="56"/>
      <c r="D33" s="56"/>
      <c r="E33" s="56"/>
      <c r="F33" s="56"/>
    </row>
    <row r="34" spans="2:6" ht="15.75">
      <c r="B34" s="305" t="s">
        <v>284</v>
      </c>
      <c r="C34" s="306"/>
      <c r="D34" s="306"/>
      <c r="E34" s="306"/>
      <c r="F34" s="307"/>
    </row>
    <row r="35" spans="2:6" ht="284.45" customHeight="1">
      <c r="B35" s="430" t="s">
        <v>642</v>
      </c>
      <c r="C35" s="391"/>
      <c r="D35" s="391"/>
      <c r="E35" s="391"/>
      <c r="F35" s="392"/>
    </row>
    <row r="36" spans="2:6" ht="15.75">
      <c r="B36" s="60"/>
      <c r="C36" s="61"/>
      <c r="D36" s="61"/>
      <c r="E36" s="61"/>
      <c r="F36" s="61"/>
    </row>
    <row r="37" spans="2:6" ht="15.75">
      <c r="B37" s="305" t="s">
        <v>297</v>
      </c>
      <c r="C37" s="306"/>
      <c r="D37" s="306"/>
      <c r="E37" s="306"/>
      <c r="F37" s="307"/>
    </row>
    <row r="38" spans="2:6" ht="15.75">
      <c r="B38" s="100" t="s">
        <v>587</v>
      </c>
      <c r="C38" s="379" t="s">
        <v>588</v>
      </c>
      <c r="D38" s="379"/>
      <c r="E38" s="379"/>
      <c r="F38" s="379"/>
    </row>
    <row r="39" spans="2:6" ht="15.75">
      <c r="B39" s="100" t="s">
        <v>589</v>
      </c>
      <c r="C39" s="379" t="s">
        <v>590</v>
      </c>
      <c r="D39" s="379"/>
      <c r="E39" s="379"/>
      <c r="F39" s="379"/>
    </row>
    <row r="40" spans="2:6" ht="15.75">
      <c r="B40" s="100" t="s">
        <v>591</v>
      </c>
      <c r="C40" s="293" t="s">
        <v>639</v>
      </c>
      <c r="D40" s="294"/>
      <c r="E40" s="294"/>
      <c r="F40" s="295"/>
    </row>
    <row r="41" spans="2:6" ht="15.75">
      <c r="B41" s="56"/>
      <c r="C41" s="56"/>
      <c r="D41" s="56"/>
      <c r="E41" s="56"/>
      <c r="F41" s="56"/>
    </row>
    <row r="42" spans="2:6" ht="15.75">
      <c r="B42" s="305" t="s">
        <v>287</v>
      </c>
      <c r="C42" s="306"/>
      <c r="D42" s="306"/>
      <c r="E42" s="306"/>
      <c r="F42" s="307"/>
    </row>
    <row r="43" spans="2:6" ht="15.75">
      <c r="B43" s="293" t="s">
        <v>640</v>
      </c>
      <c r="C43" s="294"/>
      <c r="D43" s="294"/>
      <c r="E43" s="294"/>
      <c r="F43" s="295"/>
    </row>
    <row r="44" spans="2:6" ht="15.75">
      <c r="B44" s="56"/>
      <c r="C44" s="56"/>
      <c r="D44" s="56"/>
      <c r="E44" s="56"/>
      <c r="F44" s="56"/>
    </row>
    <row r="45" spans="2:6" ht="15.75">
      <c r="B45" s="305" t="s">
        <v>289</v>
      </c>
      <c r="C45" s="306"/>
      <c r="D45" s="306"/>
      <c r="E45" s="306"/>
      <c r="F45" s="307"/>
    </row>
    <row r="46" spans="2:6" ht="15.75">
      <c r="B46" s="62" t="s">
        <v>290</v>
      </c>
      <c r="C46" s="62" t="s">
        <v>291</v>
      </c>
      <c r="D46" s="305" t="s">
        <v>292</v>
      </c>
      <c r="E46" s="306"/>
      <c r="F46" s="307"/>
    </row>
    <row r="47" spans="2:6" ht="15.75">
      <c r="B47" s="100" t="s">
        <v>641</v>
      </c>
      <c r="C47" s="100" t="s">
        <v>592</v>
      </c>
      <c r="D47" s="370" t="s">
        <v>593</v>
      </c>
      <c r="E47" s="317"/>
      <c r="F47" s="318"/>
    </row>
    <row r="48" spans="2:6" ht="15.75">
      <c r="B48" s="63"/>
      <c r="C48" s="63"/>
      <c r="D48" s="316"/>
      <c r="E48" s="317"/>
      <c r="F48" s="318"/>
    </row>
    <row r="49" spans="2:6" ht="15.75">
      <c r="B49" s="64"/>
      <c r="C49" s="64"/>
      <c r="D49" s="316"/>
      <c r="E49" s="317"/>
      <c r="F49" s="318"/>
    </row>
    <row r="50" spans="2:6" ht="15.75">
      <c r="B50" s="56"/>
      <c r="C50" s="56"/>
      <c r="D50" s="56"/>
      <c r="E50" s="56"/>
      <c r="F50" s="56"/>
    </row>
    <row r="51" spans="2:6" ht="15.75">
      <c r="B51" s="305" t="s">
        <v>293</v>
      </c>
      <c r="C51" s="306"/>
      <c r="D51" s="306"/>
      <c r="E51" s="306"/>
      <c r="F51" s="307"/>
    </row>
    <row r="52" spans="2:6" ht="15.75">
      <c r="B52" s="381"/>
      <c r="C52" s="382"/>
      <c r="D52" s="382"/>
      <c r="E52" s="382"/>
      <c r="F52" s="383"/>
    </row>
  </sheetData>
  <mergeCells count="39">
    <mergeCell ref="B18:F18"/>
    <mergeCell ref="C4:F4"/>
    <mergeCell ref="C5:F5"/>
    <mergeCell ref="C6:F6"/>
    <mergeCell ref="C7:F7"/>
    <mergeCell ref="C8:F8"/>
    <mergeCell ref="C9:F9"/>
    <mergeCell ref="B11:F11"/>
    <mergeCell ref="B12:C12"/>
    <mergeCell ref="D12:F12"/>
    <mergeCell ref="B13:C13"/>
    <mergeCell ref="D13:F13"/>
    <mergeCell ref="B32:F32"/>
    <mergeCell ref="B19:F19"/>
    <mergeCell ref="B20:F20"/>
    <mergeCell ref="B21:F21"/>
    <mergeCell ref="B23:F23"/>
    <mergeCell ref="B24:F24"/>
    <mergeCell ref="B26:F26"/>
    <mergeCell ref="B27:F27"/>
    <mergeCell ref="B28:F28"/>
    <mergeCell ref="B29:F29"/>
    <mergeCell ref="B30:F30"/>
    <mergeCell ref="B31:F31"/>
    <mergeCell ref="B42:F42"/>
    <mergeCell ref="B43:F43"/>
    <mergeCell ref="B45:F45"/>
    <mergeCell ref="D46:F46"/>
    <mergeCell ref="B34:F34"/>
    <mergeCell ref="B35:F35"/>
    <mergeCell ref="B37:F37"/>
    <mergeCell ref="C38:F38"/>
    <mergeCell ref="C39:F39"/>
    <mergeCell ref="C40:F40"/>
    <mergeCell ref="D47:F47"/>
    <mergeCell ref="D48:F48"/>
    <mergeCell ref="D49:F49"/>
    <mergeCell ref="B51:F51"/>
    <mergeCell ref="B52:F52"/>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7:C49">
      <formula1>"Académique, Professionnel, Associatif, Autre"</formula1>
    </dataValidation>
  </dataValidations>
  <hyperlinks>
    <hyperlink ref="B1" location="'Schéma d''enseignement'!G46" display="Schéma d'enseignement"/>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C1:D8"/>
  <sheetViews>
    <sheetView workbookViewId="0">
      <selection activeCell="C1" sqref="C1"/>
    </sheetView>
  </sheetViews>
  <sheetFormatPr baseColWidth="10" defaultColWidth="8.7109375" defaultRowHeight="15"/>
  <cols>
    <col min="1" max="1" width="3.140625" style="1" customWidth="1"/>
    <col min="2" max="2" width="4.28515625" style="1" customWidth="1"/>
    <col min="3" max="3" width="24.42578125" style="1" customWidth="1"/>
    <col min="4" max="4" width="41.28515625" style="1" customWidth="1"/>
    <col min="5" max="16384" width="8.7109375" style="1"/>
  </cols>
  <sheetData>
    <row r="1" spans="3:4">
      <c r="C1" s="192" t="s">
        <v>783</v>
      </c>
    </row>
    <row r="3" spans="3:4">
      <c r="C3" s="182" t="s">
        <v>1</v>
      </c>
      <c r="D3" s="179" t="s">
        <v>79</v>
      </c>
    </row>
    <row r="5" spans="3:4">
      <c r="C5" s="290" t="s">
        <v>75</v>
      </c>
      <c r="D5" s="290"/>
    </row>
    <row r="6" spans="3:4">
      <c r="C6" s="53" t="s">
        <v>78</v>
      </c>
      <c r="D6" s="53" t="s">
        <v>19</v>
      </c>
    </row>
    <row r="7" spans="3:4">
      <c r="C7" s="463" t="s">
        <v>734</v>
      </c>
      <c r="D7" s="17" t="s">
        <v>703</v>
      </c>
    </row>
    <row r="8" spans="3:4" ht="17.100000000000001" customHeight="1">
      <c r="C8" s="464"/>
      <c r="D8" s="17" t="s">
        <v>687</v>
      </c>
    </row>
  </sheetData>
  <mergeCells count="2">
    <mergeCell ref="C5:D5"/>
    <mergeCell ref="C7:C8"/>
  </mergeCells>
  <conditionalFormatting sqref="C7">
    <cfRule type="colorScale" priority="1">
      <colorScale>
        <cfvo type="num" val="0"/>
        <cfvo type="num" val="0"/>
        <color rgb="FFFF0000"/>
        <color rgb="FF00B050"/>
      </colorScale>
    </cfRule>
  </conditionalFormatting>
  <hyperlinks>
    <hyperlink ref="C1" location="'Schéma d''enseignement'!G36" display="Schéma d'enseignement"/>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00B050"/>
  </sheetPr>
  <dimension ref="B1:M65"/>
  <sheetViews>
    <sheetView workbookViewId="0">
      <selection activeCell="B1" sqref="B1"/>
    </sheetView>
  </sheetViews>
  <sheetFormatPr baseColWidth="10" defaultColWidth="8.85546875" defaultRowHeight="15"/>
  <cols>
    <col min="1" max="1" width="3.140625" style="1" customWidth="1"/>
    <col min="2" max="2" width="25.85546875" style="1" customWidth="1"/>
    <col min="3" max="3" width="15.85546875" style="1" customWidth="1"/>
    <col min="4" max="4" width="12.140625" style="1" customWidth="1"/>
    <col min="5" max="5" width="9.140625" style="1"/>
    <col min="6" max="6" width="22.85546875" style="1" customWidth="1"/>
    <col min="7" max="16384" width="8.85546875" style="1"/>
  </cols>
  <sheetData>
    <row r="1" spans="2:6">
      <c r="B1" s="192" t="s">
        <v>783</v>
      </c>
    </row>
    <row r="2" spans="2:6" ht="15.75">
      <c r="B2" s="407" t="s">
        <v>252</v>
      </c>
      <c r="C2" s="407"/>
      <c r="D2" s="407"/>
      <c r="E2" s="407"/>
      <c r="F2" s="407"/>
    </row>
    <row r="3" spans="2:6" ht="15.75">
      <c r="B3" s="56"/>
      <c r="C3" s="56"/>
      <c r="D3" s="56"/>
      <c r="E3" s="56"/>
      <c r="F3" s="56"/>
    </row>
    <row r="4" spans="2:6" ht="15.75">
      <c r="B4" s="57" t="s">
        <v>253</v>
      </c>
      <c r="C4" s="291" t="s">
        <v>254</v>
      </c>
      <c r="D4" s="291"/>
      <c r="E4" s="291"/>
      <c r="F4" s="291"/>
    </row>
    <row r="5" spans="2:6" ht="15" customHeight="1">
      <c r="B5" s="102" t="s">
        <v>255</v>
      </c>
      <c r="C5" s="292" t="s">
        <v>657</v>
      </c>
      <c r="D5" s="292"/>
      <c r="E5" s="292"/>
      <c r="F5" s="292"/>
    </row>
    <row r="6" spans="2:6" ht="15.75">
      <c r="B6" s="57" t="s">
        <v>257</v>
      </c>
      <c r="C6" s="291" t="s">
        <v>373</v>
      </c>
      <c r="D6" s="291"/>
      <c r="E6" s="291"/>
      <c r="F6" s="291"/>
    </row>
    <row r="7" spans="2:6" ht="15.75">
      <c r="B7" s="57" t="s">
        <v>259</v>
      </c>
      <c r="C7" s="291" t="s">
        <v>658</v>
      </c>
      <c r="D7" s="291"/>
      <c r="E7" s="291"/>
      <c r="F7" s="291"/>
    </row>
    <row r="8" spans="2:6" ht="15.75">
      <c r="B8" s="57" t="s">
        <v>261</v>
      </c>
      <c r="C8" s="291" t="s">
        <v>659</v>
      </c>
      <c r="D8" s="291"/>
      <c r="E8" s="291"/>
      <c r="F8" s="291"/>
    </row>
    <row r="9" spans="2:6" ht="15.75">
      <c r="B9" s="57" t="s">
        <v>263</v>
      </c>
      <c r="C9" s="291"/>
      <c r="D9" s="291"/>
      <c r="E9" s="291"/>
      <c r="F9" s="291"/>
    </row>
    <row r="11" spans="2:6" ht="15.75">
      <c r="B11" s="296" t="s">
        <v>660</v>
      </c>
      <c r="C11" s="296"/>
      <c r="D11" s="296"/>
      <c r="E11" s="296"/>
      <c r="F11" s="296"/>
    </row>
    <row r="12" spans="2:6" ht="15.75">
      <c r="B12" s="296" t="s">
        <v>265</v>
      </c>
      <c r="C12" s="296"/>
      <c r="D12" s="296" t="s">
        <v>266</v>
      </c>
      <c r="E12" s="296"/>
      <c r="F12" s="296"/>
    </row>
    <row r="13" spans="2:6" ht="15.75">
      <c r="B13" s="468">
        <v>42835</v>
      </c>
      <c r="C13" s="468"/>
      <c r="D13" s="291" t="s">
        <v>389</v>
      </c>
      <c r="E13" s="291"/>
      <c r="F13" s="291"/>
    </row>
    <row r="14" spans="2:6" ht="15.75">
      <c r="B14" s="56"/>
      <c r="C14" s="56"/>
      <c r="D14" s="56"/>
      <c r="E14" s="56"/>
      <c r="F14" s="56"/>
    </row>
    <row r="15" spans="2:6" ht="15.75">
      <c r="B15" s="296" t="s">
        <v>661</v>
      </c>
      <c r="C15" s="296"/>
      <c r="D15" s="296"/>
      <c r="E15" s="296"/>
      <c r="F15" s="296"/>
    </row>
    <row r="16" spans="2:6" ht="15.75">
      <c r="B16" s="296" t="s">
        <v>662</v>
      </c>
      <c r="C16" s="296"/>
      <c r="D16" s="296"/>
      <c r="E16" s="296" t="s">
        <v>265</v>
      </c>
      <c r="F16" s="296"/>
    </row>
    <row r="17" spans="2:6" ht="15.75">
      <c r="B17" s="466" t="s">
        <v>663</v>
      </c>
      <c r="C17" s="466"/>
      <c r="D17" s="466"/>
      <c r="E17" s="466"/>
      <c r="F17" s="466"/>
    </row>
    <row r="18" spans="2:6" ht="15.75">
      <c r="B18" s="466" t="s">
        <v>664</v>
      </c>
      <c r="C18" s="466"/>
      <c r="D18" s="466"/>
      <c r="E18" s="467"/>
      <c r="F18" s="466"/>
    </row>
    <row r="19" spans="2:6" ht="15.75">
      <c r="B19" s="466" t="s">
        <v>665</v>
      </c>
      <c r="C19" s="466"/>
      <c r="D19" s="466"/>
      <c r="E19" s="467"/>
      <c r="F19" s="466"/>
    </row>
    <row r="20" spans="2:6" ht="15.75">
      <c r="B20" s="56"/>
      <c r="C20" s="56"/>
      <c r="D20" s="56"/>
      <c r="E20" s="56"/>
      <c r="F20" s="56"/>
    </row>
    <row r="21" spans="2:6" ht="15.75">
      <c r="B21" s="59" t="s">
        <v>267</v>
      </c>
      <c r="C21" s="59" t="s">
        <v>268</v>
      </c>
      <c r="D21" s="59" t="s">
        <v>269</v>
      </c>
      <c r="E21" s="59" t="s">
        <v>270</v>
      </c>
      <c r="F21" s="59" t="s">
        <v>271</v>
      </c>
    </row>
    <row r="22" spans="2:6" ht="15.75">
      <c r="B22" s="139" t="s">
        <v>666</v>
      </c>
      <c r="C22" s="103"/>
      <c r="D22" s="103"/>
      <c r="E22" s="103"/>
      <c r="F22" s="140" t="s">
        <v>272</v>
      </c>
    </row>
    <row r="23" spans="2:6" ht="15.75">
      <c r="B23" s="56"/>
      <c r="C23" s="56"/>
      <c r="D23" s="56"/>
      <c r="E23" s="56"/>
      <c r="F23" s="56"/>
    </row>
    <row r="24" spans="2:6" ht="15.75">
      <c r="B24" s="305" t="s">
        <v>273</v>
      </c>
      <c r="C24" s="306"/>
      <c r="D24" s="306"/>
      <c r="E24" s="306"/>
      <c r="F24" s="307"/>
    </row>
    <row r="25" spans="2:6" ht="36.950000000000003" customHeight="1">
      <c r="B25" s="308" t="s">
        <v>667</v>
      </c>
      <c r="C25" s="294"/>
      <c r="D25" s="294"/>
      <c r="E25" s="294"/>
      <c r="F25" s="295"/>
    </row>
    <row r="26" spans="2:6" ht="15.75">
      <c r="B26" s="56"/>
      <c r="C26" s="56"/>
      <c r="D26" s="56"/>
      <c r="E26" s="56"/>
      <c r="F26" s="56"/>
    </row>
    <row r="27" spans="2:6" ht="15.75">
      <c r="B27" s="305" t="s">
        <v>275</v>
      </c>
      <c r="C27" s="306"/>
      <c r="D27" s="306"/>
      <c r="E27" s="306"/>
      <c r="F27" s="307"/>
    </row>
    <row r="28" spans="2:6" ht="111" customHeight="1">
      <c r="B28" s="308" t="s">
        <v>668</v>
      </c>
      <c r="C28" s="294"/>
      <c r="D28" s="294"/>
      <c r="E28" s="294"/>
      <c r="F28" s="295"/>
    </row>
    <row r="29" spans="2:6" ht="15.75">
      <c r="B29" s="56"/>
      <c r="C29" s="56"/>
      <c r="D29" s="56"/>
      <c r="E29" s="56"/>
      <c r="F29" s="56"/>
    </row>
    <row r="30" spans="2:6" ht="15.75">
      <c r="B30" s="305" t="s">
        <v>277</v>
      </c>
      <c r="C30" s="306"/>
      <c r="D30" s="306"/>
      <c r="E30" s="306"/>
      <c r="F30" s="307"/>
    </row>
    <row r="31" spans="2:6" ht="32.450000000000003" customHeight="1">
      <c r="B31" s="308" t="s">
        <v>670</v>
      </c>
      <c r="C31" s="294"/>
      <c r="D31" s="294"/>
      <c r="E31" s="294"/>
      <c r="F31" s="295"/>
    </row>
    <row r="32" spans="2:6" ht="15.75">
      <c r="B32" s="56"/>
      <c r="C32" s="56"/>
      <c r="D32" s="56"/>
      <c r="E32" s="56"/>
      <c r="F32" s="56"/>
    </row>
    <row r="33" spans="2:13" ht="15.75">
      <c r="B33" s="305" t="s">
        <v>279</v>
      </c>
      <c r="C33" s="306"/>
      <c r="D33" s="306"/>
      <c r="E33" s="306"/>
      <c r="F33" s="307"/>
    </row>
    <row r="34" spans="2:13" ht="15.6" customHeight="1">
      <c r="B34" s="308" t="s">
        <v>671</v>
      </c>
      <c r="C34" s="349"/>
      <c r="D34" s="349"/>
      <c r="E34" s="349"/>
      <c r="F34" s="350"/>
    </row>
    <row r="35" spans="2:13" ht="15.75">
      <c r="B35" s="308" t="s">
        <v>672</v>
      </c>
      <c r="C35" s="349"/>
      <c r="D35" s="349"/>
      <c r="E35" s="349"/>
      <c r="F35" s="350"/>
    </row>
    <row r="36" spans="2:13" ht="15.75">
      <c r="B36" s="308" t="s">
        <v>10</v>
      </c>
      <c r="C36" s="349"/>
      <c r="D36" s="349"/>
      <c r="E36" s="349"/>
      <c r="F36" s="350"/>
    </row>
    <row r="37" spans="2:13" ht="15.75">
      <c r="B37" s="308" t="s">
        <v>673</v>
      </c>
      <c r="C37" s="349"/>
      <c r="D37" s="349"/>
      <c r="E37" s="349"/>
      <c r="F37" s="350"/>
    </row>
    <row r="38" spans="2:13" ht="15.75">
      <c r="B38" s="308" t="s">
        <v>674</v>
      </c>
      <c r="C38" s="349"/>
      <c r="D38" s="349"/>
      <c r="E38" s="349"/>
      <c r="F38" s="350"/>
    </row>
    <row r="39" spans="2:13" ht="15.75">
      <c r="B39" s="308" t="s">
        <v>675</v>
      </c>
      <c r="C39" s="349"/>
      <c r="D39" s="349"/>
      <c r="E39" s="349"/>
      <c r="F39" s="350"/>
      <c r="I39" s="308"/>
      <c r="J39" s="349"/>
      <c r="K39" s="349"/>
      <c r="L39" s="349"/>
      <c r="M39" s="350"/>
    </row>
    <row r="40" spans="2:13" ht="15.6" customHeight="1">
      <c r="B40" s="308" t="s">
        <v>676</v>
      </c>
      <c r="C40" s="349"/>
      <c r="D40" s="349"/>
      <c r="E40" s="349"/>
      <c r="F40" s="350"/>
    </row>
    <row r="41" spans="2:13" ht="15.75">
      <c r="B41" s="308" t="s">
        <v>677</v>
      </c>
      <c r="C41" s="349"/>
      <c r="D41" s="349"/>
      <c r="E41" s="349"/>
      <c r="F41" s="350"/>
    </row>
    <row r="42" spans="2:13" ht="15.75">
      <c r="B42" s="308" t="s">
        <v>671</v>
      </c>
      <c r="C42" s="349"/>
      <c r="D42" s="349"/>
      <c r="E42" s="349"/>
      <c r="F42" s="350"/>
    </row>
    <row r="43" spans="2:13" ht="15.75">
      <c r="B43" s="56"/>
      <c r="C43" s="56"/>
      <c r="D43" s="56"/>
      <c r="E43" s="56"/>
      <c r="F43" s="56"/>
    </row>
    <row r="44" spans="2:13" ht="15.75">
      <c r="B44" s="305" t="s">
        <v>284</v>
      </c>
      <c r="C44" s="306"/>
      <c r="D44" s="306"/>
      <c r="E44" s="306"/>
      <c r="F44" s="307"/>
    </row>
    <row r="45" spans="2:13" ht="77.099999999999994" customHeight="1">
      <c r="B45" s="308" t="s">
        <v>678</v>
      </c>
      <c r="C45" s="294"/>
      <c r="D45" s="294"/>
      <c r="E45" s="294"/>
      <c r="F45" s="295"/>
    </row>
    <row r="46" spans="2:13" ht="15.75">
      <c r="B46" s="60"/>
      <c r="C46" s="61"/>
      <c r="D46" s="61"/>
      <c r="E46" s="61"/>
      <c r="F46" s="61"/>
    </row>
    <row r="47" spans="2:13" ht="15.75">
      <c r="B47" s="305" t="s">
        <v>324</v>
      </c>
      <c r="C47" s="306"/>
      <c r="D47" s="306"/>
      <c r="E47" s="306"/>
      <c r="F47" s="307"/>
    </row>
    <row r="48" spans="2:13" ht="15.75">
      <c r="B48" s="100" t="s">
        <v>679</v>
      </c>
      <c r="C48" s="379" t="s">
        <v>680</v>
      </c>
      <c r="D48" s="379"/>
      <c r="E48" s="379"/>
      <c r="F48" s="379"/>
    </row>
    <row r="49" spans="2:6" ht="15.75">
      <c r="B49" s="100" t="s">
        <v>286</v>
      </c>
      <c r="C49" s="379"/>
      <c r="D49" s="379"/>
      <c r="E49" s="379"/>
      <c r="F49" s="379"/>
    </row>
    <row r="50" spans="2:6" ht="15.75">
      <c r="B50" s="100" t="s">
        <v>681</v>
      </c>
      <c r="C50" s="379" t="s">
        <v>680</v>
      </c>
      <c r="D50" s="379"/>
      <c r="E50" s="379"/>
      <c r="F50" s="379"/>
    </row>
    <row r="51" spans="2:6" ht="15.75">
      <c r="B51" s="100" t="s">
        <v>682</v>
      </c>
      <c r="C51" s="379"/>
      <c r="D51" s="379"/>
      <c r="E51" s="379"/>
      <c r="F51" s="379"/>
    </row>
    <row r="52" spans="2:6" ht="15.75">
      <c r="B52" s="100" t="s">
        <v>683</v>
      </c>
      <c r="C52" s="379" t="s">
        <v>680</v>
      </c>
      <c r="D52" s="379"/>
      <c r="E52" s="379"/>
      <c r="F52" s="379"/>
    </row>
    <row r="53" spans="2:6" ht="15.75">
      <c r="B53" s="100" t="s">
        <v>428</v>
      </c>
      <c r="C53" s="379"/>
      <c r="D53" s="379"/>
      <c r="E53" s="379"/>
      <c r="F53" s="379"/>
    </row>
    <row r="54" spans="2:6" ht="15.75">
      <c r="B54" s="56"/>
      <c r="C54" s="56"/>
      <c r="D54" s="56"/>
      <c r="E54" s="56"/>
      <c r="F54" s="56"/>
    </row>
    <row r="55" spans="2:6" ht="15.75">
      <c r="B55" s="305" t="s">
        <v>287</v>
      </c>
      <c r="C55" s="306"/>
      <c r="D55" s="306"/>
      <c r="E55" s="306"/>
      <c r="F55" s="307"/>
    </row>
    <row r="56" spans="2:6" ht="15.75">
      <c r="B56" s="465" t="s">
        <v>684</v>
      </c>
      <c r="C56" s="382"/>
      <c r="D56" s="382"/>
      <c r="E56" s="382"/>
      <c r="F56" s="383"/>
    </row>
    <row r="57" spans="2:6" ht="15.75">
      <c r="B57" s="56"/>
      <c r="C57" s="56"/>
      <c r="D57" s="56"/>
      <c r="E57" s="56"/>
      <c r="F57" s="56"/>
    </row>
    <row r="58" spans="2:6" ht="34.5" customHeight="1">
      <c r="B58" s="367" t="s">
        <v>289</v>
      </c>
      <c r="C58" s="368"/>
      <c r="D58" s="368"/>
      <c r="E58" s="368"/>
      <c r="F58" s="369"/>
    </row>
    <row r="59" spans="2:6" ht="15.75">
      <c r="B59" s="62" t="s">
        <v>290</v>
      </c>
      <c r="C59" s="62" t="s">
        <v>291</v>
      </c>
      <c r="D59" s="305" t="s">
        <v>292</v>
      </c>
      <c r="E59" s="306"/>
      <c r="F59" s="307"/>
    </row>
    <row r="60" spans="2:6" ht="15.75">
      <c r="B60" s="63"/>
      <c r="C60" s="63"/>
      <c r="D60" s="316"/>
      <c r="E60" s="317"/>
      <c r="F60" s="318"/>
    </row>
    <row r="61" spans="2:6" ht="15.75">
      <c r="B61" s="63"/>
      <c r="C61" s="63"/>
      <c r="D61" s="316"/>
      <c r="E61" s="317"/>
      <c r="F61" s="318"/>
    </row>
    <row r="62" spans="2:6" ht="15.75">
      <c r="B62" s="64"/>
      <c r="C62" s="64"/>
      <c r="D62" s="316"/>
      <c r="E62" s="317"/>
      <c r="F62" s="318"/>
    </row>
    <row r="63" spans="2:6" ht="15.75">
      <c r="B63" s="56"/>
      <c r="C63" s="56"/>
      <c r="D63" s="56"/>
      <c r="E63" s="56"/>
      <c r="F63" s="56"/>
    </row>
    <row r="64" spans="2:6" ht="15.75">
      <c r="B64" s="305" t="s">
        <v>293</v>
      </c>
      <c r="C64" s="306"/>
      <c r="D64" s="306"/>
      <c r="E64" s="306"/>
      <c r="F64" s="307"/>
    </row>
    <row r="65" spans="2:6" ht="47.1" customHeight="1">
      <c r="B65" s="308" t="s">
        <v>685</v>
      </c>
      <c r="C65" s="294"/>
      <c r="D65" s="294"/>
      <c r="E65" s="294"/>
      <c r="F65" s="295"/>
    </row>
  </sheetData>
  <mergeCells count="56">
    <mergeCell ref="C9:F9"/>
    <mergeCell ref="C4:F4"/>
    <mergeCell ref="C5:F5"/>
    <mergeCell ref="C6:F6"/>
    <mergeCell ref="C7:F7"/>
    <mergeCell ref="C8:F8"/>
    <mergeCell ref="B11:F11"/>
    <mergeCell ref="B12:C12"/>
    <mergeCell ref="D12:F12"/>
    <mergeCell ref="B13:C13"/>
    <mergeCell ref="D13:F13"/>
    <mergeCell ref="B15:F15"/>
    <mergeCell ref="B16:D16"/>
    <mergeCell ref="E16:F16"/>
    <mergeCell ref="B17:D17"/>
    <mergeCell ref="E17:F17"/>
    <mergeCell ref="B27:F27"/>
    <mergeCell ref="B28:F28"/>
    <mergeCell ref="B30:F30"/>
    <mergeCell ref="B31:F31"/>
    <mergeCell ref="B18:D18"/>
    <mergeCell ref="E18:F18"/>
    <mergeCell ref="B19:D19"/>
    <mergeCell ref="E19:F19"/>
    <mergeCell ref="B24:F24"/>
    <mergeCell ref="B25:F25"/>
    <mergeCell ref="B44:F44"/>
    <mergeCell ref="B45:F45"/>
    <mergeCell ref="B42:F42"/>
    <mergeCell ref="B34:F34"/>
    <mergeCell ref="B33:F33"/>
    <mergeCell ref="B41:F41"/>
    <mergeCell ref="D59:F59"/>
    <mergeCell ref="D60:F60"/>
    <mergeCell ref="B47:F47"/>
    <mergeCell ref="C48:F48"/>
    <mergeCell ref="C49:F49"/>
    <mergeCell ref="C50:F50"/>
    <mergeCell ref="C51:F51"/>
    <mergeCell ref="C52:F52"/>
    <mergeCell ref="I39:M39"/>
    <mergeCell ref="B64:F64"/>
    <mergeCell ref="B65:F65"/>
    <mergeCell ref="B2:F2"/>
    <mergeCell ref="B35:F35"/>
    <mergeCell ref="B36:F36"/>
    <mergeCell ref="B37:F37"/>
    <mergeCell ref="B38:F38"/>
    <mergeCell ref="B39:F39"/>
    <mergeCell ref="B40:F40"/>
    <mergeCell ref="D61:F61"/>
    <mergeCell ref="D62:F62"/>
    <mergeCell ref="C53:F53"/>
    <mergeCell ref="B55:F55"/>
    <mergeCell ref="B56:F56"/>
    <mergeCell ref="B58:F58"/>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60:C62">
      <formula1>"Académique, Professionnel, Associatif, Autre"</formula1>
    </dataValidation>
  </dataValidations>
  <hyperlinks>
    <hyperlink ref="B1" location="'Schéma d''enseignement'!G36" display="Schéma d'enseignement"/>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00B050"/>
  </sheetPr>
  <dimension ref="B1:F65"/>
  <sheetViews>
    <sheetView workbookViewId="0">
      <selection activeCell="B1" sqref="B1"/>
    </sheetView>
  </sheetViews>
  <sheetFormatPr baseColWidth="10" defaultColWidth="8.85546875" defaultRowHeight="15"/>
  <cols>
    <col min="1" max="1" width="3.140625" style="1" customWidth="1"/>
    <col min="2" max="2" width="37.42578125" style="1" customWidth="1"/>
    <col min="3" max="3" width="15.5703125" style="1" customWidth="1"/>
    <col min="4" max="4" width="11.85546875" style="1" customWidth="1"/>
    <col min="5" max="5" width="7" style="1" customWidth="1"/>
    <col min="6" max="6" width="34.5703125" style="1" customWidth="1"/>
    <col min="7" max="16384" width="8.85546875" style="1"/>
  </cols>
  <sheetData>
    <row r="1" spans="2:6">
      <c r="B1" s="192" t="s">
        <v>783</v>
      </c>
    </row>
    <row r="2" spans="2:6" ht="15.75">
      <c r="B2" s="407" t="s">
        <v>252</v>
      </c>
      <c r="C2" s="407"/>
      <c r="D2" s="407"/>
      <c r="E2" s="407"/>
      <c r="F2" s="407"/>
    </row>
    <row r="3" spans="2:6" ht="15.75">
      <c r="B3" s="56"/>
      <c r="C3" s="56"/>
      <c r="D3" s="56"/>
      <c r="E3" s="56"/>
      <c r="F3" s="56"/>
    </row>
    <row r="4" spans="2:6" ht="15.75">
      <c r="B4" s="57" t="s">
        <v>253</v>
      </c>
      <c r="C4" s="291" t="s">
        <v>254</v>
      </c>
      <c r="D4" s="291"/>
      <c r="E4" s="291"/>
      <c r="F4" s="291"/>
    </row>
    <row r="5" spans="2:6" ht="14.45" customHeight="1">
      <c r="B5" s="102" t="s">
        <v>255</v>
      </c>
      <c r="C5" s="292" t="s">
        <v>657</v>
      </c>
      <c r="D5" s="292"/>
      <c r="E5" s="292"/>
      <c r="F5" s="292"/>
    </row>
    <row r="6" spans="2:6" ht="15.75">
      <c r="B6" s="57" t="s">
        <v>257</v>
      </c>
      <c r="C6" s="291" t="s">
        <v>373</v>
      </c>
      <c r="D6" s="291"/>
      <c r="E6" s="291"/>
      <c r="F6" s="291"/>
    </row>
    <row r="7" spans="2:6" ht="15.75">
      <c r="B7" s="57" t="s">
        <v>259</v>
      </c>
      <c r="C7" s="291" t="s">
        <v>658</v>
      </c>
      <c r="D7" s="291"/>
      <c r="E7" s="291"/>
      <c r="F7" s="291"/>
    </row>
    <row r="8" spans="2:6" ht="15.75">
      <c r="B8" s="57" t="s">
        <v>261</v>
      </c>
      <c r="C8" s="291" t="s">
        <v>659</v>
      </c>
      <c r="D8" s="291"/>
      <c r="E8" s="291"/>
      <c r="F8" s="291"/>
    </row>
    <row r="9" spans="2:6" ht="15.75">
      <c r="B9" s="57" t="s">
        <v>263</v>
      </c>
      <c r="C9" s="291"/>
      <c r="D9" s="291"/>
      <c r="E9" s="291"/>
      <c r="F9" s="291"/>
    </row>
    <row r="10" spans="2:6" ht="15.75">
      <c r="B10" s="56"/>
      <c r="C10" s="56"/>
      <c r="D10" s="56"/>
      <c r="E10" s="56"/>
      <c r="F10" s="56"/>
    </row>
    <row r="11" spans="2:6" ht="15.75">
      <c r="B11" s="296" t="s">
        <v>660</v>
      </c>
      <c r="C11" s="296"/>
      <c r="D11" s="296"/>
      <c r="E11" s="296"/>
      <c r="F11" s="296"/>
    </row>
    <row r="12" spans="2:6" ht="15.75">
      <c r="B12" s="296" t="s">
        <v>265</v>
      </c>
      <c r="C12" s="296"/>
      <c r="D12" s="296" t="s">
        <v>266</v>
      </c>
      <c r="E12" s="296"/>
      <c r="F12" s="296"/>
    </row>
    <row r="13" spans="2:6" ht="15.75">
      <c r="B13" s="468">
        <v>42835</v>
      </c>
      <c r="C13" s="468"/>
      <c r="D13" s="291" t="s">
        <v>389</v>
      </c>
      <c r="E13" s="291"/>
      <c r="F13" s="291"/>
    </row>
    <row r="14" spans="2:6" ht="15.75">
      <c r="B14" s="56"/>
      <c r="C14" s="56"/>
      <c r="D14" s="56"/>
      <c r="E14" s="56"/>
      <c r="F14" s="56"/>
    </row>
    <row r="15" spans="2:6" ht="15.75">
      <c r="B15" s="297" t="s">
        <v>661</v>
      </c>
      <c r="C15" s="477"/>
      <c r="D15" s="477"/>
      <c r="E15" s="477"/>
      <c r="F15" s="298"/>
    </row>
    <row r="16" spans="2:6" ht="15.75">
      <c r="B16" s="297" t="s">
        <v>662</v>
      </c>
      <c r="C16" s="477"/>
      <c r="D16" s="298"/>
      <c r="E16" s="297" t="s">
        <v>265</v>
      </c>
      <c r="F16" s="298"/>
    </row>
    <row r="17" spans="2:6" ht="15.75">
      <c r="B17" s="472" t="s">
        <v>686</v>
      </c>
      <c r="C17" s="473"/>
      <c r="D17" s="474"/>
      <c r="E17" s="472"/>
      <c r="F17" s="474"/>
    </row>
    <row r="18" spans="2:6" ht="15.75">
      <c r="B18" s="472" t="s">
        <v>664</v>
      </c>
      <c r="C18" s="473"/>
      <c r="D18" s="474"/>
      <c r="E18" s="475"/>
      <c r="F18" s="476"/>
    </row>
    <row r="19" spans="2:6" ht="15.75">
      <c r="B19" s="56"/>
      <c r="C19" s="56"/>
      <c r="D19" s="56"/>
      <c r="E19" s="56"/>
      <c r="F19" s="56"/>
    </row>
    <row r="20" spans="2:6" ht="15.75">
      <c r="B20" s="59" t="s">
        <v>267</v>
      </c>
      <c r="C20" s="59" t="s">
        <v>268</v>
      </c>
      <c r="D20" s="59" t="s">
        <v>269</v>
      </c>
      <c r="E20" s="59" t="s">
        <v>270</v>
      </c>
      <c r="F20" s="59" t="s">
        <v>271</v>
      </c>
    </row>
    <row r="21" spans="2:6" ht="18.600000000000001" customHeight="1">
      <c r="B21" s="139" t="s">
        <v>687</v>
      </c>
      <c r="C21" s="140"/>
      <c r="D21" s="140"/>
      <c r="E21" s="140"/>
      <c r="F21" s="140" t="s">
        <v>272</v>
      </c>
    </row>
    <row r="22" spans="2:6" ht="15.75">
      <c r="B22" s="56"/>
      <c r="C22" s="56"/>
      <c r="D22" s="56"/>
      <c r="E22" s="56"/>
      <c r="F22" s="56"/>
    </row>
    <row r="23" spans="2:6" ht="15.75">
      <c r="B23" s="305" t="s">
        <v>273</v>
      </c>
      <c r="C23" s="306"/>
      <c r="D23" s="306"/>
      <c r="E23" s="306"/>
      <c r="F23" s="307"/>
    </row>
    <row r="24" spans="2:6" ht="47.45" customHeight="1">
      <c r="B24" s="308" t="s">
        <v>688</v>
      </c>
      <c r="C24" s="294"/>
      <c r="D24" s="294"/>
      <c r="E24" s="294"/>
      <c r="F24" s="295"/>
    </row>
    <row r="25" spans="2:6" ht="15.75">
      <c r="B25" s="56"/>
      <c r="C25" s="56"/>
      <c r="D25" s="56"/>
      <c r="E25" s="56"/>
      <c r="F25" s="56"/>
    </row>
    <row r="26" spans="2:6" ht="15.75">
      <c r="B26" s="305" t="s">
        <v>275</v>
      </c>
      <c r="C26" s="306"/>
      <c r="D26" s="306"/>
      <c r="E26" s="306"/>
      <c r="F26" s="307"/>
    </row>
    <row r="27" spans="2:6" ht="15.75">
      <c r="B27" s="308" t="s">
        <v>689</v>
      </c>
      <c r="C27" s="294"/>
      <c r="D27" s="294"/>
      <c r="E27" s="294"/>
      <c r="F27" s="295"/>
    </row>
    <row r="28" spans="2:6" ht="15.75">
      <c r="B28" s="56"/>
      <c r="C28" s="56"/>
      <c r="D28" s="56"/>
      <c r="E28" s="56"/>
      <c r="F28" s="56"/>
    </row>
    <row r="29" spans="2:6" ht="15.75">
      <c r="B29" s="305" t="s">
        <v>669</v>
      </c>
      <c r="C29" s="306"/>
      <c r="D29" s="306"/>
      <c r="E29" s="306"/>
      <c r="F29" s="307"/>
    </row>
    <row r="30" spans="2:6" ht="15.75">
      <c r="B30" s="293" t="s">
        <v>690</v>
      </c>
      <c r="C30" s="294"/>
      <c r="D30" s="294"/>
      <c r="E30" s="294"/>
      <c r="F30" s="295"/>
    </row>
    <row r="31" spans="2:6" ht="15.75">
      <c r="B31" s="56"/>
      <c r="C31" s="56"/>
      <c r="D31" s="56"/>
      <c r="E31" s="56"/>
      <c r="F31" s="56"/>
    </row>
    <row r="32" spans="2:6" ht="15.75">
      <c r="B32" s="305" t="s">
        <v>702</v>
      </c>
      <c r="C32" s="306"/>
      <c r="D32" s="306"/>
      <c r="E32" s="306"/>
      <c r="F32" s="307"/>
    </row>
    <row r="33" spans="2:6" ht="15.75">
      <c r="B33" s="308" t="s">
        <v>691</v>
      </c>
      <c r="C33" s="349"/>
      <c r="D33" s="349"/>
      <c r="E33" s="349"/>
      <c r="F33" s="350"/>
    </row>
    <row r="34" spans="2:6" ht="15.75">
      <c r="B34" s="56"/>
      <c r="C34" s="56"/>
      <c r="D34" s="56"/>
      <c r="E34" s="56"/>
      <c r="F34" s="56"/>
    </row>
    <row r="35" spans="2:6" ht="15.75">
      <c r="B35" s="305" t="s">
        <v>701</v>
      </c>
      <c r="C35" s="306"/>
      <c r="D35" s="306"/>
      <c r="E35" s="306"/>
      <c r="F35" s="307"/>
    </row>
    <row r="36" spans="2:6" ht="15.6" customHeight="1">
      <c r="B36" s="325" t="s">
        <v>692</v>
      </c>
      <c r="C36" s="326"/>
      <c r="D36" s="326"/>
      <c r="E36" s="326"/>
      <c r="F36" s="327"/>
    </row>
    <row r="37" spans="2:6" ht="15.75">
      <c r="B37" s="325" t="s">
        <v>693</v>
      </c>
      <c r="C37" s="326"/>
      <c r="D37" s="326"/>
      <c r="E37" s="326"/>
      <c r="F37" s="327"/>
    </row>
    <row r="38" spans="2:6" ht="15.75">
      <c r="B38" s="325" t="s">
        <v>10</v>
      </c>
      <c r="C38" s="326"/>
      <c r="D38" s="326"/>
      <c r="E38" s="326"/>
      <c r="F38" s="327"/>
    </row>
    <row r="39" spans="2:6" ht="15.75">
      <c r="B39" s="325" t="s">
        <v>694</v>
      </c>
      <c r="C39" s="326"/>
      <c r="D39" s="326"/>
      <c r="E39" s="326"/>
      <c r="F39" s="327"/>
    </row>
    <row r="40" spans="2:6" ht="15.75">
      <c r="B40" s="325" t="s">
        <v>695</v>
      </c>
      <c r="C40" s="326"/>
      <c r="D40" s="326"/>
      <c r="E40" s="326"/>
      <c r="F40" s="327"/>
    </row>
    <row r="41" spans="2:6" ht="15.75">
      <c r="B41" s="325" t="s">
        <v>696</v>
      </c>
      <c r="C41" s="326"/>
      <c r="D41" s="326"/>
      <c r="E41" s="326"/>
      <c r="F41" s="327"/>
    </row>
    <row r="42" spans="2:6" ht="15.75">
      <c r="B42" s="339" t="s">
        <v>697</v>
      </c>
      <c r="C42" s="339"/>
      <c r="D42" s="339"/>
      <c r="E42" s="339"/>
      <c r="F42" s="339"/>
    </row>
    <row r="43" spans="2:6" ht="15.75">
      <c r="B43" s="56"/>
      <c r="C43" s="56"/>
      <c r="D43" s="56"/>
      <c r="E43" s="56"/>
      <c r="F43" s="56"/>
    </row>
    <row r="44" spans="2:6" ht="15.75">
      <c r="B44" s="305" t="s">
        <v>284</v>
      </c>
      <c r="C44" s="306"/>
      <c r="D44" s="306"/>
      <c r="E44" s="306"/>
      <c r="F44" s="307"/>
    </row>
    <row r="45" spans="2:6" ht="144.94999999999999" customHeight="1">
      <c r="B45" s="308" t="s">
        <v>698</v>
      </c>
      <c r="C45" s="294"/>
      <c r="D45" s="294"/>
      <c r="E45" s="294"/>
      <c r="F45" s="295"/>
    </row>
    <row r="46" spans="2:6" ht="15.75">
      <c r="B46" s="60"/>
      <c r="C46" s="61"/>
      <c r="D46" s="61"/>
      <c r="E46" s="61"/>
      <c r="F46" s="61"/>
    </row>
    <row r="47" spans="2:6" ht="15.75">
      <c r="B47" s="305" t="s">
        <v>297</v>
      </c>
      <c r="C47" s="306"/>
      <c r="D47" s="306"/>
      <c r="E47" s="306"/>
      <c r="F47" s="307"/>
    </row>
    <row r="48" spans="2:6" ht="15.75">
      <c r="B48" s="100" t="s">
        <v>679</v>
      </c>
      <c r="C48" s="379"/>
      <c r="D48" s="379"/>
      <c r="E48" s="379"/>
      <c r="F48" s="379"/>
    </row>
    <row r="49" spans="2:6" ht="15.75">
      <c r="B49" s="100" t="s">
        <v>286</v>
      </c>
      <c r="C49" s="379"/>
      <c r="D49" s="379"/>
      <c r="E49" s="379"/>
      <c r="F49" s="379"/>
    </row>
    <row r="50" spans="2:6" ht="15.75">
      <c r="B50" s="100" t="s">
        <v>681</v>
      </c>
      <c r="C50" s="379" t="s">
        <v>680</v>
      </c>
      <c r="D50" s="379"/>
      <c r="E50" s="379"/>
      <c r="F50" s="379"/>
    </row>
    <row r="51" spans="2:6" ht="15.75">
      <c r="B51" s="100" t="s">
        <v>682</v>
      </c>
      <c r="C51" s="379" t="s">
        <v>680</v>
      </c>
      <c r="D51" s="379"/>
      <c r="E51" s="379"/>
      <c r="F51" s="379"/>
    </row>
    <row r="52" spans="2:6" ht="15.75">
      <c r="B52" s="100" t="s">
        <v>683</v>
      </c>
      <c r="C52" s="379" t="s">
        <v>680</v>
      </c>
      <c r="D52" s="379"/>
      <c r="E52" s="379"/>
      <c r="F52" s="379"/>
    </row>
    <row r="53" spans="2:6" ht="15.75">
      <c r="B53" s="100" t="s">
        <v>428</v>
      </c>
      <c r="C53" s="379"/>
      <c r="D53" s="379"/>
      <c r="E53" s="379"/>
      <c r="F53" s="379"/>
    </row>
    <row r="54" spans="2:6" ht="15.75">
      <c r="B54" s="56"/>
      <c r="C54" s="56"/>
      <c r="D54" s="56"/>
      <c r="E54" s="56"/>
      <c r="F54" s="56"/>
    </row>
    <row r="55" spans="2:6" ht="15.75">
      <c r="B55" s="305" t="s">
        <v>287</v>
      </c>
      <c r="C55" s="306"/>
      <c r="D55" s="306"/>
      <c r="E55" s="306"/>
      <c r="F55" s="307"/>
    </row>
    <row r="56" spans="2:6" ht="48.95" customHeight="1">
      <c r="B56" s="308" t="s">
        <v>699</v>
      </c>
      <c r="C56" s="294"/>
      <c r="D56" s="294"/>
      <c r="E56" s="294"/>
      <c r="F56" s="295"/>
    </row>
    <row r="57" spans="2:6" ht="15.75">
      <c r="B57" s="56"/>
      <c r="C57" s="56"/>
      <c r="D57" s="56"/>
      <c r="E57" s="56"/>
      <c r="F57" s="56"/>
    </row>
    <row r="58" spans="2:6" ht="15.75">
      <c r="B58" s="469" t="s">
        <v>289</v>
      </c>
      <c r="C58" s="470"/>
      <c r="D58" s="470"/>
      <c r="E58" s="470"/>
      <c r="F58" s="471"/>
    </row>
    <row r="59" spans="2:6" ht="15.75">
      <c r="B59" s="62" t="s">
        <v>290</v>
      </c>
      <c r="C59" s="62" t="s">
        <v>291</v>
      </c>
      <c r="D59" s="305" t="s">
        <v>292</v>
      </c>
      <c r="E59" s="306"/>
      <c r="F59" s="307"/>
    </row>
    <row r="60" spans="2:6" ht="15.75">
      <c r="B60" s="100" t="s">
        <v>686</v>
      </c>
      <c r="C60" s="100" t="s">
        <v>592</v>
      </c>
      <c r="D60" s="316"/>
      <c r="E60" s="317"/>
      <c r="F60" s="318"/>
    </row>
    <row r="61" spans="2:6" ht="15.75">
      <c r="B61" s="100" t="s">
        <v>664</v>
      </c>
      <c r="C61" s="100" t="s">
        <v>592</v>
      </c>
      <c r="D61" s="316"/>
      <c r="E61" s="317"/>
      <c r="F61" s="318"/>
    </row>
    <row r="62" spans="2:6" ht="15.75">
      <c r="B62" s="64"/>
      <c r="C62" s="64"/>
      <c r="D62" s="316"/>
      <c r="E62" s="317"/>
      <c r="F62" s="318"/>
    </row>
    <row r="63" spans="2:6" ht="15.75">
      <c r="B63" s="56"/>
      <c r="C63" s="56"/>
      <c r="D63" s="56"/>
      <c r="E63" s="56"/>
      <c r="F63" s="56"/>
    </row>
    <row r="64" spans="2:6" ht="15.75">
      <c r="B64" s="305" t="s">
        <v>293</v>
      </c>
      <c r="C64" s="306"/>
      <c r="D64" s="306"/>
      <c r="E64" s="306"/>
      <c r="F64" s="307"/>
    </row>
    <row r="65" spans="2:6" ht="126.95" customHeight="1">
      <c r="B65" s="308" t="s">
        <v>700</v>
      </c>
      <c r="C65" s="294"/>
      <c r="D65" s="294"/>
      <c r="E65" s="294"/>
      <c r="F65" s="295"/>
    </row>
  </sheetData>
  <mergeCells count="53">
    <mergeCell ref="C9:F9"/>
    <mergeCell ref="C4:F4"/>
    <mergeCell ref="C5:F5"/>
    <mergeCell ref="C6:F6"/>
    <mergeCell ref="C7:F7"/>
    <mergeCell ref="C8:F8"/>
    <mergeCell ref="B11:F11"/>
    <mergeCell ref="B12:C12"/>
    <mergeCell ref="D12:F12"/>
    <mergeCell ref="B13:C13"/>
    <mergeCell ref="D13:F13"/>
    <mergeCell ref="B18:D18"/>
    <mergeCell ref="E18:F18"/>
    <mergeCell ref="B23:F23"/>
    <mergeCell ref="B24:F24"/>
    <mergeCell ref="B15:F15"/>
    <mergeCell ref="B16:D16"/>
    <mergeCell ref="E16:F16"/>
    <mergeCell ref="B17:D17"/>
    <mergeCell ref="E17:F17"/>
    <mergeCell ref="B44:F44"/>
    <mergeCell ref="B45:F45"/>
    <mergeCell ref="B40:F40"/>
    <mergeCell ref="B35:F35"/>
    <mergeCell ref="B26:F26"/>
    <mergeCell ref="B27:F27"/>
    <mergeCell ref="B29:F29"/>
    <mergeCell ref="B30:F30"/>
    <mergeCell ref="B32:F32"/>
    <mergeCell ref="B33:F33"/>
    <mergeCell ref="B41:F41"/>
    <mergeCell ref="B42:F42"/>
    <mergeCell ref="C48:F48"/>
    <mergeCell ref="C49:F49"/>
    <mergeCell ref="C50:F50"/>
    <mergeCell ref="C51:F51"/>
    <mergeCell ref="C52:F52"/>
    <mergeCell ref="B64:F64"/>
    <mergeCell ref="B65:F65"/>
    <mergeCell ref="B2:F2"/>
    <mergeCell ref="B36:F36"/>
    <mergeCell ref="B38:F38"/>
    <mergeCell ref="B37:F37"/>
    <mergeCell ref="B39:F39"/>
    <mergeCell ref="D61:F61"/>
    <mergeCell ref="D62:F62"/>
    <mergeCell ref="C53:F53"/>
    <mergeCell ref="B55:F55"/>
    <mergeCell ref="B56:F56"/>
    <mergeCell ref="B58:F58"/>
    <mergeCell ref="D59:F59"/>
    <mergeCell ref="D60:F60"/>
    <mergeCell ref="B47:F47"/>
  </mergeCells>
  <dataValidations count="2">
    <dataValidation type="list" allowBlank="1" showInputMessage="1" showErrorMessage="1" sqref="C60:C62">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36" display="Schéma d'enseignement"/>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47</vt:i4>
      </vt:variant>
      <vt:variant>
        <vt:lpstr>Plages nommées</vt:lpstr>
      </vt:variant>
      <vt:variant>
        <vt:i4>1</vt:i4>
      </vt:variant>
    </vt:vector>
  </HeadingPairs>
  <TitlesOfParts>
    <vt:vector size="48" baseType="lpstr">
      <vt:lpstr>Page de garde</vt:lpstr>
      <vt:lpstr>Contributeurs</vt:lpstr>
      <vt:lpstr>Métiers visés </vt:lpstr>
      <vt:lpstr>Comptétences adressées</vt:lpstr>
      <vt:lpstr>Schéma d'enseignement</vt:lpstr>
      <vt:lpstr>Cohérene</vt:lpstr>
      <vt:lpstr>Matières optionnelles</vt:lpstr>
      <vt:lpstr>Semestre 3 </vt:lpstr>
      <vt:lpstr>Admin. systèmes &amp; services</vt:lpstr>
      <vt:lpstr>Atelier Admin. syst. &amp; services</vt:lpstr>
      <vt:lpstr>Base de données</vt:lpstr>
      <vt:lpstr>Atelier base de données</vt:lpstr>
      <vt:lpstr>Programmation objet</vt:lpstr>
      <vt:lpstr>Atelier programmation objet</vt:lpstr>
      <vt:lpstr>Développement FR coté client</vt:lpstr>
      <vt:lpstr>Atelier dév FR coté client</vt:lpstr>
      <vt:lpstr>AT traitement données multiméd.</vt:lpstr>
      <vt:lpstr>High Tech english</vt:lpstr>
      <vt:lpstr>Communication en entreprise</vt:lpstr>
      <vt:lpstr>Semestre 4</vt:lpstr>
      <vt:lpstr>AT design &amp; inté pour le web</vt:lpstr>
      <vt:lpstr>Sécurité des applications web</vt:lpstr>
      <vt:lpstr>Développement coté serveur</vt:lpstr>
      <vt:lpstr>Atelier dév coté serveur</vt:lpstr>
      <vt:lpstr>Atelier SGBD</vt:lpstr>
      <vt:lpstr>Programmation objet avancée</vt:lpstr>
      <vt:lpstr>Atelier prog objet avancée</vt:lpstr>
      <vt:lpstr>Atelier outil d'animation 3D</vt:lpstr>
      <vt:lpstr>Programmation graphique 2D-3D</vt:lpstr>
      <vt:lpstr>Atelier prog graphique 2D</vt:lpstr>
      <vt:lpstr>Busniess English</vt:lpstr>
      <vt:lpstr>Etude &amp; mgmt de prjts innovants</vt:lpstr>
      <vt:lpstr>Semestre 5</vt:lpstr>
      <vt:lpstr>Développement Mobile</vt:lpstr>
      <vt:lpstr>Atelier dév mobile</vt:lpstr>
      <vt:lpstr>Atelier SOA</vt:lpstr>
      <vt:lpstr>Atelier framework coté serveur</vt:lpstr>
      <vt:lpstr>Conception OO &amp; méthodes agiles</vt:lpstr>
      <vt:lpstr>Atelier projet d'intégration</vt:lpstr>
      <vt:lpstr>Atelier Réalite VIR et AUG</vt:lpstr>
      <vt:lpstr>Réalite AUG et VIR</vt:lpstr>
      <vt:lpstr>Atelier prog multimédia 3D</vt:lpstr>
      <vt:lpstr>TOEIC</vt:lpstr>
      <vt:lpstr>TRE</vt:lpstr>
      <vt:lpstr>EC Optionnelles</vt:lpstr>
      <vt:lpstr>Sécurité informatique</vt:lpstr>
      <vt:lpstr>Mise en fct. d'un projet web</vt:lpstr>
      <vt:lpstr>'Développement Mobile'!Zone_d_impression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Khelil Belkhodja</dc:creator>
  <cp:lastModifiedBy>Utilisateur Windows</cp:lastModifiedBy>
  <cp:lastPrinted>2018-04-26T08:40:42Z</cp:lastPrinted>
  <dcterms:created xsi:type="dcterms:W3CDTF">2018-04-24T09:44:12Z</dcterms:created>
  <dcterms:modified xsi:type="dcterms:W3CDTF">2018-08-13T21:09:24Z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
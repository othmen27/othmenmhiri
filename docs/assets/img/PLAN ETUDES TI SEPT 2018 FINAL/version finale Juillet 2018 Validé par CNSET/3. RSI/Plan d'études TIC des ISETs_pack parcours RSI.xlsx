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ThisWorkbook"/>
  <mc:AlternateContent xmlns:mc="http://schemas.openxmlformats.org/markup-compatibility/2006">
    <mc:Choice Requires="x15">
      <x15ac:absPath xmlns:x15ac="http://schemas.microsoft.com/office/spreadsheetml/2010/11/ac" url="D:\travaux\ISET\Reforme\2018\documents\version finale Juillet 2018 Validé par CNSET\3. RSI\"/>
    </mc:Choice>
  </mc:AlternateContent>
  <bookViews>
    <workbookView xWindow="0" yWindow="0" windowWidth="19200" windowHeight="6945" tabRatio="859"/>
  </bookViews>
  <sheets>
    <sheet name="Page de garde" sheetId="44" r:id="rId1"/>
    <sheet name="Contributeurs" sheetId="1" r:id="rId2"/>
    <sheet name="Métiers visés " sheetId="2" r:id="rId3"/>
    <sheet name="Comptétences adressées" sheetId="3" r:id="rId4"/>
    <sheet name="Schéma d'enseignement" sheetId="4" r:id="rId5"/>
    <sheet name="Cohérence" sheetId="5" r:id="rId6"/>
    <sheet name="Matières optionnelles" sheetId="40" r:id="rId7"/>
    <sheet name="Semestre 3" sheetId="7" r:id="rId8"/>
    <sheet name="Atelier Administration systèmes" sheetId="8" r:id="rId9"/>
    <sheet name="Réseaux locaux et TCP-IP" sheetId="9" r:id="rId10"/>
    <sheet name="Atelier réseaux et TCP-IP" sheetId="10" r:id="rId11"/>
    <sheet name="Base de données " sheetId="11" r:id="rId12"/>
    <sheet name="Atelier Base de données " sheetId="12" r:id="rId13"/>
    <sheet name="Programmation objet " sheetId="13" r:id="rId14"/>
    <sheet name="Atelier Programmation objet " sheetId="14" r:id="rId15"/>
    <sheet name="Communication en entreprise" sheetId="38" r:id="rId16"/>
    <sheet name="high tech english" sheetId="45" r:id="rId17"/>
    <sheet name="Semestre 4" sheetId="15" r:id="rId18"/>
    <sheet name="Routage IP" sheetId="16" r:id="rId19"/>
    <sheet name="Protocole IPV6" sheetId="17" r:id="rId20"/>
    <sheet name="Atelier interconnexion réseaux" sheetId="18" r:id="rId21"/>
    <sheet name="Administration des services rés" sheetId="19" r:id="rId22"/>
    <sheet name="Atelier Admi Services Réseaux" sheetId="20" r:id="rId23"/>
    <sheet name="Intro Virtualisation et cloud" sheetId="21" r:id="rId24"/>
    <sheet name="Atelier Virualisation et cloud " sheetId="22" r:id="rId25"/>
    <sheet name="Mini Projet" sheetId="23" r:id="rId26"/>
    <sheet name="Administration Base de données" sheetId="24" r:id="rId27"/>
    <sheet name="Atelier Administration BD" sheetId="25" r:id="rId28"/>
    <sheet name="Etude et management des proj" sheetId="37" r:id="rId29"/>
    <sheet name="busniess English" sheetId="46" r:id="rId30"/>
    <sheet name="Projet d'intégration (op)" sheetId="43" r:id="rId31"/>
    <sheet name="Semestre 5" sheetId="26" r:id="rId32"/>
    <sheet name="introduction to iot" sheetId="27" r:id="rId33"/>
    <sheet name="Technologies Wan " sheetId="28" r:id="rId34"/>
    <sheet name="Atelier technologies WAN" sheetId="29" r:id="rId35"/>
    <sheet name="Sécurité systèmes et réseaux " sheetId="30" r:id="rId36"/>
    <sheet name="Atelier sécurité syst et réseau" sheetId="31" r:id="rId37"/>
    <sheet name="Gestion d'un data center " sheetId="32" r:id="rId38"/>
    <sheet name="Atelier cloud computing" sheetId="33" r:id="rId39"/>
    <sheet name="Atelier conception et gestion" sheetId="34" r:id="rId40"/>
    <sheet name="Projet d'intégration" sheetId="35" r:id="rId41"/>
    <sheet name="TRE" sheetId="39" r:id="rId42"/>
    <sheet name="toeic" sheetId="47" r:id="rId43"/>
    <sheet name="PI Infra,Réseau et Système" sheetId="42" r:id="rId44"/>
  </sheets>
  <externalReferences>
    <externalReference r:id="rId45"/>
  </externalReferences>
  <definedNames>
    <definedName name="_xlnm._FilterDatabase" localSheetId="2" hidden="1">'Métiers visés '!$C$4:$F$9</definedName>
    <definedName name="AdminBDonnées">'Administration Base de données'!$B$2</definedName>
    <definedName name="AdmServiceReseau">'Administration des services rés'!$B$2</definedName>
    <definedName name="AtAdminBD">'Atelier Administration BD'!$B$2</definedName>
    <definedName name="AtAdminSystem">'Atelier Administration systèmes'!$B$2</definedName>
    <definedName name="AtAdmServReseau">'Atelier Admi Services Réseaux'!$B$2</definedName>
    <definedName name="AtBaseDonnées">'Atelier Base de données '!$B$2</definedName>
    <definedName name="AtCloud">'Atelier cloud computing'!$B$2</definedName>
    <definedName name="AtConceptionGestion">'Atelier conception et gestion'!$B$2</definedName>
    <definedName name="AtInterconnexion">'Atelier interconnexion réseaux'!$B$2</definedName>
    <definedName name="AtProgAobjet">'Atelier Programmation objet '!$B$2</definedName>
    <definedName name="AtReseauTCPIP">'Atelier réseaux et TCP-IP'!$B$2</definedName>
    <definedName name="AtSecSystReseau">'Atelier sécurité syst et réseau'!$B$2</definedName>
    <definedName name="AtTechWan">'Atelier technologies WAN'!$B$2</definedName>
    <definedName name="AtVirtualisation">'Atelier Virualisation et cloud '!$B$2</definedName>
    <definedName name="BaseDonnées">'Base de données '!$B$2</definedName>
    <definedName name="BusinessEnglish">'busniess English'!$C$4</definedName>
    <definedName name="CommEntreprise">'Communication en entreprise'!$C$2</definedName>
    <definedName name="EtudeMgProjetInnov">'Etude et management des proj'!$C$3</definedName>
    <definedName name="GestDataCenter">'Gestion d''un data center '!$B$2</definedName>
    <definedName name="HigTechEnglish">'high tech english'!$C$4</definedName>
    <definedName name="IntroIoT">'introduction to iot'!$B$3</definedName>
    <definedName name="IntroVirtualisation">'Intro Virtualisation et cloud'!$B$2</definedName>
    <definedName name="MiniProjet">'Mini Projet'!$B$2</definedName>
    <definedName name="PIInfra">'PI Infra,Réseau et Système'!$B$2</definedName>
    <definedName name="ProgObjet">'Programmation objet '!$B$2</definedName>
    <definedName name="ProjetIntegration">'Projet d''intégration (op)'!$B$2</definedName>
    <definedName name="ProjetIntegS5">'Projet d''intégration'!$B$2</definedName>
    <definedName name="ProtocolIPV6">'Protocole IPV6'!$B$2</definedName>
    <definedName name="RLETCPIP">'Réseaux locaux et TCP-IP'!$B$2</definedName>
    <definedName name="RoutageIP">'Routage IP'!$B$3</definedName>
    <definedName name="SecSystReseau">'Sécurité systèmes et réseaux '!$B$2</definedName>
    <definedName name="TechRechEmploi">TRE!$C$4</definedName>
    <definedName name="TechWan">'Technologies Wan '!$B$2</definedName>
    <definedName name="TOIEC">toeic!$D$4</definedName>
    <definedName name="_xlnm.Print_Area" localSheetId="43">'PI Infra,Réseau et Système'!$A$1:$G$83</definedName>
    <definedName name="_xlnm.Print_Area" localSheetId="30">'Projet d''intégration (op)'!$A$1:$G$83</definedName>
    <definedName name="_xlnm.Print_Area" localSheetId="41">TRE!$A$4:$I$61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4" l="1"/>
  <c r="F7" i="4"/>
  <c r="I18" i="4" l="1"/>
  <c r="I47" i="4"/>
  <c r="I33" i="4"/>
  <c r="H53" i="4"/>
  <c r="H52" i="4"/>
  <c r="H51" i="4"/>
  <c r="J47" i="4" l="1"/>
  <c r="I53" i="4" s="1"/>
  <c r="K47" i="4"/>
  <c r="L47" i="4"/>
  <c r="M47" i="4"/>
  <c r="N47" i="4"/>
  <c r="O47" i="4"/>
  <c r="J33" i="4"/>
  <c r="I52" i="4" s="1"/>
  <c r="K33" i="4"/>
  <c r="L33" i="4"/>
  <c r="M33" i="4"/>
  <c r="N33" i="4"/>
  <c r="O33" i="4"/>
  <c r="J18" i="4"/>
  <c r="I51" i="4" s="1"/>
  <c r="K18" i="4"/>
  <c r="L18" i="4"/>
  <c r="M18" i="4"/>
  <c r="N18" i="4"/>
  <c r="O18" i="4"/>
  <c r="H47" i="4" l="1"/>
  <c r="H33" i="4"/>
  <c r="F16" i="4"/>
  <c r="H18" i="4"/>
  <c r="F14" i="4"/>
  <c r="F45" i="4"/>
  <c r="F43" i="4"/>
  <c r="F41" i="4"/>
  <c r="F39" i="4"/>
  <c r="F37" i="4"/>
  <c r="F34" i="4"/>
  <c r="F31" i="4"/>
  <c r="F29" i="4"/>
  <c r="F27" i="4"/>
  <c r="F24" i="4"/>
  <c r="F22" i="4"/>
  <c r="F19" i="4"/>
  <c r="F12" i="4"/>
  <c r="F10" i="4"/>
  <c r="H48" i="4" l="1"/>
  <c r="F47" i="4"/>
  <c r="F33" i="4"/>
  <c r="F18" i="4"/>
  <c r="F48" i="4" l="1"/>
</calcChain>
</file>

<file path=xl/sharedStrings.xml><?xml version="1.0" encoding="utf-8"?>
<sst xmlns="http://schemas.openxmlformats.org/spreadsheetml/2006/main" count="3135" uniqueCount="1282">
  <si>
    <t xml:space="preserve">Partcipation </t>
  </si>
  <si>
    <t xml:space="preserve">Parcours </t>
  </si>
  <si>
    <t xml:space="preserve">Réseaux et services informatiques </t>
  </si>
  <si>
    <t>#</t>
  </si>
  <si>
    <t xml:space="preserve">Ridha El Azizi </t>
  </si>
  <si>
    <t xml:space="preserve">Contributeurs académique et professionnel </t>
  </si>
  <si>
    <t xml:space="preserve">Youssef Chelly </t>
  </si>
  <si>
    <t>Nom</t>
  </si>
  <si>
    <t xml:space="preserve">Organisme </t>
  </si>
  <si>
    <t xml:space="preserve">Poste </t>
  </si>
  <si>
    <t>ISET Sousse</t>
  </si>
  <si>
    <t xml:space="preserve">Directeur </t>
  </si>
  <si>
    <t xml:space="preserve">Business &amp; Decision </t>
  </si>
  <si>
    <t xml:space="preserve">Administrateur système </t>
  </si>
  <si>
    <t xml:space="preserve">Technicien support utilisateur </t>
  </si>
  <si>
    <t xml:space="preserve">Expert en virtualisation </t>
  </si>
  <si>
    <t>Responsable sécurité informatique</t>
  </si>
  <si>
    <t xml:space="preserve">Description </t>
  </si>
  <si>
    <t>Amélioration des processus</t>
  </si>
  <si>
    <t>Analyse statistique des données</t>
  </si>
  <si>
    <t>Assurance qualité informatique</t>
  </si>
  <si>
    <t>conception de l'architecture</t>
  </si>
  <si>
    <t>Conception des applications</t>
  </si>
  <si>
    <t>conception des réseaux</t>
  </si>
  <si>
    <t>Conception et développement</t>
  </si>
  <si>
    <t xml:space="preserve">déploiement de la solution </t>
  </si>
  <si>
    <t>Développement des propositions</t>
  </si>
  <si>
    <t>Développement durable</t>
  </si>
  <si>
    <t>gestion de la relation client</t>
  </si>
  <si>
    <t>Gestion de la sécurité de l'information</t>
  </si>
  <si>
    <t xml:space="preserve">gestion de l'information </t>
  </si>
  <si>
    <t>gestion des actifs</t>
  </si>
  <si>
    <t xml:space="preserve">gestion des changements métier </t>
  </si>
  <si>
    <t>Gestion des données</t>
  </si>
  <si>
    <t>Gestion des problèmes</t>
  </si>
  <si>
    <t xml:space="preserve">gestion des risques </t>
  </si>
  <si>
    <t>Gouvernance informatique</t>
  </si>
  <si>
    <t>identification des besoins</t>
  </si>
  <si>
    <t>Ingénierie système</t>
  </si>
  <si>
    <t xml:space="preserve">innovation </t>
  </si>
  <si>
    <t>Intégration des systèmes</t>
  </si>
  <si>
    <t>Livraison de services</t>
  </si>
  <si>
    <t>Planification des produits ou des services</t>
  </si>
  <si>
    <t xml:space="preserve">schéma directeur informatique et alignement stratégique </t>
  </si>
  <si>
    <t>Support des changements</t>
  </si>
  <si>
    <t>support utilisateur</t>
  </si>
  <si>
    <t>Tests</t>
  </si>
  <si>
    <t>Tests de pénétration</t>
  </si>
  <si>
    <t>veille technologique</t>
  </si>
  <si>
    <t>Leadership</t>
  </si>
  <si>
    <t xml:space="preserve">Travail en équipe </t>
  </si>
  <si>
    <t xml:space="preserve">présentation et communication </t>
  </si>
  <si>
    <t>Vision stratégique</t>
  </si>
  <si>
    <t>Gestion du changement</t>
  </si>
  <si>
    <t>Orientation client</t>
  </si>
  <si>
    <t>Prise de décision</t>
  </si>
  <si>
    <t>Orientation résultats</t>
  </si>
  <si>
    <t>Initiative et proactivité</t>
  </si>
  <si>
    <t>Networking</t>
  </si>
  <si>
    <t>Négociation</t>
  </si>
  <si>
    <t>Versatilité</t>
  </si>
  <si>
    <t xml:space="preserve">Compétences techniques </t>
  </si>
  <si>
    <t xml:space="preserve">Compétences non techniques / soft skills </t>
  </si>
  <si>
    <t xml:space="preserve">Développement de la stratégie relative à la qualité informatique </t>
  </si>
  <si>
    <t xml:space="preserve">Éléments constitutifs </t>
  </si>
  <si>
    <t>Unités d'enseignement</t>
  </si>
  <si>
    <t xml:space="preserve">Appelation </t>
  </si>
  <si>
    <t xml:space="preserve">Volume horaire </t>
  </si>
  <si>
    <t>Atelier Administration Systèmes</t>
  </si>
  <si>
    <t xml:space="preserve">Administration Systèmes et réseaux locaux d'entreprises </t>
  </si>
  <si>
    <t>Réseaux Locaux et architecture TCP/IP</t>
  </si>
  <si>
    <t>Atelier Réseaux locaux et TCP/IP</t>
  </si>
  <si>
    <t>Bases de Données</t>
  </si>
  <si>
    <t xml:space="preserve">Base de données </t>
  </si>
  <si>
    <t>Atelier bases de données</t>
  </si>
  <si>
    <t>Programmation Objet</t>
  </si>
  <si>
    <t>Conception et Programmation orienté Objet</t>
  </si>
  <si>
    <t>Atelier Programmation Objet</t>
  </si>
  <si>
    <t xml:space="preserve">Communication et langues </t>
  </si>
  <si>
    <t>Préparation à la certification N1</t>
  </si>
  <si>
    <t>Unité optionnelle - Certification</t>
  </si>
  <si>
    <t>Atelier Préparation à la certification N1</t>
  </si>
  <si>
    <t>total</t>
  </si>
  <si>
    <t>Routage IP</t>
  </si>
  <si>
    <t>Interconnexion des Réseaux</t>
  </si>
  <si>
    <t>Protocole IPv6</t>
  </si>
  <si>
    <t>Atelier Interconnexion des Réseaux</t>
  </si>
  <si>
    <t>Administration des services réseaux</t>
  </si>
  <si>
    <t>Atelier Administration des services réseau</t>
  </si>
  <si>
    <t>Introduction virtualisation et cloud</t>
  </si>
  <si>
    <t>Virtualisation et Cloud Computing</t>
  </si>
  <si>
    <t>Atelier virtualisation et cloud</t>
  </si>
  <si>
    <t>Projet d’Intégration</t>
  </si>
  <si>
    <t>Administration BD</t>
  </si>
  <si>
    <t>Administration des Bases de Données</t>
  </si>
  <si>
    <t>Atelier Administration BD</t>
  </si>
  <si>
    <t xml:space="preserve">High tech english </t>
  </si>
  <si>
    <t>Cultures et Langues</t>
  </si>
  <si>
    <t>Préparation à la certification N2</t>
  </si>
  <si>
    <t>Atelier Préparation à la certification N2</t>
  </si>
  <si>
    <t>Introduction à l’Internet des Objets</t>
  </si>
  <si>
    <t>Les nouvelles technologies des réseaux Etendus</t>
  </si>
  <si>
    <t>Technologies WAN</t>
  </si>
  <si>
    <t>Atelier Technologies WAN</t>
  </si>
  <si>
    <t>Sécurité systèmes et réseaux</t>
  </si>
  <si>
    <t>Atelier Sécurité Systèmes et réseaux</t>
  </si>
  <si>
    <t>Gestion d’un Data Center</t>
  </si>
  <si>
    <t>Cloud Computing avancé</t>
  </si>
  <si>
    <t>Atelier cloud Computing (PaaS, SaaS)</t>
  </si>
  <si>
    <t>Atelier conception et gestion de projets</t>
  </si>
  <si>
    <t>Projet d’Intégration Infrastructures Réseaux
et Systèmes</t>
  </si>
  <si>
    <t xml:space="preserve">Technique de recherche d'emploi et marketing de soi </t>
  </si>
  <si>
    <t>Préparation à la certification N3</t>
  </si>
  <si>
    <t>Atelier Préparation à la certification N3</t>
  </si>
  <si>
    <t xml:space="preserve">total </t>
  </si>
  <si>
    <t xml:space="preserve">Type </t>
  </si>
  <si>
    <t>Fondamentale</t>
  </si>
  <si>
    <t xml:space="preserve">Transversale </t>
  </si>
  <si>
    <t>Optionnelle</t>
  </si>
  <si>
    <t>Matières du parcours RSI : dans quelles matières le pré-requis est demandé ?</t>
  </si>
  <si>
    <t>Prérequis pour le parcours RSI</t>
  </si>
  <si>
    <t>Est ce que le pré-requis est couvert dans le parcours lui même ?</t>
  </si>
  <si>
    <t>Matières du tronc commun : quelles matières permettent de répondre au pré-requis</t>
  </si>
  <si>
    <t>Matières transversales</t>
  </si>
  <si>
    <t>Semestre 3</t>
  </si>
  <si>
    <t>Semestre 4</t>
  </si>
  <si>
    <t>Semestre 5</t>
  </si>
  <si>
    <t>Semestre 1</t>
  </si>
  <si>
    <t>Semestre 2</t>
  </si>
  <si>
    <t>mathématique appliquée 1</t>
  </si>
  <si>
    <t>Algorithmique et  Programmation I</t>
  </si>
  <si>
    <t xml:space="preserve">Architecture et système </t>
  </si>
  <si>
    <t>Développement web et multimédia I</t>
  </si>
  <si>
    <t>mathématique appliquée II</t>
  </si>
  <si>
    <t xml:space="preserve">Système I </t>
  </si>
  <si>
    <t>Algorithmique et  Programmation II</t>
  </si>
  <si>
    <t>Développement web et multimédia II</t>
  </si>
  <si>
    <t>Atelier Administration des services réseaux</t>
  </si>
  <si>
    <t xml:space="preserve">Mini projet </t>
  </si>
  <si>
    <t>Mathématique Appliquée (42)</t>
  </si>
  <si>
    <t>Atelier Mathématiques Appliquées (21)</t>
  </si>
  <si>
    <t>Algorithmique et programmation (63)</t>
  </si>
  <si>
    <t>Atelier Programmation  (42)</t>
  </si>
  <si>
    <t>Architecture des Ordinateurs (21)</t>
  </si>
  <si>
    <t>Systèmes Logiques (21)</t>
  </si>
  <si>
    <t>Atelier Systèmes Logiques (21)</t>
  </si>
  <si>
    <t>Développement web et multimédia I (21)</t>
  </si>
  <si>
    <t>Atelier Développement Web et Multimédia I (42)</t>
  </si>
  <si>
    <t>Recherche Opérationnelle (21)</t>
  </si>
  <si>
    <t>Statistiques &amp; Probabilités (21)</t>
  </si>
  <si>
    <t>Systèmes d'Exploitation (42)</t>
  </si>
  <si>
    <t>Atelier Systèmes I (21)</t>
  </si>
  <si>
    <t>Algorithmique &amp; Programmation II (42)</t>
  </si>
  <si>
    <t>Atelier programmation II (42)</t>
  </si>
  <si>
    <t>Développement web et multimédia II (21)</t>
  </si>
  <si>
    <t>Atelier Développement Web et Multimédia II (42)</t>
  </si>
  <si>
    <t>Fondement des Réseaux (42)</t>
  </si>
  <si>
    <t>Techniques d'expression 1</t>
  </si>
  <si>
    <t>Préparation aux métiers</t>
  </si>
  <si>
    <t>Business culture</t>
  </si>
  <si>
    <t>Etude et management de projets innovants</t>
  </si>
  <si>
    <t>Communication en entreprise</t>
  </si>
  <si>
    <t>Techniques de recherche d'emploi</t>
  </si>
  <si>
    <t>X</t>
  </si>
  <si>
    <t>Introduction au cloud computing et virtualisation</t>
  </si>
  <si>
    <t>x</t>
  </si>
  <si>
    <t>Non</t>
  </si>
  <si>
    <t>Réseaux d’Entreprise et Internet</t>
  </si>
  <si>
    <t xml:space="preserve">Mohamed Hamed </t>
  </si>
  <si>
    <t>Adnene Rouatbi</t>
  </si>
  <si>
    <t>ISET Kef</t>
  </si>
  <si>
    <t>IT Manager</t>
  </si>
  <si>
    <t>Hela Sfaihi</t>
  </si>
  <si>
    <t xml:space="preserve">ISET Mahdia </t>
  </si>
  <si>
    <t xml:space="preserve">Directeur de département </t>
  </si>
  <si>
    <t>Enseignante</t>
  </si>
  <si>
    <t>Réforme 2018</t>
  </si>
  <si>
    <t>Métiers visés par le parcours RSI</t>
  </si>
  <si>
    <t>Il met en place et configure les environnements systèmes de l’entreprise en alignement à la stratégie IT et au schéma directeur et il s’assure du bon fonctionnement technique du système informatique</t>
  </si>
  <si>
    <t>Il met en place et gère une architecture basée sur les technologies de la virtualisation des composantes du système d’information de l’entreprise</t>
  </si>
  <si>
    <t xml:space="preserve">Expérience minimum </t>
  </si>
  <si>
    <t>Il met en place une politique de sécurité dans le but de garantir la disponibilité, la sécurité et l’intégrité de système d’information et des données</t>
  </si>
  <si>
    <t>Il assure le premier niveau de support technique aux clients/utilisateurs ou les oriente vers les ressources compétentes pouvant y apporter une solution</t>
  </si>
  <si>
    <t>0 à 2 ans</t>
  </si>
  <si>
    <t>7 à 10 ans</t>
  </si>
  <si>
    <t>5 à 7 ans</t>
  </si>
  <si>
    <t>-</t>
  </si>
  <si>
    <t xml:space="preserve">Spécificité </t>
  </si>
  <si>
    <t>Urbaniste Data center*</t>
  </si>
  <si>
    <t>*nouveau métier non défini par le REM.REC</t>
  </si>
  <si>
    <t xml:space="preserve">Semestre </t>
  </si>
  <si>
    <t xml:space="preserve">Semestre 3 </t>
  </si>
  <si>
    <t xml:space="preserve">Semestre 4 </t>
  </si>
  <si>
    <t xml:space="preserve">Semestre 5 </t>
  </si>
  <si>
    <t>Administration des Services réseaux</t>
  </si>
  <si>
    <t xml:space="preserve">Fiche élément constitutif </t>
  </si>
  <si>
    <t>Statut</t>
  </si>
  <si>
    <t>Domaine de formation</t>
  </si>
  <si>
    <r>
      <t>Sciences et Technologies</t>
    </r>
    <r>
      <rPr>
        <sz val="11"/>
        <color theme="1"/>
        <rFont val="Calibri"/>
        <family val="2"/>
        <scheme val="minor"/>
      </rPr>
      <t> </t>
    </r>
  </si>
  <si>
    <t>Mention</t>
  </si>
  <si>
    <r>
      <t>Technologies de l’Informatique (TI)</t>
    </r>
    <r>
      <rPr>
        <sz val="11"/>
        <color theme="1"/>
        <rFont val="Calibri"/>
        <family val="2"/>
        <scheme val="minor"/>
      </rPr>
      <t> </t>
    </r>
  </si>
  <si>
    <t>Parcours</t>
  </si>
  <si>
    <t>RSI (Réseaux et Services Informatique)</t>
  </si>
  <si>
    <t>Unité d'enseignement</t>
  </si>
  <si>
    <t>Semestre</t>
  </si>
  <si>
    <r>
      <t>3</t>
    </r>
    <r>
      <rPr>
        <sz val="11"/>
        <color theme="1"/>
        <rFont val="Calibri"/>
        <family val="2"/>
        <scheme val="minor"/>
      </rPr>
      <t> </t>
    </r>
  </si>
  <si>
    <t>Historique des mises à jour</t>
  </si>
  <si>
    <t>Date</t>
  </si>
  <si>
    <t>Nature du changement</t>
  </si>
  <si>
    <t> 12/04/2018</t>
  </si>
  <si>
    <t>Elément constitutif</t>
  </si>
  <si>
    <t>Volume horaire</t>
  </si>
  <si>
    <t>Coefficient</t>
  </si>
  <si>
    <t>Crédit</t>
  </si>
  <si>
    <t>Système d'évaluation</t>
  </si>
  <si>
    <t>Atelier Administration systèmes </t>
  </si>
  <si>
    <t> 42 </t>
  </si>
  <si>
    <t> 3</t>
  </si>
  <si>
    <t>Contrôle Continu </t>
  </si>
  <si>
    <t>Objectifs généraux</t>
  </si>
  <si>
    <t>Objectifs spécifiques</t>
  </si>
  <si>
    <t>Mots clés</t>
  </si>
  <si>
    <t>Compétences cibles</t>
  </si>
  <si>
    <t>Gestion des actifs</t>
  </si>
  <si>
    <t>schéma directeur informatique et alignement stratégique</t>
  </si>
  <si>
    <t>Veille technologique </t>
  </si>
  <si>
    <t>Contenu de la formation</t>
  </si>
  <si>
    <t>Orientations et moyens pédagogiques par canal pédagogique</t>
  </si>
  <si>
    <t> TP</t>
  </si>
  <si>
    <t> 3h</t>
  </si>
  <si>
    <t> Projet</t>
  </si>
  <si>
    <t> x</t>
  </si>
  <si>
    <t>Pré-requis</t>
  </si>
  <si>
    <t xml:space="preserve">Cette matière requiert que l'étudiant ait suivi : </t>
  </si>
  <si>
    <t>Benchmark et références similaires</t>
  </si>
  <si>
    <t>Autres</t>
  </si>
  <si>
    <t xml:space="preserve">Unité d'enseignement </t>
  </si>
  <si>
    <r>
      <t> </t>
    </r>
    <r>
      <rPr>
        <b/>
        <sz val="11"/>
        <color rgb="FF0000FF"/>
        <rFont val="Calibri"/>
        <family val="2"/>
        <scheme val="minor"/>
      </rPr>
      <t xml:space="preserve">Fusion </t>
    </r>
  </si>
  <si>
    <t>Réseaux Locaux et Architecture TCP/IP </t>
  </si>
  <si>
    <t> 42</t>
  </si>
  <si>
    <t>Conception des réseaux</t>
  </si>
  <si>
    <t>Conception de l’architecture </t>
  </si>
  <si>
    <t xml:space="preserve">Identification des besoins </t>
  </si>
  <si>
    <t>Protocoles ARP et RARP</t>
  </si>
  <si>
    <t>Le protocole ICMP</t>
  </si>
  <si>
    <t> Cours</t>
  </si>
  <si>
    <t> 2</t>
  </si>
  <si>
    <t xml:space="preserve"> TD </t>
  </si>
  <si>
    <t> 1</t>
  </si>
  <si>
    <t> Autres</t>
  </si>
  <si>
    <t> Exposés</t>
  </si>
  <si>
    <t xml:space="preserve">-          Wendell Odom : CCNA Routing and Switching 200-120  Official Cert Guide Library, ciscopress, 2013 </t>
  </si>
  <si>
    <t>-          Ouglas Comer : « TCP/IP 5e Ed. Architecture,protocoles et applications », Pearson Education, 2013</t>
  </si>
  <si>
    <r>
      <t> </t>
    </r>
    <r>
      <rPr>
        <b/>
        <sz val="11"/>
        <color rgb="FF0000FF"/>
        <rFont val="Calibri"/>
        <family val="2"/>
        <scheme val="minor"/>
      </rPr>
      <t>Fusion</t>
    </r>
  </si>
  <si>
    <t>Atelier Réseaux Locaux et Architecture TCP/IP </t>
  </si>
  <si>
    <t>Conception de l'architecture</t>
  </si>
  <si>
    <t>Identification des besoins</t>
  </si>
  <si>
    <t>NB : cette architecture sera validée et corrigée par l’enseignant à la fin de la séance vu qu’elle sera utilisée dans les tps qui vont suivre.</t>
  </si>
  <si>
    <t>Base de données</t>
  </si>
  <si>
    <t>Base de données </t>
  </si>
  <si>
    <t> 21</t>
  </si>
  <si>
    <t>Bases de données, SGBD, Modèle entité/association, Modèle relationnel, Normalisation. SQL</t>
  </si>
  <si>
    <t>Analyse statistique des données </t>
  </si>
  <si>
    <t>Gestion des données </t>
  </si>
  <si>
    <t>veille technologique </t>
  </si>
  <si>
    <t> 0,5</t>
  </si>
  <si>
    <t>Cette matière requiert que l'étudiant ait suivi :</t>
  </si>
  <si>
    <t>Michelle Clouse, Eni, 2008, EAN13 : 9782746041547</t>
  </si>
  <si>
    <t>Jérôme Gabillaud, Eni, 2012, EAN13 : 9782746074149</t>
  </si>
  <si>
    <t>Atelier de Base de données </t>
  </si>
  <si>
    <r>
      <t> </t>
    </r>
    <r>
      <rPr>
        <sz val="11"/>
        <color rgb="FF000000"/>
        <rFont val="Calibri"/>
        <family val="2"/>
        <scheme val="minor"/>
      </rPr>
      <t>Maîtriser les concepts relatifs aux BD relationnelles permettant leur création et leur manipulation.</t>
    </r>
  </si>
  <si>
    <r>
      <t>-</t>
    </r>
    <r>
      <rPr>
        <sz val="7"/>
        <color rgb="FF000000"/>
        <rFont val="Times New Roman"/>
        <family val="1"/>
      </rPr>
      <t xml:space="preserve">       </t>
    </r>
    <r>
      <rPr>
        <sz val="11"/>
        <color theme="1"/>
        <rFont val="Calibri"/>
        <family val="2"/>
      </rPr>
      <t> </t>
    </r>
    <r>
      <rPr>
        <sz val="11"/>
        <color rgb="FF000000"/>
        <rFont val="Calibri"/>
        <family val="2"/>
      </rPr>
      <t xml:space="preserve">Identifier les composants structurels d'Oracle Database 11g </t>
    </r>
  </si>
  <si>
    <r>
      <t>-</t>
    </r>
    <r>
      <rPr>
        <sz val="7"/>
        <color rgb="FF000000"/>
        <rFont val="Times New Roman"/>
        <family val="1"/>
      </rPr>
      <t xml:space="preserve">        </t>
    </r>
    <r>
      <rPr>
        <sz val="11"/>
        <color rgb="FF000000"/>
        <rFont val="Calibri"/>
        <family val="2"/>
      </rPr>
      <t xml:space="preserve">Extraire des données de lignes et de colonnes à l'aide de l'instruction SELECT du langage SQL </t>
    </r>
  </si>
  <si>
    <r>
      <t>-</t>
    </r>
    <r>
      <rPr>
        <sz val="7"/>
        <color rgb="FF000000"/>
        <rFont val="Times New Roman"/>
        <family val="1"/>
      </rPr>
      <t xml:space="preserve">        </t>
    </r>
    <r>
      <rPr>
        <sz val="11"/>
        <color rgb="FF000000"/>
        <rFont val="Calibri"/>
        <family val="2"/>
      </rPr>
      <t xml:space="preserve">Créer des états de données triées et restreintes </t>
    </r>
  </si>
  <si>
    <r>
      <t>-</t>
    </r>
    <r>
      <rPr>
        <sz val="7"/>
        <color rgb="FF000000"/>
        <rFont val="Times New Roman"/>
        <family val="1"/>
      </rPr>
      <t xml:space="preserve">        </t>
    </r>
    <r>
      <rPr>
        <sz val="11"/>
        <color rgb="FF000000"/>
        <rFont val="Calibri"/>
        <family val="2"/>
      </rPr>
      <t xml:space="preserve">Utiliser des fonctions SQL pour générer et extraire des données personnalisées </t>
    </r>
  </si>
  <si>
    <r>
      <t>-</t>
    </r>
    <r>
      <rPr>
        <sz val="7"/>
        <color rgb="FF000000"/>
        <rFont val="Times New Roman"/>
        <family val="1"/>
      </rPr>
      <t xml:space="preserve">        </t>
    </r>
    <r>
      <rPr>
        <sz val="11"/>
        <color rgb="FF000000"/>
        <rFont val="Calibri"/>
        <family val="2"/>
      </rPr>
      <t xml:space="preserve">Exécuter des instructions LMD du Langage SQL afin de mettre à jour des données d'une base </t>
    </r>
  </si>
  <si>
    <r>
      <t>-</t>
    </r>
    <r>
      <rPr>
        <sz val="7"/>
        <color theme="1"/>
        <rFont val="Times New Roman"/>
        <family val="1"/>
      </rPr>
      <t xml:space="preserve">        </t>
    </r>
    <r>
      <rPr>
        <sz val="11"/>
        <color rgb="FF000000"/>
        <rFont val="Calibri"/>
        <family val="2"/>
        <scheme val="minor"/>
      </rPr>
      <t>Obtenir des métadonnées en interrogeant les vues du dictionnaire de données</t>
    </r>
  </si>
  <si>
    <r>
      <t>-</t>
    </r>
    <r>
      <rPr>
        <sz val="7"/>
        <color rgb="FF000000"/>
        <rFont val="Times New Roman"/>
        <family val="1"/>
      </rPr>
      <t xml:space="preserve">        </t>
    </r>
    <r>
      <rPr>
        <sz val="11"/>
        <color rgb="FF000000"/>
        <rFont val="Calibri"/>
        <family val="2"/>
      </rPr>
      <t xml:space="preserve">Introduction à l’environnement Oracle Database 11g </t>
    </r>
  </si>
  <si>
    <r>
      <t>-</t>
    </r>
    <r>
      <rPr>
        <sz val="7"/>
        <color rgb="FF000000"/>
        <rFont val="Times New Roman"/>
        <family val="1"/>
      </rPr>
      <t xml:space="preserve">        </t>
    </r>
    <r>
      <rPr>
        <sz val="11"/>
        <color rgb="FF000000"/>
        <rFont val="Calibri"/>
        <family val="2"/>
      </rPr>
      <t xml:space="preserve">Introduction à l’utilisation de l'environnement SQL*Plus </t>
    </r>
  </si>
  <si>
    <r>
      <t>-</t>
    </r>
    <r>
      <rPr>
        <sz val="7"/>
        <color rgb="FF000000"/>
        <rFont val="Times New Roman"/>
        <family val="1"/>
      </rPr>
      <t xml:space="preserve">        </t>
    </r>
    <r>
      <rPr>
        <sz val="11"/>
        <color rgb="FF000000"/>
        <rFont val="Calibri"/>
        <family val="2"/>
      </rPr>
      <t xml:space="preserve">Extraire des données à l'aide de l'instruction SQL SELECT </t>
    </r>
  </si>
  <si>
    <r>
      <t>-</t>
    </r>
    <r>
      <rPr>
        <sz val="7"/>
        <color rgb="FF000000"/>
        <rFont val="Times New Roman"/>
        <family val="1"/>
      </rPr>
      <t xml:space="preserve">        </t>
    </r>
    <r>
      <rPr>
        <sz val="11"/>
        <color rgb="FF000000"/>
        <rFont val="Calibri"/>
        <family val="2"/>
      </rPr>
      <t xml:space="preserve">Restreindre et trier les données </t>
    </r>
  </si>
  <si>
    <r>
      <t>-</t>
    </r>
    <r>
      <rPr>
        <sz val="7"/>
        <color rgb="FF000000"/>
        <rFont val="Times New Roman"/>
        <family val="1"/>
      </rPr>
      <t xml:space="preserve">        </t>
    </r>
    <r>
      <rPr>
        <sz val="11"/>
        <color rgb="FF000000"/>
        <rFont val="Calibri"/>
        <family val="2"/>
      </rPr>
      <t xml:space="preserve">Utiliser des fonctions monoligne afin de personnaliser la sortie </t>
    </r>
  </si>
  <si>
    <r>
      <t>-</t>
    </r>
    <r>
      <rPr>
        <sz val="7"/>
        <color rgb="FF000000"/>
        <rFont val="Times New Roman"/>
        <family val="1"/>
      </rPr>
      <t xml:space="preserve">        </t>
    </r>
    <r>
      <rPr>
        <sz val="11"/>
        <color rgb="FF000000"/>
        <rFont val="Calibri"/>
        <family val="2"/>
      </rPr>
      <t xml:space="preserve">Afficher des données agrégées à l'aide des fonctions de groupe </t>
    </r>
  </si>
  <si>
    <r>
      <t>-</t>
    </r>
    <r>
      <rPr>
        <sz val="7"/>
        <color rgb="FF000000"/>
        <rFont val="Times New Roman"/>
        <family val="1"/>
      </rPr>
      <t xml:space="preserve">        </t>
    </r>
    <r>
      <rPr>
        <sz val="11"/>
        <color rgb="FF000000"/>
        <rFont val="Calibri"/>
        <family val="2"/>
      </rPr>
      <t xml:space="preserve">Afficher des données de plusieurs tables </t>
    </r>
  </si>
  <si>
    <r>
      <t>-</t>
    </r>
    <r>
      <rPr>
        <sz val="7"/>
        <color rgb="FF000000"/>
        <rFont val="Times New Roman"/>
        <family val="1"/>
      </rPr>
      <t xml:space="preserve">        </t>
    </r>
    <r>
      <rPr>
        <sz val="11"/>
        <color rgb="FF000000"/>
        <rFont val="Calibri"/>
        <family val="2"/>
      </rPr>
      <t xml:space="preserve">Utiliser des sous-interrogations pour résoudre des interrogations </t>
    </r>
  </si>
  <si>
    <r>
      <t>-</t>
    </r>
    <r>
      <rPr>
        <sz val="7"/>
        <color rgb="FF000000"/>
        <rFont val="Times New Roman"/>
        <family val="1"/>
      </rPr>
      <t xml:space="preserve">        </t>
    </r>
    <r>
      <rPr>
        <sz val="11"/>
        <color rgb="FF000000"/>
        <rFont val="Calibri"/>
        <family val="2"/>
      </rPr>
      <t xml:space="preserve">Utiliser les opérateurs ensemblistes </t>
    </r>
  </si>
  <si>
    <r>
      <t>-</t>
    </r>
    <r>
      <rPr>
        <sz val="7"/>
        <color rgb="FF000000"/>
        <rFont val="Times New Roman"/>
        <family val="1"/>
      </rPr>
      <t xml:space="preserve">        </t>
    </r>
    <r>
      <rPr>
        <sz val="11"/>
        <color rgb="FF000000"/>
        <rFont val="Calibri"/>
        <family val="2"/>
      </rPr>
      <t xml:space="preserve">Manipuler les données </t>
    </r>
  </si>
  <si>
    <r>
      <t>-</t>
    </r>
    <r>
      <rPr>
        <sz val="7"/>
        <color rgb="FF000000"/>
        <rFont val="Times New Roman"/>
        <family val="1"/>
      </rPr>
      <t xml:space="preserve">        </t>
    </r>
    <r>
      <rPr>
        <sz val="11"/>
        <color rgb="FF000000"/>
        <rFont val="Calibri"/>
        <family val="2"/>
      </rPr>
      <t xml:space="preserve">Utiliser des instructions LDD pour créer et gérer des tables </t>
    </r>
  </si>
  <si>
    <r>
      <t>-</t>
    </r>
    <r>
      <rPr>
        <sz val="7"/>
        <color rgb="FF000000"/>
        <rFont val="Times New Roman"/>
        <family val="1"/>
      </rPr>
      <t xml:space="preserve">        </t>
    </r>
    <r>
      <rPr>
        <sz val="11"/>
        <color rgb="FF000000"/>
        <rFont val="Calibri"/>
        <family val="2"/>
      </rPr>
      <t xml:space="preserve">Créer d'autres objets de schéma </t>
    </r>
  </si>
  <si>
    <r>
      <t>-</t>
    </r>
    <r>
      <rPr>
        <sz val="7"/>
        <color rgb="FF000000"/>
        <rFont val="Times New Roman"/>
        <family val="1"/>
      </rPr>
      <t xml:space="preserve">        </t>
    </r>
    <r>
      <rPr>
        <sz val="11"/>
        <color rgb="FF000000"/>
        <rFont val="Calibri"/>
        <family val="2"/>
      </rPr>
      <t xml:space="preserve">Gérer les objets du schéma </t>
    </r>
  </si>
  <si>
    <r>
      <t>-</t>
    </r>
    <r>
      <rPr>
        <sz val="7"/>
        <color rgb="FF000000"/>
        <rFont val="Times New Roman"/>
        <family val="1"/>
      </rPr>
      <t xml:space="preserve">        </t>
    </r>
    <r>
      <rPr>
        <sz val="11"/>
        <color rgb="FF000000"/>
        <rFont val="Calibri"/>
        <family val="2"/>
      </rPr>
      <t>Gérer les objets à l'aide de vues du dictionnaire de données</t>
    </r>
  </si>
  <si>
    <t>Conception et Programmation Objet</t>
  </si>
  <si>
    <t>Programmation Objet </t>
  </si>
  <si>
    <t>Déploiement de la solution</t>
  </si>
  <si>
    <t>Atelier Programmation Objet </t>
  </si>
  <si>
    <t>tests </t>
  </si>
  <si>
    <t>Un modèle objet comportant une seule classe, est présenté à l’étudiant. Cet atelier sera une occasion pour l’étudiant de découvrir l’environnement de développement choisi, les fichiers source (extension,…) et les étapes de construction d’un programme.</t>
  </si>
  <si>
    <t>Manipulation des données de base, les dates, les chaines, les tableaux et les structures de données.</t>
  </si>
  <si>
    <t>Atelier 3 : Encapsulation</t>
  </si>
  <si>
    <t>Un modèle objet comportant une seule classe avec indication sur la visibilité (publique ou privé) des attributs et des méthodes, est présenté à l’étudiant, il doit implémenter la classe et la tester.</t>
  </si>
  <si>
    <t>L’étudiant définira pour la classe au moins deux constructeurs et un destructeur. Dans cet atelier, il faut que  l’étudiant observe l’appel implicite des constructeurs et du destructeur.</t>
  </si>
  <si>
    <t>- Atelier 5 : Agrégation et association</t>
  </si>
  <si>
    <t>Un modèle objet comportant plusieurs classes (au moins 3) avec des relations d’agrégation et d’association, est présenté à l’étudiant, il doit implémenter le programme correspondant.</t>
  </si>
  <si>
    <t>Un modèle objet comportant une classe avec au moins deux classes filles de la première, est présenté Dans cet atelier l’étudiant va faire un appel explicite des constructeurs.</t>
  </si>
  <si>
    <t>Fusion  </t>
  </si>
  <si>
    <t>Sciences et Technologie </t>
  </si>
  <si>
    <t>Technologies de l'Informatique </t>
  </si>
  <si>
    <t>Réseaux et Services Internet (RSI) </t>
  </si>
  <si>
    <r>
      <t>Semestre 4 </t>
    </r>
    <r>
      <rPr>
        <sz val="12"/>
        <color theme="1"/>
        <rFont val="Calibri"/>
        <family val="2"/>
        <scheme val="minor"/>
      </rPr>
      <t> </t>
    </r>
  </si>
  <si>
    <t>TP</t>
  </si>
  <si>
    <t xml:space="preserve">Nétographie </t>
  </si>
  <si>
    <t xml:space="preserve">-          WEBER, V. « NETWORK LAB », blog.2013. En ligne, Disponible sur:https://www.networklab.fr. </t>
  </si>
  <si>
    <t>-          « CCNA R&amp;S, MODULE2: ROUTING AND SWITCHING AND SWITCHING ESSENTIALS ». Disponible sur: https://www.netacad.com/</t>
  </si>
  <si>
    <t>« CCNA R&amp;S, MODULE3: SCALLING CALLING NETWORKS NETWORKS ». Disponible sur : https://www.netacad.com/</t>
  </si>
  <si>
    <r>
      <t>Sciences et Technologie</t>
    </r>
    <r>
      <rPr>
        <sz val="12"/>
        <color theme="1"/>
        <rFont val="Calibri"/>
        <family val="2"/>
        <scheme val="minor"/>
      </rPr>
      <t> </t>
    </r>
  </si>
  <si>
    <r>
      <t>Technologies de l'Informatique</t>
    </r>
    <r>
      <rPr>
        <sz val="12"/>
        <color theme="1"/>
        <rFont val="Calibri"/>
        <family val="2"/>
        <scheme val="minor"/>
      </rPr>
      <t> </t>
    </r>
  </si>
  <si>
    <r>
      <t>Réseaux et Services Internet (RSI)</t>
    </r>
    <r>
      <rPr>
        <sz val="12"/>
        <color theme="1"/>
        <rFont val="Calibri"/>
        <family val="2"/>
        <scheme val="minor"/>
      </rPr>
      <t> </t>
    </r>
  </si>
  <si>
    <t>Le but de ce cours est de fournir la maîtrise et les compétences nécessaires pour interconnecter un ensemble d’équipements en utilisant le protocole IPv6.</t>
  </si>
  <si>
    <t>Fusion </t>
  </si>
  <si>
    <r>
      <t>Semestre 4 </t>
    </r>
    <r>
      <rPr>
        <sz val="10"/>
        <color theme="1"/>
        <rFont val="Calibri"/>
        <family val="2"/>
        <scheme val="minor"/>
      </rPr>
      <t> </t>
    </r>
  </si>
  <si>
    <t>Atelier interconnexion des réseaux</t>
  </si>
  <si>
    <t xml:space="preserve">A l’issue de cet atelier, l’étudiant doit savoir manipuler un routeur, accède aux informations distantes et achemine le trafic. </t>
  </si>
  <si>
    <t>- Savoir manipuler et sécuriser un routeur.</t>
  </si>
  <si>
    <t xml:space="preserve">- Assurer l’interconnexion des différents sites de l’entreprise en utilisant les protocoles de routages. </t>
  </si>
  <si>
    <t xml:space="preserve">-Pouvoir lire et comprendre le contenu des tables de routage.  </t>
  </si>
  <si>
    <t>-Pouvoir déployer une architecture intranet d’une société et assurer le trouble shooting de l’infrastructure. --Différencier entre les protocoles de routage d’état de liaison et les protocoles de routage à vecteur de distance.</t>
  </si>
  <si>
    <t>- Savoir configurer et mettre à jour des routes statiques IPv4 et IPv6.</t>
  </si>
  <si>
    <t>- Savoir configurer et diagnostiquer un routage dynamique IPv4 et IPv6.</t>
  </si>
  <si>
    <t>- Assurer la redistribution des routes entre les différents protocoles de routage.</t>
  </si>
  <si>
    <t> 1,5</t>
  </si>
  <si>
    <t>-          « CCNA R&amp;S, MODULE3: SCALLING CALLING NETWORKS NETWORKS ». Disponible sur : https://www.netacad.com/</t>
  </si>
  <si>
    <t>Administration des Services réseau</t>
  </si>
  <si>
    <t>Semestre 4  </t>
  </si>
  <si>
    <t>Administration des services RESEAUX</t>
  </si>
  <si>
    <t>A l’issue de ce cours, l’étudiant doit acquérir les compétences nécessaires dans le domaine d’administration des services réseaux d’infrastructure : DHCP, DNS, LDAP ainsi que les services internet : Courrier Électronique, Serveur Web, Ftp, NFS, Samba et comprendre le principe de gestion des réseaux avec le protocole SNMP.</t>
  </si>
  <si>
    <t>- Le service DHCP : Présentation et fonctionnement du protocole DHCP, attribution des adresses IP. Mise en œuvre de DHCP (Installation et configuration du serveur, Configuration du client).</t>
  </si>
  <si>
    <t>Agent relai DHCP.</t>
  </si>
  <si>
    <t>- Le système DNS : Présentation, principe de résolution des noms, notion de zone, les types d’enregistrements (RR), configuration des serveurs DNS primaire et secondaire,…</t>
  </si>
  <si>
    <t>- Le service NFS : exporter/monter des systèmes de fichiers.</t>
  </si>
  <si>
    <t>- Le service FTP : Présenter les deux modes PORT/ACTIV et les deux canaux contrôle/données. Mise en œuvre d’un serveur FTP (vsFTPd, Pure-FTPd, wu-FTPd et ProFTPd…).</t>
  </si>
  <si>
    <t>- Le service Samba : Présentation et fonctionnement, configuration de l’authentification, du partage et des autorisations d’accès. Accès à un partage depuis les clients.</t>
  </si>
  <si>
    <t>- Service Web (protocole http, mise en place d’un serveur Web, contrôle de la charge du serveur, mise en place d’un système d’authentification, options d’un serveur Web, serveurs virtuels, serveurs intermédiaires, Apache, integration de PHP, Mysql)</t>
  </si>
  <si>
    <t>- Types de clusters HA/LB, configurations possibles Actif Passif, Heartbeat, Quorum,…</t>
  </si>
  <si>
    <t>- Le protocole SNMP : présentation, principe de fonctionnement (MIB, agents, NMS,…), les messages SNMP,…</t>
  </si>
  <si>
    <t>« LINUX Préparation à la certification LPIC-3 (examen LPI 300) - 2ième édition » Issam MEJRI, 2015 Editions ENI</t>
  </si>
  <si>
    <r>
      <t>Sciences et Technologie</t>
    </r>
    <r>
      <rPr>
        <sz val="10"/>
        <color theme="1"/>
        <rFont val="Calibri"/>
        <family val="2"/>
        <scheme val="minor"/>
      </rPr>
      <t> </t>
    </r>
  </si>
  <si>
    <r>
      <t>Technologies de l'Informatique</t>
    </r>
    <r>
      <rPr>
        <sz val="10"/>
        <color theme="1"/>
        <rFont val="Calibri"/>
        <family val="2"/>
        <scheme val="minor"/>
      </rPr>
      <t> </t>
    </r>
  </si>
  <si>
    <r>
      <t>Réseaux et Services Internet (RSI)</t>
    </r>
    <r>
      <rPr>
        <sz val="10"/>
        <color theme="1"/>
        <rFont val="Calibri"/>
        <family val="2"/>
        <scheme val="minor"/>
      </rPr>
      <t> </t>
    </r>
  </si>
  <si>
    <t>Acquérir les compétences pratiques nécessaires dans le domaine d’administration des services réseaux : DHCP, DNS, LDAP. Et tester la  gestion des réseaux avec le protocole SNMP.</t>
  </si>
  <si>
    <t>Introduction Virtualisation et Cloud</t>
  </si>
  <si>
    <t>Ce cours vise à introduire les concepts de virtualisation et de Cloud et faire acquérir à l’apprenant les différentes notions en relation. Ainsi qu'a étudier au moins une solution cloud computing.</t>
  </si>
  <si>
    <t>Savoir le besoin, les avantages et les inconvénients de la virtualisation et du cloud computing.</t>
  </si>
  <si>
    <t>- Maitriser les termes de virtualisation et de cloud computing.</t>
  </si>
  <si>
    <t>- Comprendre les différences entre les types de virtualisation, entre les modèles de service du cloud et les type de déploiements du cloud.</t>
  </si>
  <si>
    <t>- Présenter une architecture type du cloud.</t>
  </si>
  <si>
    <t>·       http://docs.openstack.org/</t>
  </si>
  <si>
    <t>ATELIER VIRTUALISATION ET CLOUD</t>
  </si>
  <si>
    <t>Cet atelier vise à faire appliquer par l'apprenant les notions acquises dans le cours. Il lui permet de manipuler des outils de virtualisation et de cloud computing.</t>
  </si>
  <si>
    <t xml:space="preserve">-     TP5 - Manipulation d’un environnement cloud : openstack (http://trystack.org/), </t>
  </si>
  <si>
    <t>fusion </t>
  </si>
  <si>
    <t>Mini Projet</t>
  </si>
  <si>
    <t>Mettre en pratique les connaissances théoriques pour la mise en place d'une solution IaaS multi-nœuds, pour l'approvisionnement. L'étudiant est amené à concevoir sa propre solution à partir d'un cahier des charges présenté.</t>
  </si>
  <si>
    <t>Développer les compétences liées au travail collaboratif et au savoir-faire communicatif autour du projet.</t>
  </si>
  <si>
    <t>- Rédiger un cahier des charges techniques à partir d'une situation de besoins.</t>
  </si>
  <si>
    <t>- Planifier et déployer les services d'un cloud privé de type IaaS.</t>
  </si>
  <si>
    <t>- Configurer des services réseaux sur un système cloud IaaS.</t>
  </si>
  <si>
    <t>- Utiliser et développer des scripts pour administrer/automatiser des services (système).</t>
  </si>
  <si>
    <t>- Résoudre des problèmes lié à la configuration et à l'administration système et réseau (Dépannage système et réseau)</t>
  </si>
  <si>
    <t>- Hyperviseur de virtualisation : KVM, XEN, VMWARE ESXi, HYPER-V, ORACLE VM</t>
  </si>
  <si>
    <t>- Emulateur de MV: QEMU, VirtualBox, VirtualPC, VMWARE Workstation</t>
  </si>
  <si>
    <t>- Système : Linux, windows server</t>
  </si>
  <si>
    <t>- Isolateur de virtualisation : LXC</t>
  </si>
  <si>
    <t>- Système Cloud : OpenStack, OpenNebula, vCloud de VMWare</t>
  </si>
  <si>
    <t>- Base de données : Mysql, PostgreSql, MongoDB</t>
  </si>
  <si>
    <t>- Réseaux : SDN, Iptables, OpenVswitch, VxLan, ML2, LinuxBridge, Cisco Nexus, Juniper opencontrail</t>
  </si>
  <si>
    <t>La solution doit prévoir la configuration des capacités de calculs ou de stockages, accessibles depuis un pool d'adresses publiques (zone DMZ) ou privées (réseaux local à adressage privé).</t>
  </si>
  <si>
    <t>Sont à prévoir également des mécanismes d'interconnexion via des équipements virtuels (routeur, switch, …), implémentant des processus de sécurité (selon les besoins du cahier des charges).</t>
  </si>
  <si>
    <t>Mise en place d’un mécanisme de haute disponibilité et de load-balancing au niveau des services critiques.</t>
  </si>
  <si>
    <t>Développement de scripts, d'approvisionnement automatique.</t>
  </si>
  <si>
    <t>Chronogramme :</t>
  </si>
  <si>
    <t>Evaluation</t>
  </si>
  <si>
    <t>Moyenne PI = Note Individuelle *coef1 + NoteEquipe *coef2</t>
  </si>
  <si>
    <t>Administration des bases de données</t>
  </si>
  <si>
    <t xml:space="preserve">A l’issue de ce cours, l’étudiant doit maîtriser la gestion, l'optimisation et l'administration des SGBD relationnels. </t>
  </si>
  <si>
    <t>Ce cours utilise et poursuit les apprentissages débutés au cours « les bases de données » du semestre 3 qui introduit le langage SQL permettant l'exploitation des bases de données.</t>
  </si>
  <si>
    <t>Ce cours vise à développer les compétences propres à la gestion de base de données d’Oracle chez l’étudiant.</t>
  </si>
  <si>
    <t>L’étudiant devra entre autre installer un serveur, utiliser les outils de gestion de base de données, créer et gérer des usagers, construire une stratégie de protection des données (sécurité et récupération) et gérer la performance de bases de données.</t>
  </si>
  <si>
    <t>Au terme de ce cours l'étudiant devra être capable d’administrer une base de données.</t>
  </si>
  <si>
    <t>Il sera capable de :</t>
  </si>
  <si>
    <t>http://www.oracle.com/pls/db112/homepage .</t>
  </si>
  <si>
    <t>http://docs.oracle.com/cd/E11882_01/server.112/e10897.pdf.</t>
  </si>
  <si>
    <t>http://docs.oracle.com/cd/E11882_01/server.112/e25494.pdf</t>
  </si>
  <si>
    <t> Fusion</t>
  </si>
  <si>
    <t>A l’issue de ce cours, l’étudiant doit maîtriser la gestion, l'optimisation et l'administration des SGBD relationnels.</t>
  </si>
  <si>
    <t>TP2 : Configuration et contrôle</t>
  </si>
  <si>
    <t xml:space="preserve">Gestion de l'instance. </t>
  </si>
  <si>
    <t>Identification de l'administrateur.</t>
  </si>
  <si>
    <t>Les vues dynamiques.</t>
  </si>
  <si>
    <t>Les fichiers trace et les fichiers d'alertes.</t>
  </si>
  <si>
    <t>Gestion des bases de données.</t>
  </si>
  <si>
    <t>Configuration réseau.</t>
  </si>
  <si>
    <t xml:space="preserve">Gestion du fichier de contrôle. </t>
  </si>
  <si>
    <t xml:space="preserve">Gestion des fichiers de journalisation. </t>
  </si>
  <si>
    <t>Rôle.</t>
  </si>
  <si>
    <t>TP3 : Gestion des tablespaces et du stockage:</t>
  </si>
  <si>
    <t>Les espaces de disque logiques (tablespaces).</t>
  </si>
  <si>
    <t>Création et modification de tablespace.</t>
  </si>
  <si>
    <t>Structures de la base de données et de stockage.</t>
  </si>
  <si>
    <t>Brouad F. et Soutou C., SQL (cours et exercices corrigés), Coll. Synthex, Pearson Education, 2005</t>
  </si>
  <si>
    <t>http://docs.oracle.com/cd/E11882_01/server.112/e25494.pdf.</t>
  </si>
  <si>
    <r>
      <t>Semestre 5 </t>
    </r>
    <r>
      <rPr>
        <sz val="10"/>
        <color theme="1"/>
        <rFont val="Calibri"/>
        <family val="2"/>
        <scheme val="minor"/>
      </rPr>
      <t> </t>
    </r>
  </si>
  <si>
    <t>Introduction to IoT course provides an overview of the concepts and challenges of the transformational IoT economy. The course discusses the Internet and its evolution to the interconnection of people, processes, data, and things that forms the Internet of Thing.</t>
  </si>
  <si>
    <t>·       Samuel Greengard : The Internet of Things, ISBN-13: 978-0262527736</t>
  </si>
  <si>
    <t>Morgan Kaufmann, “Internet of Things: Principles and Paradigms”, ISBN-13: 978-0128053959</t>
  </si>
  <si>
    <t>A l’issue de ce cours, l’étudiant doit savoir décrire les concepts et les technologies de base liés aux réseaux étendus.</t>
  </si>
  <si>
    <t xml:space="preserve">François GRELIER : « CISCO - CERTIFICATION CCNA LES PRINCIPALES COMMANDES ES PRINCIPALES COMMANDES DE RESEAU ETENDU (WAN) - PREPARATION A L'EXAMEN CCNA 4 », Edition Eni. </t>
  </si>
  <si>
    <t xml:space="preserve">John Rullan, “WAN TECHNOLOGIES, CCNA 4 LABS AND STUDY GUIDE”, Cisco press </t>
  </si>
  <si>
    <t xml:space="preserve">A.Tanenbaum : "COMPUTER NETWORKS", 4TH ED., </t>
  </si>
  <si>
    <t xml:space="preserve">PRENTICE-HALL, "Les RÉSEAUX WAN", 7ème edition, Pearson Education, 2012. </t>
  </si>
  <si>
    <t xml:space="preserve">L.L. Peterson, B.S. Davie: "COMPUTER NETWORKS", 4th edition, Morgan Kaufmann, 2007. </t>
  </si>
  <si>
    <t>Luc De Ghein : « MPLS Fundamentals »,  Cisco Press 2009, ISBN-10: 1-58705-197-4</t>
  </si>
  <si>
    <t>Netographie</t>
  </si>
  <si>
    <t>_Blog sur les technologies des réseaux. Disponible sur le Site://http://cisco.goffinet.org/
_Blog sur les technologies Cisco de routage, commutation, sécurité IP et services internet évolutifs, Disponible sur le lien : aymenbouzid.blogspot.com</t>
  </si>
  <si>
    <t>ATELIER TECHNOLOGIES WAN</t>
  </si>
  <si>
    <t>A l’issue de cet atelier, l’étudiant doit être capable de choisir et configurer un accès WAN.</t>
  </si>
  <si>
    <t>- Savoir définir un cahier de charge pour solution d’interconnexion de réseaux distant.</t>
  </si>
  <si>
    <t>- Découvrir les technologies WAN existantes.</t>
  </si>
  <si>
    <t>- Savoir configurer NAT statique et dynamique.</t>
  </si>
  <si>
    <t>- Savoir configurer et diagnostiquer une liaison série.</t>
  </si>
  <si>
    <t>- Savoir configurer et diagnostiquer l’accès à un réseau Frame Relay.</t>
  </si>
  <si>
    <t>Savoir configurer et diagnostiquer un backbone MPLS</t>
  </si>
  <si>
    <t>- Savoir configurer un VPN site à site et accès distant</t>
  </si>
  <si>
    <t>-          « CCNA R&amp;S, Module 4: Connecting Networks ». Disponible sur la plateforme de l’académie Cisco:https://www.netacad.com/</t>
  </si>
  <si>
    <t>WEBER, V.«Network LAB», blog.2013.En ligne, Disponible sur: https://www.networklab.fr.</t>
  </si>
  <si>
    <t>SECURITE SYSTEMES et  RESEAUX</t>
  </si>
  <si>
    <t>A l’issue de ce cours, l’étudiant arrive à acquérir les connaissances de base en sécurité informatique et les concepts de sécurisation des infrastructures réseaux.</t>
  </si>
  <si>
    <t>- Se familiariser avec le vocabulaire de la sécurité.</t>
  </si>
  <si>
    <t>- Savoir évaluer le risque,</t>
  </si>
  <si>
    <t>- Comprendre les concepts de base utilisés en sécurité des réseaux.</t>
  </si>
  <si>
    <r>
      <t> </t>
    </r>
    <r>
      <rPr>
        <sz val="11"/>
        <color theme="1"/>
        <rFont val="Calibri"/>
        <family val="2"/>
        <scheme val="minor"/>
      </rPr>
      <t>Confidentialité, Disponibilité, Intégrité, Politique, Menace, Risque, Vulnérabilité, Normes, Chiffrement, Authentification, Autorisation, Traçabilité, firewall, IDS/IPS, GRE, IPSEC, …</t>
    </r>
  </si>
  <si>
    <t>Projet</t>
  </si>
  <si>
    <r>
      <t xml:space="preserve">Cette matière requiert que l'étudiant ait suivi </t>
    </r>
    <r>
      <rPr>
        <sz val="11"/>
        <color theme="1"/>
        <rFont val="Calibri"/>
        <family val="2"/>
        <scheme val="minor"/>
      </rPr>
      <t>UE </t>
    </r>
    <r>
      <rPr>
        <sz val="12"/>
        <color theme="1"/>
        <rFont val="Calibri"/>
        <family val="2"/>
        <scheme val="minor"/>
      </rPr>
      <t>Interconnexion des Réseaux I et UE : Administration des Services réseau</t>
    </r>
  </si>
  <si>
    <t>-  http://csrc.nist.gov/publications/PubsSPs.html</t>
  </si>
  <si>
    <t>-  https://www.owasp.org</t>
  </si>
  <si>
    <t>Atelier SECURITE SYSTEMES et  RESEAUX</t>
  </si>
  <si>
    <t>A l’issue de ce cours, l’étudiant arrive à comprendre les activités et les défis de la gestion d'un Datacenter et la relation entre le Datacenter et de l'IT pour améliorer les performances et la qualité.</t>
  </si>
  <si>
    <t>- Comprendre les activités et les défis de la gestion d'un Datacenter.</t>
  </si>
  <si>
    <t>- Savoir pourquoi la relation entre le Datacenter et l'IT est importante</t>
  </si>
  <si>
    <t>- Être capable de décrire la valeur des services qui sont inclut dans le Datacenter et l'IT.</t>
  </si>
  <si>
    <t>- Comprendre comment une meilleure communication entre le Datacenter et l'IT va améliorer la réussite et la qualité du Datacenter et l'IT.</t>
  </si>
  <si>
    <t>- Être en mesure d'établir une relation de travail solide entre le Datacenter et l'IT</t>
  </si>
  <si>
    <t>- Comprendre comment mettre à profit une bonne relation entre le Datacenter et de l'IT pour améliorer les</t>
  </si>
  <si>
    <t xml:space="preserve">performances et la qualité </t>
  </si>
  <si>
    <t>Cloud Computing avance</t>
  </si>
  <si>
    <t>Atelier cloud computing (PaaS, SaaS)</t>
  </si>
  <si>
    <t>À travers ce cours, l’étudiant va acquérir des connaissances techniques avancées afin d’exploiter un cloud IaaS en vue de déployer des plateformes prêtes à l’emploi pour déployer des services cloud.</t>
  </si>
  <si>
    <t>-   https://kubernetes.io/docs/tutorials/kubernetes-basics/</t>
  </si>
  <si>
    <t>-  https://pivotal.io/platform/pcf-tutorials/getting-started-with-pivotal-cloud-foundry-dev/introduction</t>
  </si>
  <si>
    <t>projet d’integration</t>
  </si>
  <si>
    <t>atelier conception et Gestion de projets</t>
  </si>
  <si>
    <t>A l’issue de ce cours, l’étudiant sera en mesure d’organisation d'un projet en suivant une démarche méthodologique pour la planification et le pilotage du projet.</t>
  </si>
  <si>
    <t>Au terme du cours, les étudiants seront en mesure de :</t>
  </si>
  <si>
    <t>Saisir et définir les liens de dépendance entre les tâches d'un projet</t>
  </si>
  <si>
    <t>Identifier le chemin critique du planning et l'améliorer</t>
  </si>
  <si>
    <t>Affecter les ressources aux tâches du projet et optimiser en lissant ou nivelant</t>
  </si>
  <si>
    <t>Déclarer l'avancement du projet et construire les indicateurs d'avancement du projet</t>
  </si>
  <si>
    <t>Mise en place du planning (tâches, déplacement, modification, suppression, PERT)</t>
  </si>
  <si>
    <t>Affectation des ressources</t>
  </si>
  <si>
    <t>Mise en place du budget</t>
  </si>
  <si>
    <t>Suivi du projet (Les indicateurs : la référence, le consommé, le nécessaire pour finir, l'avancement, l'estimation à fin)</t>
  </si>
  <si>
    <t>Exploitation du planning</t>
  </si>
  <si>
    <t>Projets d’intégration infrastructure réseaux et système</t>
  </si>
  <si>
    <t>A l’issue de ce projet, l’étudiant doit acquérir des compétences techniques (savoir faire technique, la mise en place et l’intégration de plusieurs produits et technologies) et des compétences non techniques (savoir travailler en groupe, savoir présenter son travail, apprendre à avoir de l’autonomie…)</t>
  </si>
  <si>
    <t>- Savoir extraire les besoins d’un cahier des charges technique.</t>
  </si>
  <si>
    <t>- Savoir Concevoir une maquette d’une architecture réseaux distribuée</t>
  </si>
  <si>
    <t>- Savoir  travailler en groupe et respecter les délais de livraison.</t>
  </si>
  <si>
    <t>- Savoir présenter son travail (présentations, communications, rédaction….)</t>
  </si>
  <si>
    <t>- Avoir de l’autonomie et savoir faire le dépannage</t>
  </si>
  <si>
    <t>- Se confronter à des problèmes de configuration et de mise en œuvre (Dépannage réseau)</t>
  </si>
  <si>
    <t>Les sites sont interconnectés à l’opérateur à travers deux technologies WAN différentes.</t>
  </si>
  <si>
    <t>Les différentes stations des étudiants sont interconnectées à travers un commutateur réel afin de mettre en œuvre la maquette complète du projet.</t>
  </si>
  <si>
    <t>Mise en place d’un mécanisme de haute disponibilité et de load balancing au niveau des sites (redondance de lien et de ressources).</t>
  </si>
  <si>
    <t>Mise en place d’un mécanisme ou service de haute disponibilité pour les services.</t>
  </si>
  <si>
    <t>Mise en place d’un système d’authentification des machines.</t>
  </si>
  <si>
    <t>Fondement des réseaux</t>
  </si>
  <si>
    <t xml:space="preserve">Administration systèmes </t>
  </si>
  <si>
    <t xml:space="preserve">Architecture et systèmes </t>
  </si>
  <si>
    <t>Cette matière requiert que l'étudiant ait suivi </t>
  </si>
  <si>
    <t xml:space="preserve">Architecture et Systèmes </t>
  </si>
  <si>
    <t xml:space="preserve">Algorithmique et Structure de données </t>
  </si>
  <si>
    <t>Programmation et Structures dynamiques</t>
  </si>
  <si>
    <t>Algorithmique et Structure de données</t>
  </si>
  <si>
    <t>Administration systèmes</t>
  </si>
  <si>
    <t xml:space="preserve">Fondement des réseaux </t>
  </si>
  <si>
    <t xml:space="preserve">Cette matière requiert que l'étudiant ait suivi </t>
  </si>
  <si>
    <t>Fondements des réseaux</t>
  </si>
  <si>
    <t xml:space="preserve">Réseaux d'entreprise et internet </t>
  </si>
  <si>
    <r>
      <t xml:space="preserve">Cette matière requiert que l'étudiant ait suivi </t>
    </r>
    <r>
      <rPr>
        <sz val="11"/>
        <color theme="1"/>
        <rFont val="Calibri"/>
        <family val="2"/>
      </rPr>
      <t/>
    </r>
  </si>
  <si>
    <t>Cette matière requiert que l'étudiant ait suivi</t>
  </si>
  <si>
    <t>Administration Systèmes</t>
  </si>
  <si>
    <t>Bases de données</t>
  </si>
  <si>
    <t>Introduction au cloud computing et virtualisation.</t>
  </si>
  <si>
    <t>Administration système.</t>
  </si>
  <si>
    <t xml:space="preserve">Réseaux d'entreprises et internet </t>
  </si>
  <si>
    <t>Réseaux locaux et architecture TCP/IP</t>
  </si>
  <si>
    <t>Interconnexion des réseaux</t>
  </si>
  <si>
    <t xml:space="preserve">Réseaux d’entreprise et internet </t>
  </si>
  <si>
    <t xml:space="preserve">Interconnexion des Réseaux </t>
  </si>
  <si>
    <t xml:space="preserve">Protocole de routage </t>
  </si>
  <si>
    <t xml:space="preserve">Administration système </t>
  </si>
  <si>
    <t xml:space="preserve">Introduction au Cloud Computing et Virtualisation  </t>
  </si>
  <si>
    <r>
      <t xml:space="preserve">Cette matière requiert que l'étudiant ait suivi </t>
    </r>
    <r>
      <rPr>
        <b/>
        <sz val="11"/>
        <color theme="1"/>
        <rFont val="Calibri"/>
        <family val="2"/>
        <scheme val="minor"/>
      </rPr>
      <t/>
    </r>
  </si>
  <si>
    <t xml:space="preserve">Administration des services réseaux </t>
  </si>
  <si>
    <t xml:space="preserve">Technologies des réseaux étendus </t>
  </si>
  <si>
    <t>interconnexion des réseaux</t>
  </si>
  <si>
    <t xml:space="preserve">Technologie réseaux </t>
  </si>
  <si>
    <t>Protocole de routage</t>
  </si>
  <si>
    <t xml:space="preserve">Les métiers sont classés par ordre de priorité </t>
  </si>
  <si>
    <t>La première référence pour la définition des métiers du parcours est le référentiel tunisien REM.REC, disponible sur le lien (digitaltalent.tn)</t>
  </si>
  <si>
    <t xml:space="preserve">NB : </t>
  </si>
  <si>
    <r>
      <t> </t>
    </r>
    <r>
      <rPr>
        <sz val="11"/>
        <rFont val="Calibri"/>
        <family val="2"/>
        <scheme val="minor"/>
      </rPr>
      <t>A l’issue de cet atelier, l’étudiant  doit avoir les compétences pratiques dans l’administration des systèmes d’exploitation.</t>
    </r>
  </si>
  <si>
    <t>Gérer les systèmes de partage dans un réseau</t>
  </si>
  <si>
    <t>Mettre en œuvre un système d’exploitation  multi-utilisateurs</t>
  </si>
  <si>
    <t>Avoir une vision complète de la structure des systèmes multi-tâches</t>
  </si>
  <si>
    <t>Connaître les tâches de l’administrateur d’un système multi-utilisateurs</t>
  </si>
  <si>
    <r>
      <t> </t>
    </r>
    <r>
      <rPr>
        <sz val="11"/>
        <rFont val="Calibri"/>
        <family val="2"/>
        <scheme val="minor"/>
      </rPr>
      <t>Compte utilisateur, autorisation d’accès, sauvegarde, restauration, impression, connexion à distance, Samba, NFS,…</t>
    </r>
  </si>
  <si>
    <r>
      <t>-</t>
    </r>
    <r>
      <rPr>
        <sz val="7"/>
        <rFont val="Times New Roman"/>
        <family val="1"/>
      </rPr>
      <t xml:space="preserve">      </t>
    </r>
    <r>
      <rPr>
        <sz val="12"/>
        <rFont val="Calibri"/>
        <family val="2"/>
      </rPr>
      <t> </t>
    </r>
    <r>
      <rPr>
        <b/>
        <sz val="11"/>
        <rFont val="Calibri"/>
        <family val="2"/>
      </rPr>
      <t>TP1</t>
    </r>
    <r>
      <rPr>
        <sz val="11"/>
        <rFont val="Calibri"/>
        <family val="2"/>
      </rPr>
      <t> : Installation et configuration d’un système d’exploitation serveur, Occupation du disque, Configuration réseau, paramètres temps/langue/localisation, chargeur d'amorçage, ressources système, gestion des connexions à distance : telnet, SSH, RDP et VNC.</t>
    </r>
  </si>
  <si>
    <r>
      <t>-</t>
    </r>
    <r>
      <rPr>
        <sz val="7"/>
        <rFont val="Times New Roman"/>
        <family val="1"/>
      </rPr>
      <t xml:space="preserve">      </t>
    </r>
    <r>
      <rPr>
        <b/>
        <sz val="11"/>
        <rFont val="Calibri"/>
        <family val="2"/>
      </rPr>
      <t>TP2 </t>
    </r>
    <r>
      <rPr>
        <sz val="11"/>
        <rFont val="Calibri"/>
        <family val="2"/>
      </rPr>
      <t>: Configuration du chargeur de démarrage (GRUB), changer l’ordre de démarrage, sécuriser l’accès au mode CLI et explorer ce dernier, changer l’image de fond (splashimage), réinstaller GRUB. Gestion des profils de démarrage (runlevel/target), gestion de l’activation, du démarrage et de l’arrêt des services.</t>
    </r>
  </si>
  <si>
    <r>
      <t>-</t>
    </r>
    <r>
      <rPr>
        <sz val="7"/>
        <rFont val="Times New Roman"/>
        <family val="1"/>
      </rPr>
      <t xml:space="preserve">      </t>
    </r>
    <r>
      <rPr>
        <b/>
        <sz val="11"/>
        <rFont val="Calibri"/>
        <family val="2"/>
      </rPr>
      <t>TP3</t>
    </r>
    <r>
      <rPr>
        <sz val="11"/>
        <rFont val="Calibri"/>
        <family val="2"/>
      </rPr>
      <t> : Installation des applications sources/paquetage, Installation depuis les dépôts de fichiers, Maintenance et mise à jour du système d'exploitation, application des patchs de sécurité. Création dun dépôt local d’applications (Ubuntu : debarchiver, reprepo, … Centos : createrepo, Windows : WSUS, WAPT, …)</t>
    </r>
  </si>
  <si>
    <r>
      <t>-</t>
    </r>
    <r>
      <rPr>
        <sz val="7"/>
        <rFont val="Times New Roman"/>
        <family val="1"/>
      </rPr>
      <t xml:space="preserve">      </t>
    </r>
    <r>
      <rPr>
        <b/>
        <sz val="11"/>
        <rFont val="Calibri"/>
        <family val="2"/>
      </rPr>
      <t>TP4</t>
    </r>
    <r>
      <rPr>
        <sz val="11"/>
        <rFont val="Calibri"/>
        <family val="2"/>
      </rPr>
      <t> : Gestion des comptes utilisateurs, groupes et les droits d’accès.</t>
    </r>
  </si>
  <si>
    <r>
      <t>-</t>
    </r>
    <r>
      <rPr>
        <sz val="7"/>
        <rFont val="Times New Roman"/>
        <family val="1"/>
      </rPr>
      <t xml:space="preserve">      </t>
    </r>
    <r>
      <rPr>
        <b/>
        <sz val="11"/>
        <rFont val="Calibri"/>
        <family val="2"/>
      </rPr>
      <t>TP5</t>
    </r>
    <r>
      <rPr>
        <sz val="11"/>
        <rFont val="Calibri"/>
        <family val="2"/>
      </rPr>
      <t> : Gestion des Logs, Planification de Tâches (at, batch, cron, anacron), Administration de l’impression (Configuration d’un serveur d’impression CUPS, planification des disponibilités, gestion des priorités, Pool d’impression, redirection…)</t>
    </r>
  </si>
  <si>
    <r>
      <t>-</t>
    </r>
    <r>
      <rPr>
        <sz val="7"/>
        <rFont val="Times New Roman"/>
        <family val="1"/>
      </rPr>
      <t xml:space="preserve">      </t>
    </r>
    <r>
      <rPr>
        <b/>
        <sz val="11"/>
        <rFont val="Calibri"/>
        <family val="2"/>
      </rPr>
      <t>TP6</t>
    </r>
    <r>
      <rPr>
        <sz val="11"/>
        <rFont val="Calibri"/>
        <family val="2"/>
      </rPr>
      <t> : Administration de raid, lvm, partitionnement, système de fichiers, quotas</t>
    </r>
  </si>
  <si>
    <r>
      <t>-</t>
    </r>
    <r>
      <rPr>
        <sz val="7"/>
        <rFont val="Times New Roman"/>
        <family val="1"/>
      </rPr>
      <t xml:space="preserve">      </t>
    </r>
    <r>
      <rPr>
        <b/>
        <sz val="11"/>
        <rFont val="Calibri"/>
        <family val="2"/>
      </rPr>
      <t>TP7</t>
    </r>
    <r>
      <rPr>
        <sz val="11"/>
        <rFont val="Calibri"/>
        <family val="2"/>
      </rPr>
      <t> : Gestion de la sauvegarde et de la restauration des données (tar, cpio, dump/restore, gzip/bzip2/xz), logiciels de sauvegarde/restauration Bacula, BackupPC, Redo Backup, FOG, …)</t>
    </r>
  </si>
  <si>
    <r>
      <t>-</t>
    </r>
    <r>
      <rPr>
        <sz val="7"/>
        <rFont val="Times New Roman"/>
        <family val="1"/>
      </rPr>
      <t xml:space="preserve">      </t>
    </r>
    <r>
      <rPr>
        <b/>
        <sz val="11"/>
        <rFont val="Calibri"/>
        <family val="2"/>
      </rPr>
      <t>TP8</t>
    </r>
    <r>
      <rPr>
        <sz val="11"/>
        <rFont val="Calibri"/>
        <family val="2"/>
      </rPr>
      <t> : Résolution de problème sur le système d'exploitation et source d'information, diagnostiquer les problèmes réseau</t>
    </r>
  </si>
  <si>
    <r>
      <t>-</t>
    </r>
    <r>
      <rPr>
        <sz val="7"/>
        <rFont val="Times New Roman"/>
        <family val="1"/>
      </rPr>
      <t xml:space="preserve">      </t>
    </r>
    <r>
      <rPr>
        <b/>
        <sz val="11"/>
        <rFont val="Calibri"/>
        <family val="2"/>
      </rPr>
      <t>TP9 </t>
    </r>
    <r>
      <rPr>
        <sz val="12"/>
        <rFont val="Calibri"/>
        <family val="2"/>
      </rPr>
      <t>: Explorer l’éventail des « panneaux de contrôle » (webmin, CWP, Cockpit, cPanel, …)</t>
    </r>
  </si>
  <si>
    <r>
      <t>-</t>
    </r>
    <r>
      <rPr>
        <sz val="7"/>
        <rFont val="Times New Roman"/>
        <family val="1"/>
      </rPr>
      <t xml:space="preserve">        </t>
    </r>
    <r>
      <rPr>
        <sz val="11"/>
        <rFont val="Calibri"/>
        <family val="2"/>
      </rPr>
      <t>« Le cahier de l'administrateur Debian »   Raphaël Hertzog et Roland Mas, 2012 Freexian</t>
    </r>
  </si>
  <si>
    <r>
      <t>-</t>
    </r>
    <r>
      <rPr>
        <sz val="7"/>
        <rFont val="Times New Roman"/>
        <family val="1"/>
      </rPr>
      <t xml:space="preserve">       </t>
    </r>
    <r>
      <rPr>
        <sz val="11"/>
        <rFont val="Calibri"/>
        <family val="2"/>
        <scheme val="minor"/>
      </rPr>
      <t>« CentOS 6 Linux Server Cookbook » Jonathan Hobson, 2013 PACKT Publishing</t>
    </r>
  </si>
  <si>
    <t xml:space="preserve">Mise à jour </t>
  </si>
  <si>
    <r>
      <t> </t>
    </r>
    <r>
      <rPr>
        <sz val="11"/>
        <rFont val="Calibri"/>
        <family val="2"/>
        <scheme val="minor"/>
      </rPr>
      <t>Ce cours vise à faire acquérir à l’apprenant, une idée sur les réseaux locaux et des connaissances de base de la pile protocolaire  TCP/IP</t>
    </r>
  </si>
  <si>
    <r>
      <t>-</t>
    </r>
    <r>
      <rPr>
        <sz val="7"/>
        <rFont val="Times New Roman"/>
        <family val="1"/>
      </rPr>
      <t xml:space="preserve">       </t>
    </r>
    <r>
      <rPr>
        <sz val="11"/>
        <rFont val="Calibri"/>
        <family val="2"/>
        <scheme val="minor"/>
      </rPr>
      <t>Comprendre les notions des procédures de transmission et méthodes d’accès.</t>
    </r>
  </si>
  <si>
    <r>
      <t>-</t>
    </r>
    <r>
      <rPr>
        <sz val="7"/>
        <rFont val="Times New Roman"/>
        <family val="1"/>
      </rPr>
      <t xml:space="preserve">        </t>
    </r>
    <r>
      <rPr>
        <sz val="11"/>
        <rFont val="Calibri"/>
        <family val="2"/>
        <scheme val="minor"/>
      </rPr>
      <t>Connaître les principales normes IEEE 802.x.</t>
    </r>
  </si>
  <si>
    <r>
      <t>-</t>
    </r>
    <r>
      <rPr>
        <sz val="7"/>
        <rFont val="Times New Roman"/>
        <family val="1"/>
      </rPr>
      <t xml:space="preserve">        </t>
    </r>
    <r>
      <rPr>
        <sz val="11"/>
        <rFont val="Calibri"/>
        <family val="2"/>
        <scheme val="minor"/>
      </rPr>
      <t>Maîtriser la technologie Ethernet.</t>
    </r>
  </si>
  <si>
    <r>
      <t>-</t>
    </r>
    <r>
      <rPr>
        <sz val="7"/>
        <rFont val="Times New Roman"/>
        <family val="1"/>
      </rPr>
      <t xml:space="preserve">        </t>
    </r>
    <r>
      <rPr>
        <sz val="11"/>
        <rFont val="Calibri"/>
        <family val="2"/>
        <scheme val="minor"/>
      </rPr>
      <t>Décrire les protocoles de commutation de la couche 2.</t>
    </r>
  </si>
  <si>
    <r>
      <t>-</t>
    </r>
    <r>
      <rPr>
        <sz val="7"/>
        <rFont val="Times New Roman"/>
        <family val="1"/>
      </rPr>
      <t xml:space="preserve">        </t>
    </r>
    <r>
      <rPr>
        <sz val="11"/>
        <rFont val="Calibri"/>
        <family val="2"/>
        <scheme val="minor"/>
      </rPr>
      <t>Comprendre la notion de VLAN et routage inter-vlan.</t>
    </r>
  </si>
  <si>
    <r>
      <t>-</t>
    </r>
    <r>
      <rPr>
        <sz val="7"/>
        <rFont val="Times New Roman"/>
        <family val="1"/>
      </rPr>
      <t xml:space="preserve">        </t>
    </r>
    <r>
      <rPr>
        <sz val="11"/>
        <rFont val="Calibri"/>
        <family val="2"/>
        <scheme val="minor"/>
      </rPr>
      <t>Découvrir les technologies de base des réseaux sans fils</t>
    </r>
  </si>
  <si>
    <r>
      <t>-</t>
    </r>
    <r>
      <rPr>
        <sz val="7"/>
        <rFont val="Times New Roman"/>
        <family val="1"/>
      </rPr>
      <t xml:space="preserve">        </t>
    </r>
    <r>
      <rPr>
        <sz val="11"/>
        <rFont val="Calibri"/>
        <family val="2"/>
        <scheme val="minor"/>
      </rPr>
      <t>Comprendre les étapes d’encapsulation dans l’architecture TCP/IP.</t>
    </r>
  </si>
  <si>
    <r>
      <t>-</t>
    </r>
    <r>
      <rPr>
        <sz val="7"/>
        <rFont val="Times New Roman"/>
        <family val="1"/>
      </rPr>
      <t xml:space="preserve">        </t>
    </r>
    <r>
      <rPr>
        <sz val="11"/>
        <rFont val="Calibri"/>
        <family val="2"/>
        <scheme val="minor"/>
      </rPr>
      <t>Acquérir les connaissances de base sur l’adressage IPv4.</t>
    </r>
  </si>
  <si>
    <r>
      <t>-</t>
    </r>
    <r>
      <rPr>
        <sz val="7"/>
        <rFont val="Times New Roman"/>
        <family val="1"/>
      </rPr>
      <t xml:space="preserve">        </t>
    </r>
    <r>
      <rPr>
        <sz val="11"/>
        <rFont val="Calibri"/>
        <family val="2"/>
        <scheme val="minor"/>
      </rPr>
      <t>Identifier les différents champs des protocoles de l’architecture TCP/IP.</t>
    </r>
  </si>
  <si>
    <r>
      <t>-</t>
    </r>
    <r>
      <rPr>
        <sz val="7"/>
        <rFont val="Times New Roman"/>
        <family val="1"/>
      </rPr>
      <t xml:space="preserve">       </t>
    </r>
    <r>
      <rPr>
        <sz val="11"/>
        <rFont val="Calibri"/>
        <family val="2"/>
        <scheme val="minor"/>
      </rPr>
      <t>Saisir l’interaction entre les protocoles, les services et les applications.</t>
    </r>
  </si>
  <si>
    <r>
      <t> </t>
    </r>
    <r>
      <rPr>
        <sz val="11"/>
        <rFont val="Calibri"/>
        <family val="2"/>
        <scheme val="minor"/>
      </rPr>
      <t>Modèle OSI, IEEE 802.x, CSMA/CD, Ethernet, XBaseY, Trame, Commutation, VLAN, VTP, STP, WiFi, Agrégation de liens, agrégation de vlans, WIFI, CSMA/CA, RTS, CTS, SVI, port routé, IEEE802.1Q, IEEE802.11, Etherchannel, PVST+, adressage physique,  Architecture TCP/IP, IPv4, ARP, ICMP, TCP, UDP,socket, sniffing, analyse de trame, encapsulation, décapsulation, application client/serveur, fragmentation, segmentation, fenêtre glissante, MSS, MTU, Ethernet, ports, non connecté, connecté, NAT, VLSM, Sous réseaux, adressage physique, adressage logique, TLL , routage, trame, paquet, segment, message, adresse unicast, brodcast IP , multicast IP</t>
    </r>
  </si>
  <si>
    <r>
      <t>●</t>
    </r>
    <r>
      <rPr>
        <sz val="7"/>
        <rFont val="Times New Roman"/>
        <family val="1"/>
      </rPr>
      <t xml:space="preserve">      </t>
    </r>
    <r>
      <rPr>
        <sz val="12"/>
        <rFont val="Calibri"/>
        <family val="2"/>
        <scheme val="minor"/>
      </rPr>
      <t> </t>
    </r>
    <r>
      <rPr>
        <b/>
        <sz val="11"/>
        <rFont val="Calibri"/>
        <family val="2"/>
        <scheme val="minor"/>
      </rPr>
      <t>Chapitre 1</t>
    </r>
    <r>
      <rPr>
        <sz val="12"/>
        <rFont val="Calibri"/>
        <family val="2"/>
        <scheme val="minor"/>
      </rPr>
      <t xml:space="preserve"> : </t>
    </r>
    <r>
      <rPr>
        <b/>
        <sz val="11"/>
        <rFont val="Calibri"/>
        <family val="2"/>
        <scheme val="minor"/>
      </rPr>
      <t>Rappel du modèle OSI et généralités sur les réseaux locaux d’entreprise</t>
    </r>
    <r>
      <rPr>
        <sz val="11"/>
        <rFont val="Calibri"/>
        <family val="2"/>
        <scheme val="minor"/>
      </rPr>
      <t> : Modèle OSI, définition des Réseaux locaux d’entreprise, topologies physiques et logiques, support de transmission.</t>
    </r>
  </si>
  <si>
    <r>
      <t>Chapitre 2</t>
    </r>
    <r>
      <rPr>
        <sz val="12"/>
        <rFont val="Calibri"/>
        <family val="2"/>
        <scheme val="minor"/>
      </rPr>
      <t xml:space="preserve"> :  </t>
    </r>
    <r>
      <rPr>
        <b/>
        <sz val="11"/>
        <rFont val="Calibri"/>
        <family val="2"/>
        <scheme val="minor"/>
      </rPr>
      <t>Technologies des RLE</t>
    </r>
    <r>
      <rPr>
        <sz val="11"/>
        <rFont val="Calibri"/>
        <family val="2"/>
        <scheme val="minor"/>
      </rPr>
      <t>: Ethernet, Token Ring, Token Bus, Local Talk, ARCNet, FDDI, Wi-Fi.</t>
    </r>
  </si>
  <si>
    <r>
      <t>Ethernet </t>
    </r>
    <r>
      <rPr>
        <sz val="11"/>
        <rFont val="Calibri"/>
        <family val="2"/>
        <scheme val="minor"/>
      </rPr>
      <t>: normes 802.3x (10base5, 10base2, 10baseT, 100baseT, 100baseF, 1000baseT, 1000baseF, 10GbaseX, 10baseR, 10baseW, etc.) : description, caractéristiques, câblage, Entête Ethernet, Ethernet II  vs IEEE 802.3 (couche MAC et couche LLC), évolution de la méthode d’accès Ethernet (Aloha, Aloha discrétisée, CSMA, CSMA/CD), principe de la méthode d’accès CSMA/CD.</t>
    </r>
  </si>
  <si>
    <r>
      <t>Chapitre 3</t>
    </r>
    <r>
      <rPr>
        <sz val="12"/>
        <rFont val="Calibri"/>
        <family val="2"/>
        <scheme val="minor"/>
      </rPr>
      <t xml:space="preserve"> : Présentation</t>
    </r>
    <r>
      <rPr>
        <b/>
        <sz val="11"/>
        <rFont val="Calibri"/>
        <family val="2"/>
        <scheme val="minor"/>
      </rPr>
      <t xml:space="preserve"> des réseaux commutés</t>
    </r>
    <r>
      <rPr>
        <sz val="11"/>
        <rFont val="Calibri"/>
        <family val="2"/>
        <scheme val="minor"/>
      </rPr>
      <t> : Les éléments d’un réseau commuté convergent,  les architectures des réseaux commutés convergents (accès, distribution, cœur), rôle des réseaux commutés, les Méthodes et Techniques de commutation de trames, les types de commutateurs, les adresses MAC (unicast, muticast, diffusion), table de commutation,  domaine de collision, domaine de diffusion, mode de commutation (Cut and through, store and forward, fragment free)</t>
    </r>
  </si>
  <si>
    <r>
      <t>Chapitre 4</t>
    </r>
    <r>
      <rPr>
        <sz val="12"/>
        <rFont val="Calibri"/>
        <family val="2"/>
        <scheme val="minor"/>
      </rPr>
      <t xml:space="preserve"> : Les</t>
    </r>
    <r>
      <rPr>
        <b/>
        <sz val="11"/>
        <rFont val="Calibri"/>
        <family val="2"/>
        <scheme val="minor"/>
      </rPr>
      <t xml:space="preserve"> vlans</t>
    </r>
    <r>
      <rPr>
        <sz val="11"/>
        <rFont val="Calibri"/>
        <family val="2"/>
        <scheme val="minor"/>
      </rPr>
      <t xml:space="preserve"> : Présentation des vlans, importance, types de vlan, Trunk de VLAN, vlan native ET étiquetage 802.11q, attaques sur les VLANs, bonne pratique pour la conception d’un VLAN </t>
    </r>
  </si>
  <si>
    <r>
      <t>Routage inter-VLAN</t>
    </r>
    <r>
      <rPr>
        <sz val="11"/>
        <rFont val="Calibri"/>
        <family val="2"/>
        <scheme val="minor"/>
      </rPr>
      <t> : introduction au routage inter-vlan, fonctionnement du routage inervlan, ancienne méthode de routage intervlan, méthode de routage inter-vlan « router on a stick »,  techniques de routage inter-vlans au niveau des commutateurs  niveau 3 (interfaces SVI, ports routés).</t>
    </r>
    <r>
      <rPr>
        <b/>
        <sz val="11"/>
        <rFont val="Calibri"/>
        <family val="2"/>
        <scheme val="minor"/>
      </rPr>
      <t xml:space="preserve"> </t>
    </r>
  </si>
  <si>
    <r>
      <t>Agrégation de liens</t>
    </r>
    <r>
      <rPr>
        <sz val="11"/>
        <rFont val="Calibri"/>
        <family val="2"/>
        <scheme val="minor"/>
      </rPr>
      <t> : introduction à l’agrégation de liens, avantages de l’EtherChannel, fonctionnement de l’EtherChannel.</t>
    </r>
  </si>
  <si>
    <r>
      <t>Chapitre 5</t>
    </r>
    <r>
      <rPr>
        <sz val="12"/>
        <rFont val="Calibri"/>
        <family val="2"/>
        <scheme val="minor"/>
      </rPr>
      <t xml:space="preserve"> : Protocole</t>
    </r>
    <r>
      <rPr>
        <b/>
        <sz val="11"/>
        <rFont val="Calibri"/>
        <family val="2"/>
        <scheme val="minor"/>
      </rPr>
      <t xml:space="preserve"> VTP</t>
    </r>
    <r>
      <rPr>
        <sz val="11"/>
        <rFont val="Calibri"/>
        <family val="2"/>
        <scheme val="minor"/>
      </rPr>
      <t> : problématique, utilité, fonctionnement (annonces, mode, domaine)</t>
    </r>
  </si>
  <si>
    <r>
      <t>Les protocoles STP :</t>
    </r>
    <r>
      <rPr>
        <sz val="11"/>
        <rFont val="Calibri"/>
        <family val="2"/>
        <scheme val="minor"/>
      </rPr>
      <t xml:space="preserve"> Concepts et buts du protocole spanning tree, Algorithme spanning tree, propagation des trames BPDU, caractéristiques des protocoles spanning tree (STP, PVST+, RSTP, Rapid PVST+, MSTP).</t>
    </r>
  </si>
  <si>
    <r>
      <t>Chapitre 6</t>
    </r>
    <r>
      <rPr>
        <sz val="12"/>
        <rFont val="Calibri"/>
        <family val="2"/>
        <scheme val="minor"/>
      </rPr>
      <t xml:space="preserve"> : Réseaux</t>
    </r>
    <r>
      <rPr>
        <b/>
        <sz val="11"/>
        <rFont val="Calibri"/>
        <family val="2"/>
        <scheme val="minor"/>
      </rPr>
      <t xml:space="preserve"> sans fils locaux (Wi-Fi- IEEE 802.11)</t>
    </r>
    <r>
      <rPr>
        <sz val="11"/>
        <rFont val="Calibri"/>
        <family val="2"/>
        <scheme val="minor"/>
      </rPr>
      <t> : caractéristiques, équipements WiFi (cartes et points d’accès, point d’accès lourds et légers), couche MAC (méthode d’accès CSMA/CA), bandes de fréquences et débits, entête WIFI, qualité de service Wifi, IEEE 802.11 (a,b,g,n), contrôleur wifi, architecture WiFi (Ad-hoc, réseau avec infrastructure et réseau mesh).</t>
    </r>
  </si>
  <si>
    <r>
      <t>Chapitre 7</t>
    </r>
    <r>
      <rPr>
        <sz val="12"/>
        <rFont val="Calibri"/>
        <family val="2"/>
        <scheme val="minor"/>
      </rPr>
      <t xml:space="preserve"> : </t>
    </r>
    <r>
      <rPr>
        <b/>
        <sz val="11"/>
        <rFont val="Calibri"/>
        <family val="2"/>
        <scheme val="minor"/>
      </rPr>
      <t xml:space="preserve">Introduction à TCP/IP : </t>
    </r>
    <r>
      <rPr>
        <sz val="11"/>
        <rFont val="Calibri"/>
        <family val="2"/>
        <scheme val="minor"/>
      </rPr>
      <t>historique, architecture et normalisation, services et protocoles, mode de transfert (Fiable et non fiable, connecté ou non connecté.),  modèle client serveur.</t>
    </r>
  </si>
  <si>
    <r>
      <t>Chapitre 8</t>
    </r>
    <r>
      <rPr>
        <sz val="12"/>
        <rFont val="Calibri"/>
        <family val="2"/>
        <scheme val="minor"/>
      </rPr>
      <t xml:space="preserve"> : </t>
    </r>
    <r>
      <rPr>
        <b/>
        <sz val="11"/>
        <rFont val="Calibri"/>
        <family val="2"/>
        <scheme val="minor"/>
      </rPr>
      <t xml:space="preserve">Protocole IPv4 : </t>
    </r>
  </si>
  <si>
    <r>
      <t>-</t>
    </r>
    <r>
      <rPr>
        <sz val="7"/>
        <rFont val="Times New Roman"/>
        <family val="1"/>
      </rPr>
      <t xml:space="preserve">          </t>
    </r>
    <r>
      <rPr>
        <sz val="11"/>
        <rFont val="Calibri"/>
        <family val="2"/>
        <scheme val="minor"/>
      </rPr>
      <t>format de l’entête IPv4, adresses réseau, classes d'adresses IPv4, CIDR, résumé d’adresse</t>
    </r>
  </si>
  <si>
    <r>
      <t>-</t>
    </r>
    <r>
      <rPr>
        <sz val="7"/>
        <rFont val="Times New Roman"/>
        <family val="1"/>
      </rPr>
      <t xml:space="preserve">          </t>
    </r>
    <r>
      <rPr>
        <sz val="11"/>
        <rFont val="Calibri"/>
        <family val="2"/>
        <scheme val="minor"/>
      </rPr>
      <t>Création des sous réseaux, création des sous réseaux par classe, masque de sous réseau personnalisé (VLSM), communication entre sous réseaux</t>
    </r>
  </si>
  <si>
    <r>
      <t>-</t>
    </r>
    <r>
      <rPr>
        <sz val="7"/>
        <rFont val="Times New Roman"/>
        <family val="1"/>
      </rPr>
      <t xml:space="preserve">          </t>
    </r>
    <r>
      <rPr>
        <sz val="11"/>
        <rFont val="Calibri"/>
        <family val="2"/>
        <scheme val="minor"/>
      </rPr>
      <t>introduction des notions de routage.</t>
    </r>
  </si>
  <si>
    <r>
      <t>-</t>
    </r>
    <r>
      <rPr>
        <sz val="7"/>
        <rFont val="Times New Roman"/>
        <family val="1"/>
      </rPr>
      <t xml:space="preserve">          </t>
    </r>
    <r>
      <rPr>
        <sz val="11"/>
        <rFont val="Calibri"/>
        <family val="2"/>
        <scheme val="minor"/>
      </rPr>
      <t>fonctions NAT et PAT : traduction d’adresses de réseaux de base (NAT), terminologie de la fonction NAT IP, NAT statique, NAT dynamique, traduction d’adresses de ports (PAT), problèmes de la fonction NAT IP.</t>
    </r>
  </si>
  <si>
    <r>
      <t>-</t>
    </r>
    <r>
      <rPr>
        <sz val="7"/>
        <rFont val="Times New Roman"/>
        <family val="1"/>
      </rPr>
      <t xml:space="preserve">          </t>
    </r>
    <r>
      <rPr>
        <sz val="11"/>
        <rFont val="Calibri"/>
        <family val="2"/>
        <scheme val="minor"/>
      </rPr>
      <t>Techniques et méthodes de fragmentation des paquets</t>
    </r>
  </si>
  <si>
    <r>
      <t>Chapitre 9</t>
    </r>
    <r>
      <rPr>
        <sz val="12"/>
        <rFont val="Calibri"/>
        <family val="2"/>
        <scheme val="minor"/>
      </rPr>
      <t xml:space="preserve"> : </t>
    </r>
    <r>
      <rPr>
        <b/>
        <sz val="11"/>
        <rFont val="Calibri"/>
        <family val="2"/>
        <scheme val="minor"/>
      </rPr>
      <t xml:space="preserve">Protocoles transport UDP et TCP : </t>
    </r>
  </si>
  <si>
    <r>
      <t>-</t>
    </r>
    <r>
      <rPr>
        <sz val="7"/>
        <rFont val="Times New Roman"/>
        <family val="1"/>
      </rPr>
      <t xml:space="preserve">          </t>
    </r>
    <r>
      <rPr>
        <sz val="11"/>
        <rFont val="Calibri"/>
        <family val="2"/>
        <scheme val="minor"/>
      </rPr>
      <t>Numéro de port </t>
    </r>
  </si>
  <si>
    <r>
      <t>-</t>
    </r>
    <r>
      <rPr>
        <sz val="7"/>
        <rFont val="Times New Roman"/>
        <family val="1"/>
      </rPr>
      <t xml:space="preserve">          </t>
    </r>
    <r>
      <rPr>
        <sz val="11"/>
        <rFont val="Calibri"/>
        <family val="2"/>
        <scheme val="minor"/>
      </rPr>
      <t>Protocole UDP : format de segment UDP, protocoles applicatifs utilisant UDP.</t>
    </r>
  </si>
  <si>
    <r>
      <t>-</t>
    </r>
    <r>
      <rPr>
        <sz val="7"/>
        <rFont val="Times New Roman"/>
        <family val="1"/>
      </rPr>
      <t xml:space="preserve">          </t>
    </r>
    <r>
      <rPr>
        <sz val="11"/>
        <rFont val="Calibri"/>
        <family val="2"/>
        <scheme val="minor"/>
      </rPr>
      <t>Protocole TCP : format de segment TCP, services TCP  (établissement de la connexion TCP), transfert en séquence, avec acquittement, contrôle de flux, libération sans risque de la connexion, notion de fenêtres, slow start, congestion avoidance…. , protocole RTP, MSS, Technique de segmentation.</t>
    </r>
  </si>
  <si>
    <r>
      <t>Chapitre 10</t>
    </r>
    <r>
      <rPr>
        <sz val="12"/>
        <rFont val="Calibri"/>
        <family val="2"/>
        <scheme val="minor"/>
      </rPr>
      <t xml:space="preserve"> : Protocoles</t>
    </r>
    <r>
      <rPr>
        <b/>
        <sz val="11"/>
        <rFont val="Calibri"/>
        <family val="2"/>
        <scheme val="minor"/>
      </rPr>
      <t xml:space="preserve"> couche application</t>
    </r>
    <r>
      <rPr>
        <sz val="11"/>
        <rFont val="Calibri"/>
        <family val="2"/>
        <scheme val="minor"/>
      </rPr>
      <t> : Introduire quelques protocoles de la couche application (HTTP, DNS, SMTP, POP3/IMAP, DHCP)</t>
    </r>
  </si>
  <si>
    <r>
      <t>-</t>
    </r>
    <r>
      <rPr>
        <sz val="7"/>
        <rFont val="Times New Roman"/>
        <family val="1"/>
      </rPr>
      <t xml:space="preserve">          </t>
    </r>
    <r>
      <rPr>
        <sz val="11"/>
        <rFont val="Calibri"/>
        <family val="2"/>
        <scheme val="minor"/>
      </rPr>
      <t xml:space="preserve"> A.Tanenbaum, David J. Wetherall : "Computer Networks", 5th ed., Pearson Education, 2011. </t>
    </r>
  </si>
  <si>
    <r>
      <t>-</t>
    </r>
    <r>
      <rPr>
        <sz val="7"/>
        <rFont val="Times New Roman"/>
        <family val="1"/>
      </rPr>
      <t xml:space="preserve">          </t>
    </r>
    <r>
      <rPr>
        <sz val="11"/>
        <rFont val="Calibri"/>
        <family val="2"/>
        <scheme val="minor"/>
      </rPr>
      <t>D. Dromard, D. Seret : "Architecture des réseaux", Pearson Education, 2006.</t>
    </r>
  </si>
  <si>
    <r>
      <t>-</t>
    </r>
    <r>
      <rPr>
        <sz val="7"/>
        <rFont val="Times New Roman"/>
        <family val="1"/>
      </rPr>
      <t xml:space="preserve">          </t>
    </r>
    <r>
      <rPr>
        <sz val="11"/>
        <rFont val="Calibri"/>
        <family val="2"/>
        <scheme val="minor"/>
      </rPr>
      <t>Jean-Luc Montagnier, Réseaux d'entreprise par la pratique, Eyrolles, EAN13 : 9782212112580</t>
    </r>
  </si>
  <si>
    <r>
      <t>-</t>
    </r>
    <r>
      <rPr>
        <sz val="7"/>
        <rFont val="Times New Roman"/>
        <family val="1"/>
      </rPr>
      <t xml:space="preserve">          </t>
    </r>
    <r>
      <rPr>
        <sz val="11"/>
        <rFont val="Calibri"/>
        <family val="2"/>
        <scheme val="minor"/>
      </rPr>
      <t xml:space="preserve">A.Tanenbaum : "Computer Networks", 4th ed., Prentice-Hall, 2002 et "Réseaux", 4è ed, Pearson Education, 2003. </t>
    </r>
  </si>
  <si>
    <r>
      <t>-</t>
    </r>
    <r>
      <rPr>
        <sz val="7"/>
        <rFont val="Times New Roman"/>
        <family val="1"/>
      </rPr>
      <t xml:space="preserve">          </t>
    </r>
    <r>
      <rPr>
        <sz val="11"/>
        <rFont val="Calibri"/>
        <family val="2"/>
        <scheme val="minor"/>
      </rPr>
      <t xml:space="preserve">L.L. Peterson, B.S. Davie : "Computer Networks", 4th edition, Morgan Kaufmann, 2007. </t>
    </r>
  </si>
  <si>
    <r>
      <t>-</t>
    </r>
    <r>
      <rPr>
        <sz val="7"/>
        <rFont val="Times New Roman"/>
        <family val="1"/>
      </rPr>
      <t xml:space="preserve">          </t>
    </r>
    <r>
      <rPr>
        <sz val="11"/>
        <rFont val="Calibri"/>
        <family val="2"/>
        <scheme val="minor"/>
      </rPr>
      <t>Sylvain Caicoya, Jean-Georges Saury : « TCP/IP - Le guide complet », Micro Application, EAN13 : 9782822401517</t>
    </r>
  </si>
  <si>
    <r>
      <t>-</t>
    </r>
    <r>
      <rPr>
        <sz val="7"/>
        <rFont val="Times New Roman"/>
        <family val="1"/>
      </rPr>
      <t xml:space="preserve">          </t>
    </r>
    <r>
      <rPr>
        <sz val="11"/>
        <rFont val="Calibri"/>
        <family val="2"/>
        <scheme val="minor"/>
      </rPr>
      <t>Eric Lalitte : « Apprenez le fonctionnement des réseaux TCP/IP »,  OpenClassrooms, EAN13 : 9791090085930</t>
    </r>
  </si>
  <si>
    <r>
      <t>-</t>
    </r>
    <r>
      <rPr>
        <sz val="7"/>
        <rFont val="Times New Roman"/>
        <family val="1"/>
      </rPr>
      <t xml:space="preserve">          </t>
    </r>
    <r>
      <rPr>
        <sz val="11"/>
        <rFont val="Calibri"/>
        <family val="2"/>
        <scheme val="minor"/>
      </rPr>
      <t xml:space="preserve">Laurent SCHALKWIJK, « CISCO - Routage et commutation 1er module de préparation à la certification CCNA 200-120 (Nouvelle édition) » </t>
    </r>
  </si>
  <si>
    <r>
      <t>-</t>
    </r>
    <r>
      <rPr>
        <sz val="7"/>
        <rFont val="Times New Roman"/>
        <family val="1"/>
      </rPr>
      <t xml:space="preserve">          </t>
    </r>
    <r>
      <rPr>
        <sz val="11"/>
        <rFont val="Calibri"/>
        <family val="2"/>
        <scheme val="minor"/>
      </rPr>
      <t>Rfc 791 (IP), 792 (ICMP), 793 (TCP), 2474 (différence IPv4, IPv6),  826 (ARP), 768 (UDP)</t>
    </r>
  </si>
  <si>
    <t xml:space="preserve">Directeur département </t>
  </si>
  <si>
    <t>Asma Grine</t>
  </si>
  <si>
    <t>ISET Mahdia</t>
  </si>
  <si>
    <t>Directrice 4C</t>
  </si>
  <si>
    <t>Safa Mahouachi</t>
  </si>
  <si>
    <t>ISET Kelibia</t>
  </si>
  <si>
    <t>Imen Bouallegui</t>
  </si>
  <si>
    <t>ISET Kairouan</t>
  </si>
  <si>
    <t>Hazar Chtioui</t>
  </si>
  <si>
    <t>ISET Djerba</t>
  </si>
  <si>
    <t>Samar Abdelhak</t>
  </si>
  <si>
    <t>ISET'Com</t>
  </si>
  <si>
    <t>Maitre assistante</t>
  </si>
  <si>
    <t>Ines Mezghani</t>
  </si>
  <si>
    <t>Chef de département</t>
  </si>
  <si>
    <t>Nesrine Boussada Taieb</t>
  </si>
  <si>
    <t>ISET Ksar Hellal</t>
  </si>
  <si>
    <t>Saloua Bani</t>
  </si>
  <si>
    <t>ISET Nabeul</t>
  </si>
  <si>
    <t>Mounira Jemni</t>
  </si>
  <si>
    <t>Fiche élément constitutif</t>
  </si>
  <si>
    <t>Nouvelle création</t>
  </si>
  <si>
    <t>Sciences et Technologie</t>
  </si>
  <si>
    <t>Technologies de l'informlatique</t>
  </si>
  <si>
    <t>DSI/MDW/RSI/SEM</t>
  </si>
  <si>
    <t>Unité d'enseignenement</t>
  </si>
  <si>
    <t>Transversale</t>
  </si>
  <si>
    <t>Mixte</t>
  </si>
  <si>
    <t xml:space="preserve">Magistrale </t>
  </si>
  <si>
    <t>Présentation Power Point</t>
  </si>
  <si>
    <t>Démonstrative</t>
  </si>
  <si>
    <t xml:space="preserve">Exercices, recherche et travail de synthèse par groupe, </t>
  </si>
  <si>
    <t>Expérientielle</t>
  </si>
  <si>
    <t>Participants / contributeurs à la formation en dehors de l'établissement (spécifier l'intervention et le cadre)</t>
  </si>
  <si>
    <t>Contributeur</t>
  </si>
  <si>
    <t>Catégorie</t>
  </si>
  <si>
    <t>Contribution</t>
  </si>
  <si>
    <t>Académique</t>
  </si>
  <si>
    <t>Elaboration de la fiche matière</t>
  </si>
  <si>
    <t xml:space="preserve">Fiche : Etude et Management de projets innovants </t>
  </si>
  <si>
    <t>Sciences et technologies</t>
  </si>
  <si>
    <t>TIC</t>
  </si>
  <si>
    <t>DSI/RSI/MDW/SEM</t>
  </si>
  <si>
    <t>S4</t>
  </si>
  <si>
    <t>étude et management de projets innovants</t>
  </si>
  <si>
    <t>Développer une culture de l’innovation et la création de projets innovants.
Développer une culture de l’innovation et la création de projets innovants.</t>
  </si>
  <si>
    <t>Identifier les enjeux de l’innovation ;                                                                                                                 
Connaitre les principes du management de l'innovation en organisation ;                                              
Comprendre et analyser les processus créatifs ;                                                                                            
Connaitre les rubriques d’un Business Model / Business plan ;                                                                                           
Intégrer l’innovation dans le Business Model/Business Plan.</t>
  </si>
  <si>
    <t xml:space="preserve">Entrepreunariat ; Management de l'innovation ; Projets innovants ; Business Model ; Business Plan </t>
  </si>
  <si>
    <t>Développer le sens de l'entreprenariat et la crétivité chez le jeune</t>
  </si>
  <si>
    <t>Initier les étudiants en innovation et management des connaissances</t>
  </si>
  <si>
    <t>Améliorer les compétences en étude et création de projet</t>
  </si>
  <si>
    <t>Appliquer les étapes d'elaboration du business model</t>
  </si>
  <si>
    <t xml:space="preserve">1) Fondements de l’Economie de la créativité et de l'innovation                                                                            
2) Innovation et Management des connaissances                                                                                                  
3) Du Management des connaissances au Management des talents pour la créativité                                         
4) Techniques et Processus créatifs - Design Thinking et La méthode C/K                                                              
5) La gestion des processus innovants - Du projet au Stage-Gate                                                                            
6) Elaboration d’un Business Model/plan                                                                                                                
7) Business Model/Plan de projets innovants. </t>
  </si>
  <si>
    <t>ateliers</t>
  </si>
  <si>
    <t>jeux de simulations</t>
  </si>
  <si>
    <t>travail de groupe</t>
  </si>
  <si>
    <t>jeux de roles</t>
  </si>
  <si>
    <t>génération des idées</t>
  </si>
  <si>
    <t>Cette matière requiert que l'étudiant ait suivi le module business culture</t>
  </si>
  <si>
    <t>promoteur d'un nouveau projet</t>
  </si>
  <si>
    <t>Professionnel</t>
  </si>
  <si>
    <t>citer son expérience aux jeunes pour les encourager à prendre l'initiative</t>
  </si>
  <si>
    <t>Acquérir des compétences en communication dans un milieu professionnel.</t>
  </si>
  <si>
    <t xml:space="preserve"> Au terme du module, l’étudiant est capable de : 
-  favoriser la communication non violente
- participer positivement à une réunion de travail
- mettre en pratique les étapes de gestion d’un conflit
- maitriser les techniques de communication interne orale, écrite et de présentation
- appliquer les techniques de négociation
- comprendre la  gestion du changement
</t>
  </si>
  <si>
    <t>Dynamique de groupe / communication interne/communication externe/conduite du changement/communication 
non violente</t>
  </si>
  <si>
    <t>Travail en équipe</t>
  </si>
  <si>
    <t>Gestion des conlits</t>
  </si>
  <si>
    <t>Communication écrite et orale en milieu professionnel</t>
  </si>
  <si>
    <t>apatation aux changements</t>
  </si>
  <si>
    <t xml:space="preserve">Négociation </t>
  </si>
  <si>
    <r>
      <rPr>
        <b/>
        <sz val="10"/>
        <rFont val="Calibri"/>
        <family val="2"/>
      </rPr>
      <t xml:space="preserve">Thème 1  : DYNAMIQUE DE GROUPE </t>
    </r>
    <r>
      <rPr>
        <sz val="10"/>
        <rFont val="Calibri"/>
        <family val="2"/>
      </rPr>
      <t xml:space="preserve">
• Travail d’équipe
• Fonctionnement des membres de l’équipe
• Organisation  des réunions
• L’animation des ateliers
</t>
    </r>
    <r>
      <rPr>
        <b/>
        <sz val="10"/>
        <rFont val="Calibri"/>
        <family val="2"/>
      </rPr>
      <t>Thème 2 : GESTION DE CONFLIT</t>
    </r>
    <r>
      <rPr>
        <sz val="10"/>
        <rFont val="Calibri"/>
        <family val="2"/>
      </rPr>
      <t xml:space="preserve">
• Sources du conflit
• Etapes pour résoudre un conflit
• Résoudre par la prévention
• La communication non violente 
</t>
    </r>
    <r>
      <rPr>
        <b/>
        <sz val="10"/>
        <rFont val="Calibri"/>
        <family val="2"/>
      </rPr>
      <t>Thème 3 : CONDUITE DU CHANGEMENT</t>
    </r>
    <r>
      <rPr>
        <sz val="10"/>
        <rFont val="Calibri"/>
        <family val="2"/>
      </rPr>
      <t xml:space="preserve">
• concepts du changement
• Style de personnalité face au changement
• La courbe du changement
• vaincre les résistances au changement
</t>
    </r>
    <r>
      <rPr>
        <b/>
        <sz val="10"/>
        <rFont val="Calibri"/>
        <family val="2"/>
      </rPr>
      <t xml:space="preserve">Thème 4 : COMMUNICATION INTERNE </t>
    </r>
    <r>
      <rPr>
        <sz val="10"/>
        <rFont val="Calibri"/>
        <family val="2"/>
      </rPr>
      <t xml:space="preserve">
• Communication écrite 
• Communication orale 
• Présentation des donnéesThème                                                                                                                                                                                      
</t>
    </r>
    <r>
      <rPr>
        <b/>
        <sz val="10"/>
        <rFont val="Calibri"/>
        <family val="2"/>
      </rPr>
      <t xml:space="preserve">Thème 5 : COMMUNICATION EXTERNE 
</t>
    </r>
    <r>
      <rPr>
        <sz val="10"/>
        <rFont val="Calibri"/>
        <family val="2"/>
      </rPr>
      <t xml:space="preserve">• Public cible
• Types de communication 
• Communication dans la relation commerciale                                                                                                                                                                   
• Outils de communication : 
- communication électronique
- communication téléphonique                                                                                                    
• Outils de communication : 
- communication électronique
- communication téléphonique
</t>
    </r>
  </si>
  <si>
    <t>jeux de rôle, mise en situation</t>
  </si>
  <si>
    <t>Magistrale</t>
  </si>
  <si>
    <t>Présentation power point</t>
  </si>
  <si>
    <t>Active</t>
  </si>
  <si>
    <t>Classe inversée, étude de cas</t>
  </si>
  <si>
    <t>Cette matière requiert que l'étudiant ait suivi les cours en techniques d'expression et en buniness culture</t>
  </si>
  <si>
    <t>Centre 4C</t>
  </si>
  <si>
    <t>Animation des ateliers en rapport avec les thèmes enseignées</t>
  </si>
  <si>
    <t>Moocs</t>
  </si>
  <si>
    <t>acquisition des notions théoriques en non présentiel</t>
  </si>
  <si>
    <t xml:space="preserve">Maitriser les techniques et les outils de recherche d'emploi </t>
  </si>
  <si>
    <t>Faire une recherche d'emploi orientée résultat -  Rédiger un CV gagnant et maîtriser les paramètres d'un entretien d'embauche -  Elaborer une stratégie gagnante pour réussir son embauche et établir son plan carrière</t>
  </si>
  <si>
    <t>CV - Lettre de motivation - Entretien d'embauche</t>
  </si>
  <si>
    <t>Initiative et Proactivité</t>
  </si>
  <si>
    <t>Présentation et communication</t>
  </si>
  <si>
    <t>Prise de décisions</t>
  </si>
  <si>
    <t>Versalité</t>
  </si>
  <si>
    <r>
      <rPr>
        <b/>
        <sz val="12"/>
        <rFont val="Calibri"/>
        <family val="2"/>
      </rPr>
      <t>Atelier 1 : Outils de recherche et de sélection d’un emploi</t>
    </r>
    <r>
      <rPr>
        <sz val="12"/>
        <rFont val="Calibri"/>
        <family val="2"/>
      </rPr>
      <t xml:space="preserve">
- Le marché de l’emploi
- Types de recherches d’emploi
         - Réponse à des offres
         - Candidature spontanée
         - Recherches en réseau
- Organisation d’une recherche d’emploi
- Sources d’information
</t>
    </r>
    <r>
      <rPr>
        <b/>
        <sz val="12"/>
        <rFont val="Calibri"/>
        <family val="2"/>
      </rPr>
      <t>Atelier 2 : Rédaction d’un CV</t>
    </r>
    <r>
      <rPr>
        <sz val="12"/>
        <rFont val="Calibri"/>
        <family val="2"/>
      </rPr>
      <t xml:space="preserve">
- Rubriques
- Types de CV
- Techniques de rédaction d’un CV gagnant
- Erreurs à éviter 
</t>
    </r>
    <r>
      <rPr>
        <b/>
        <sz val="12"/>
        <rFont val="Calibri"/>
        <family val="2"/>
      </rPr>
      <t>Atelier 3 : Lettre de motivation</t>
    </r>
    <r>
      <rPr>
        <sz val="12"/>
        <rFont val="Calibri"/>
        <family val="2"/>
      </rPr>
      <t xml:space="preserve">
- Techniques de rédaction et de présentation
- types de lettre de motivation
- Caractéristiques
</t>
    </r>
    <r>
      <rPr>
        <b/>
        <sz val="12"/>
        <rFont val="Calibri"/>
        <family val="2"/>
      </rPr>
      <t>Atelier 4 : Entretien d’embauche</t>
    </r>
    <r>
      <rPr>
        <sz val="12"/>
        <rFont val="Calibri"/>
        <family val="2"/>
      </rPr>
      <t xml:space="preserve">
- Types d’entretien d’embauche
- Les différents profils de recruteurs
- Les éléments de préparation d'un entretien (avant, pendant et après)
- Simulation d'un entretien d’embauche
</t>
    </r>
  </si>
  <si>
    <t>Simulation, jeux de rôle</t>
  </si>
  <si>
    <t>Préparation aux métiers - Techniques d'expression - Techniques de communication en groupe</t>
  </si>
  <si>
    <t>Chiraz ELAYED</t>
  </si>
  <si>
    <r>
      <t> </t>
    </r>
    <r>
      <rPr>
        <sz val="11"/>
        <rFont val="Calibri"/>
        <family val="2"/>
        <scheme val="minor"/>
      </rPr>
      <t>A l’issue de ce cours, l’étudiant doit maîtriser les concepts relatifs aux bases de données relationnelles permettant leur création et leur manipulation.</t>
    </r>
  </si>
  <si>
    <r>
      <t>-</t>
    </r>
    <r>
      <rPr>
        <sz val="7"/>
        <rFont val="Times New Roman"/>
        <family val="1"/>
      </rPr>
      <t xml:space="preserve">        </t>
    </r>
    <r>
      <rPr>
        <sz val="11"/>
        <rFont val="Calibri"/>
        <family val="2"/>
      </rPr>
      <t>Comprendre l'ensemble des concepts sous-jacents aux bases de données.</t>
    </r>
  </si>
  <si>
    <r>
      <t>-</t>
    </r>
    <r>
      <rPr>
        <sz val="7"/>
        <rFont val="Times New Roman"/>
        <family val="1"/>
      </rPr>
      <t xml:space="preserve">        </t>
    </r>
    <r>
      <rPr>
        <sz val="11"/>
        <rFont val="Calibri"/>
        <family val="2"/>
      </rPr>
      <t>Approfondir les concepts de conception, d’implémentation et d’exploitation de bases de données.</t>
    </r>
  </si>
  <si>
    <r>
      <t>-</t>
    </r>
    <r>
      <rPr>
        <sz val="7"/>
        <rFont val="Times New Roman"/>
        <family val="1"/>
      </rPr>
      <t xml:space="preserve">        </t>
    </r>
    <r>
      <rPr>
        <sz val="11"/>
        <rFont val="Calibri"/>
        <family val="2"/>
      </rPr>
      <t>Concevoir une base de données en respectant les règles et les normes des modèles de données.</t>
    </r>
  </si>
  <si>
    <r>
      <t>-</t>
    </r>
    <r>
      <rPr>
        <sz val="7"/>
        <rFont val="Times New Roman"/>
        <family val="1"/>
      </rPr>
      <t xml:space="preserve">        </t>
    </r>
    <r>
      <rPr>
        <sz val="11"/>
        <rFont val="Calibri"/>
        <family val="2"/>
      </rPr>
      <t>Convertir un schéma conceptuel en un schéma logique (relationnel) cohérent.</t>
    </r>
  </si>
  <si>
    <r>
      <t>-</t>
    </r>
    <r>
      <rPr>
        <sz val="7"/>
        <rFont val="Times New Roman"/>
        <family val="1"/>
      </rPr>
      <t xml:space="preserve">        </t>
    </r>
    <r>
      <rPr>
        <sz val="11"/>
        <rFont val="Calibri"/>
        <family val="2"/>
      </rPr>
      <t>Appliquer les opérations de l’algèbre relationnelle pour interroger une base de données.</t>
    </r>
  </si>
  <si>
    <r>
      <t>-</t>
    </r>
    <r>
      <rPr>
        <sz val="7"/>
        <rFont val="Times New Roman"/>
        <family val="1"/>
      </rPr>
      <t xml:space="preserve">        </t>
    </r>
    <r>
      <rPr>
        <sz val="11"/>
        <rFont val="Calibri"/>
        <family val="2"/>
      </rPr>
      <t>Maîtrise le langage SQL.</t>
    </r>
  </si>
  <si>
    <r>
      <t>-</t>
    </r>
    <r>
      <rPr>
        <sz val="7"/>
        <rFont val="Times New Roman"/>
        <family val="1"/>
      </rPr>
      <t xml:space="preserve">          </t>
    </r>
    <r>
      <rPr>
        <sz val="12"/>
        <rFont val="Calibri"/>
        <family val="2"/>
      </rPr>
      <t> </t>
    </r>
    <r>
      <rPr>
        <sz val="11"/>
        <rFont val="Calibri"/>
        <family val="2"/>
      </rPr>
      <t>Introduction aux bases de données</t>
    </r>
  </si>
  <si>
    <r>
      <t>-</t>
    </r>
    <r>
      <rPr>
        <sz val="7"/>
        <rFont val="Times New Roman"/>
        <family val="1"/>
      </rPr>
      <t xml:space="preserve">          </t>
    </r>
    <r>
      <rPr>
        <sz val="11"/>
        <rFont val="Calibri"/>
        <family val="2"/>
      </rPr>
      <t>Conception d’une base de données: Modèle Entité / Association</t>
    </r>
  </si>
  <si>
    <r>
      <t>-</t>
    </r>
    <r>
      <rPr>
        <sz val="7"/>
        <rFont val="Times New Roman"/>
        <family val="1"/>
      </rPr>
      <t xml:space="preserve">          </t>
    </r>
    <r>
      <rPr>
        <sz val="11"/>
        <rFont val="Calibri"/>
        <family val="2"/>
      </rPr>
      <t>Modèlerelationnel</t>
    </r>
  </si>
  <si>
    <r>
      <t>-</t>
    </r>
    <r>
      <rPr>
        <sz val="7"/>
        <rFont val="Times New Roman"/>
        <family val="1"/>
      </rPr>
      <t xml:space="preserve">          </t>
    </r>
    <r>
      <rPr>
        <sz val="11"/>
        <rFont val="Calibri"/>
        <family val="2"/>
      </rPr>
      <t>Algèbrerelationnelle</t>
    </r>
  </si>
  <si>
    <r>
      <t>-</t>
    </r>
    <r>
      <rPr>
        <sz val="7"/>
        <rFont val="Times New Roman"/>
        <family val="1"/>
      </rPr>
      <t xml:space="preserve">          </t>
    </r>
    <r>
      <rPr>
        <sz val="11"/>
        <rFont val="Calibri"/>
        <family val="2"/>
      </rPr>
      <t>Dépendancesfonctionnelles</t>
    </r>
  </si>
  <si>
    <r>
      <t>-</t>
    </r>
    <r>
      <rPr>
        <sz val="7"/>
        <rFont val="Times New Roman"/>
        <family val="1"/>
      </rPr>
      <t xml:space="preserve">          </t>
    </r>
    <r>
      <rPr>
        <sz val="11"/>
        <rFont val="Calibri"/>
        <family val="2"/>
      </rPr>
      <t>Normalisation et FormesNormales</t>
    </r>
  </si>
  <si>
    <r>
      <t>-</t>
    </r>
    <r>
      <rPr>
        <sz val="7"/>
        <rFont val="Times New Roman"/>
        <family val="1"/>
      </rPr>
      <t xml:space="preserve">          </t>
    </r>
    <r>
      <rPr>
        <sz val="11"/>
        <rFont val="Calibri"/>
        <family val="2"/>
      </rPr>
      <t>Langage SQL</t>
    </r>
  </si>
  <si>
    <r>
      <t>-</t>
    </r>
    <r>
      <rPr>
        <sz val="7"/>
        <rFont val="Times New Roman"/>
        <family val="1"/>
      </rPr>
      <t xml:space="preserve">          </t>
    </r>
    <r>
      <rPr>
        <sz val="11"/>
        <rFont val="Calibri"/>
        <family val="2"/>
        <scheme val="minor"/>
      </rPr>
      <t> Bases de données : Georges Gardarin, EYROLLES, 2003, ISBN 2-212-11281-5</t>
    </r>
  </si>
  <si>
    <r>
      <t>-</t>
    </r>
    <r>
      <rPr>
        <sz val="7"/>
        <rFont val="Times New Roman"/>
        <family val="1"/>
      </rPr>
      <t xml:space="preserve">          </t>
    </r>
    <r>
      <rPr>
        <sz val="11"/>
        <rFont val="Calibri"/>
        <family val="2"/>
        <scheme val="minor"/>
      </rPr>
      <t>Algèbre relationnelle : Guide pratique de conception d'une base de données relationnelle normalisée</t>
    </r>
  </si>
  <si>
    <r>
      <t>-</t>
    </r>
    <r>
      <rPr>
        <sz val="7"/>
        <rFont val="Times New Roman"/>
        <family val="1"/>
      </rPr>
      <t xml:space="preserve">          </t>
    </r>
    <r>
      <rPr>
        <sz val="11"/>
        <rFont val="Calibri"/>
        <family val="2"/>
        <scheme val="minor"/>
      </rPr>
      <t>SQL - Les fondamentaux du langage : EricGodoc ,Eni, 2011, EAN13 : 9782746070103</t>
    </r>
  </si>
  <si>
    <r>
      <t>-</t>
    </r>
    <r>
      <rPr>
        <sz val="7"/>
        <rFont val="Times New Roman"/>
        <family val="1"/>
      </rPr>
      <t xml:space="preserve">          </t>
    </r>
    <r>
      <rPr>
        <sz val="11"/>
        <rFont val="Calibri"/>
        <family val="2"/>
        <scheme val="minor"/>
      </rPr>
      <t>SQL pour Oracle : Christian Soutou, EYROLLES, 2013, EAN13 : 9782212136739</t>
    </r>
  </si>
  <si>
    <r>
      <t>-</t>
    </r>
    <r>
      <rPr>
        <sz val="7"/>
        <rFont val="Times New Roman"/>
        <family val="1"/>
      </rPr>
      <t xml:space="preserve">          </t>
    </r>
    <r>
      <rPr>
        <sz val="11"/>
        <rFont val="Calibri"/>
        <family val="2"/>
        <scheme val="minor"/>
      </rPr>
      <t>SQL Server 2012, SQL, Transact SQL : Conception et réalisation d'une base de données</t>
    </r>
  </si>
  <si>
    <r>
      <t> </t>
    </r>
    <r>
      <rPr>
        <sz val="11"/>
        <rFont val="Calibri"/>
        <family val="2"/>
        <scheme val="minor"/>
      </rPr>
      <t>Base de données, modèle E/A, conception,  schéma relationnel, algèbre relationnelle, normalisation</t>
    </r>
  </si>
  <si>
    <r>
      <t>-</t>
    </r>
    <r>
      <rPr>
        <sz val="7"/>
        <rFont val="Times New Roman"/>
        <family val="1"/>
      </rPr>
      <t xml:space="preserve">          </t>
    </r>
    <r>
      <rPr>
        <sz val="11"/>
        <rFont val="Calibri"/>
        <family val="2"/>
        <scheme val="minor"/>
      </rPr>
      <t> Soutou C., SQL Pour Oracle (avec exercices corrigés), 7ème Edition, Eyrolles, 2015</t>
    </r>
  </si>
  <si>
    <r>
      <t>-</t>
    </r>
    <r>
      <rPr>
        <sz val="7"/>
        <rFont val="Times New Roman"/>
        <family val="1"/>
      </rPr>
      <t xml:space="preserve">          </t>
    </r>
    <r>
      <rPr>
        <sz val="11"/>
        <rFont val="Calibri"/>
        <family val="2"/>
        <scheme val="minor"/>
      </rPr>
      <t>Godoc E., SQL : les fondamentaux du langage, ENI, 2014</t>
    </r>
  </si>
  <si>
    <r>
      <t>-</t>
    </r>
    <r>
      <rPr>
        <sz val="7"/>
        <rFont val="Times New Roman"/>
        <family val="1"/>
      </rPr>
      <t xml:space="preserve">          </t>
    </r>
    <r>
      <rPr>
        <sz val="11"/>
        <rFont val="Calibri"/>
        <family val="2"/>
        <scheme val="minor"/>
      </rPr>
      <t>Date C.J., A Guide to SQL Standard, Addison Wesley</t>
    </r>
  </si>
  <si>
    <r>
      <t>-</t>
    </r>
    <r>
      <rPr>
        <sz val="7"/>
        <rFont val="Times New Roman"/>
        <family val="1"/>
      </rPr>
      <t xml:space="preserve">          </t>
    </r>
    <r>
      <rPr>
        <sz val="11"/>
        <rFont val="Calibri"/>
        <family val="2"/>
        <scheme val="minor"/>
      </rPr>
      <t>J. Pratt P., Initiation à SQL (cours et exercices corrigés), Eyrolles, 2001</t>
    </r>
  </si>
  <si>
    <r>
      <t>-</t>
    </r>
    <r>
      <rPr>
        <sz val="7"/>
        <rFont val="Times New Roman"/>
        <family val="1"/>
      </rPr>
      <t xml:space="preserve">          </t>
    </r>
    <r>
      <rPr>
        <sz val="11"/>
        <rFont val="Calibri"/>
        <family val="2"/>
        <scheme val="minor"/>
      </rPr>
      <t>Brouad F. et Soutou C., SQL (cours et exercices corrigés), Coll. Synthex, Pearson Education, 2005</t>
    </r>
  </si>
  <si>
    <r>
      <t>-</t>
    </r>
    <r>
      <rPr>
        <sz val="7"/>
        <rFont val="Times New Roman"/>
        <family val="1"/>
      </rPr>
      <t xml:space="preserve">     </t>
    </r>
    <r>
      <rPr>
        <sz val="11"/>
        <rFont val="Calibri"/>
        <family val="2"/>
      </rPr>
      <t>Claude Delannoy : programmer en java, Eyrolles 2012 ISBN10 :2212135661</t>
    </r>
  </si>
  <si>
    <r>
      <t>-</t>
    </r>
    <r>
      <rPr>
        <sz val="7"/>
        <rFont val="Times New Roman"/>
        <family val="1"/>
      </rPr>
      <t xml:space="preserve">     </t>
    </r>
    <r>
      <rPr>
        <sz val="11"/>
        <rFont val="Calibri"/>
        <family val="2"/>
      </rPr>
      <t>M. Bouzeghoub, G. Gardarin, P. Valduriez, Les objets, Eyrolles1998.</t>
    </r>
  </si>
  <si>
    <r>
      <t>-</t>
    </r>
    <r>
      <rPr>
        <sz val="7"/>
        <rFont val="Times New Roman"/>
        <family val="1"/>
      </rPr>
      <t xml:space="preserve">     </t>
    </r>
    <r>
      <rPr>
        <sz val="11"/>
        <rFont val="Calibri"/>
        <family val="2"/>
      </rPr>
      <t>E.Puybaret, Java - 1 Premières applications professionnelles en Java, Les Cahiers du Programmeur2003.</t>
    </r>
  </si>
  <si>
    <r>
      <t>-</t>
    </r>
    <r>
      <rPr>
        <sz val="7"/>
        <rFont val="Times New Roman"/>
        <family val="1"/>
      </rPr>
      <t xml:space="preserve">     </t>
    </r>
    <r>
      <rPr>
        <sz val="11"/>
        <rFont val="Calibri"/>
        <family val="2"/>
      </rPr>
      <t>G.Clavel, et al., Java, La synthèse, Dunod2003.</t>
    </r>
  </si>
  <si>
    <r>
      <t>-</t>
    </r>
    <r>
      <rPr>
        <sz val="7"/>
        <rFont val="Times New Roman"/>
        <family val="1"/>
      </rPr>
      <t xml:space="preserve">     </t>
    </r>
    <r>
      <rPr>
        <sz val="11"/>
        <rFont val="Calibri"/>
        <family val="2"/>
      </rPr>
      <t>H. Bersini, La programmation orientée objet, Cours et exercices en UML 2, avec Java, C# 2, C++, Python, PHP 5 et LINQ, Eyrolles2008</t>
    </r>
  </si>
  <si>
    <r>
      <t>-</t>
    </r>
    <r>
      <rPr>
        <sz val="7"/>
        <rFont val="Times New Roman"/>
        <family val="1"/>
      </rPr>
      <t xml:space="preserve">     </t>
    </r>
    <r>
      <rPr>
        <sz val="11"/>
        <rFont val="Calibri"/>
        <family val="2"/>
      </rPr>
      <t>C. Delannoy, S'initier à la programmation : Avec des exemples en C, C++, C#, Java et PHP, Eyrolles2000</t>
    </r>
  </si>
  <si>
    <r>
      <t>-</t>
    </r>
    <r>
      <rPr>
        <sz val="7"/>
        <rFont val="Times New Roman"/>
        <family val="1"/>
      </rPr>
      <t xml:space="preserve">          </t>
    </r>
    <r>
      <rPr>
        <sz val="11"/>
        <rFont val="Times New Roman"/>
        <family val="1"/>
      </rPr>
      <t>Les concepts de l’orienté objet : Objet, classe, attribut, méthode</t>
    </r>
  </si>
  <si>
    <r>
      <t>-</t>
    </r>
    <r>
      <rPr>
        <sz val="7"/>
        <rFont val="Times New Roman"/>
        <family val="1"/>
      </rPr>
      <t xml:space="preserve">          </t>
    </r>
    <r>
      <rPr>
        <sz val="11"/>
        <rFont val="Times New Roman"/>
        <family val="1"/>
      </rPr>
      <t>Les concepts de base du langage Java (types de données, structures de contrôles, tableaux et chaines)</t>
    </r>
  </si>
  <si>
    <r>
      <t>-</t>
    </r>
    <r>
      <rPr>
        <sz val="7"/>
        <rFont val="Times New Roman"/>
        <family val="1"/>
      </rPr>
      <t xml:space="preserve">          </t>
    </r>
    <r>
      <rPr>
        <sz val="11"/>
        <rFont val="Times New Roman"/>
        <family val="1"/>
      </rPr>
      <t>La notion des classes et Objets</t>
    </r>
  </si>
  <si>
    <r>
      <t>-</t>
    </r>
    <r>
      <rPr>
        <sz val="7"/>
        <rFont val="Times New Roman"/>
        <family val="1"/>
      </rPr>
      <t xml:space="preserve">          </t>
    </r>
    <r>
      <rPr>
        <sz val="11"/>
        <rFont val="Times New Roman"/>
        <family val="1"/>
      </rPr>
      <t>L’encapsulation : mode de visibilité (public et privé), les constructeurs et le destructeur</t>
    </r>
  </si>
  <si>
    <r>
      <t>-</t>
    </r>
    <r>
      <rPr>
        <sz val="7"/>
        <rFont val="Times New Roman"/>
        <family val="1"/>
      </rPr>
      <t xml:space="preserve">          </t>
    </r>
    <r>
      <rPr>
        <sz val="11"/>
        <rFont val="Times New Roman"/>
        <family val="1"/>
      </rPr>
      <t>Relations entre classes (association et agrégation), l’héritage et l’encapsulation</t>
    </r>
  </si>
  <si>
    <r>
      <t>-</t>
    </r>
    <r>
      <rPr>
        <sz val="7"/>
        <rFont val="Times New Roman"/>
        <family val="1"/>
      </rPr>
      <t xml:space="preserve">          </t>
    </r>
    <r>
      <rPr>
        <sz val="11"/>
        <rFont val="Times New Roman"/>
        <family val="1"/>
      </rPr>
      <t>Polymorphisme, classes abstraites et interfaces</t>
    </r>
  </si>
  <si>
    <r>
      <t>-</t>
    </r>
    <r>
      <rPr>
        <sz val="7"/>
        <rFont val="Times New Roman"/>
        <family val="1"/>
      </rPr>
      <t xml:space="preserve">          </t>
    </r>
    <r>
      <rPr>
        <sz val="11"/>
        <rFont val="Times New Roman"/>
        <family val="1"/>
      </rPr>
      <t>La gestion des exceptions</t>
    </r>
  </si>
  <si>
    <r>
      <t> </t>
    </r>
    <r>
      <rPr>
        <sz val="11"/>
        <rFont val="Calibri"/>
        <family val="2"/>
        <scheme val="minor"/>
      </rPr>
      <t>Objet, classe, attribut, méthode, encapsulation, mode de visibilité, publique, privé, constructeur, destructeur, appel implicite et appel explicite, réutilisation, package, héritage, polymorphisme, association, agrégation, composition, classe abstraite, classe paramétrable, classe interface.</t>
    </r>
  </si>
  <si>
    <r>
      <t>-</t>
    </r>
    <r>
      <rPr>
        <sz val="7"/>
        <rFont val="Times New Roman"/>
        <family val="1"/>
      </rPr>
      <t xml:space="preserve">  </t>
    </r>
    <r>
      <rPr>
        <sz val="12"/>
        <rFont val="Calibri"/>
        <family val="2"/>
      </rPr>
      <t> </t>
    </r>
    <r>
      <rPr>
        <sz val="11"/>
        <rFont val="Calibri"/>
        <family val="2"/>
      </rPr>
      <t>Comprendre les concepts de programmation orientée objet : l’étudiant doit être capable de comprendre une conception orientée objet en vue de la traduire en programme orienté objet.</t>
    </r>
  </si>
  <si>
    <r>
      <t>-</t>
    </r>
    <r>
      <rPr>
        <sz val="7"/>
        <rFont val="Times New Roman"/>
        <family val="1"/>
      </rPr>
      <t xml:space="preserve">  </t>
    </r>
    <r>
      <rPr>
        <sz val="11"/>
        <rFont val="Calibri"/>
        <family val="2"/>
      </rPr>
      <t>Implémenter des classes d’objets : l’étudiant doit être capable d’implémenter une classe en précisant ses propriétés et ses opérations, en précisant leur visibilité : publique ou privé et en définissant ses constructeurs et son destructeur.</t>
    </r>
  </si>
  <si>
    <r>
      <t>-</t>
    </r>
    <r>
      <rPr>
        <sz val="7"/>
        <rFont val="Times New Roman"/>
        <family val="1"/>
      </rPr>
      <t xml:space="preserve">  </t>
    </r>
    <r>
      <rPr>
        <sz val="11"/>
        <rFont val="Calibri"/>
        <family val="2"/>
      </rPr>
      <t>Créer des classes avec le principe d’héritage : à partir d’une classe déjà définie et une analyse, l’étudiant doit être capable de créer une classe qui hérite la première.</t>
    </r>
  </si>
  <si>
    <r>
      <t>-</t>
    </r>
    <r>
      <rPr>
        <sz val="7"/>
        <rFont val="Times New Roman"/>
        <family val="1"/>
      </rPr>
      <t xml:space="preserve">  </t>
    </r>
    <r>
      <rPr>
        <sz val="11"/>
        <rFont val="Calibri"/>
        <family val="2"/>
      </rPr>
      <t>Ecrire des programmes avec des objets de différentes classes : des classes étant présentées à l’étudiant, il doit être capable d’écrire des programmes utilisant des objets de ces classes.</t>
    </r>
  </si>
  <si>
    <r>
      <t> </t>
    </r>
    <r>
      <rPr>
        <sz val="11"/>
        <rFont val="Calibri"/>
        <family val="2"/>
        <scheme val="minor"/>
      </rPr>
      <t>Ce cours permet à l’étudiant d’acquérir les connaissances nécessaires pour écrire des programmes orientés objets.</t>
    </r>
  </si>
  <si>
    <r>
      <t> </t>
    </r>
    <r>
      <rPr>
        <sz val="11"/>
        <rFont val="Calibri"/>
        <family val="2"/>
        <scheme val="minor"/>
      </rPr>
      <t>Cet atelier vise à développer chez l’apprenant les capacités adéquates pour traduire un modèle objet en un programme orienté objet dans un langage de programmation (Java ou autre).</t>
    </r>
  </si>
  <si>
    <r>
      <t>-</t>
    </r>
    <r>
      <rPr>
        <sz val="7"/>
        <rFont val="Times New Roman"/>
        <family val="1"/>
      </rPr>
      <t xml:space="preserve">  </t>
    </r>
    <r>
      <rPr>
        <sz val="12"/>
        <rFont val="Calibri"/>
        <family val="2"/>
      </rPr>
      <t> </t>
    </r>
    <r>
      <rPr>
        <sz val="11"/>
        <rFont val="Calibri"/>
        <family val="2"/>
      </rPr>
      <t>Ecrire des programmes utilisant les principes de la POO : Encapsulation, héritage et polymorphisme.</t>
    </r>
  </si>
  <si>
    <r>
      <t> </t>
    </r>
    <r>
      <rPr>
        <sz val="11"/>
        <rFont val="Calibri"/>
        <family val="2"/>
        <scheme val="minor"/>
      </rPr>
      <t>Programme, Classe, Objet, attribut, méthode, privé, publique, héritage, polymorphisme, exception</t>
    </r>
  </si>
  <si>
    <r>
      <t> </t>
    </r>
    <r>
      <rPr>
        <sz val="11"/>
        <rFont val="Calibri"/>
        <family val="2"/>
      </rPr>
      <t>Les ateliers :</t>
    </r>
  </si>
  <si>
    <r>
      <t>-</t>
    </r>
    <r>
      <rPr>
        <sz val="7"/>
        <rFont val="Times New Roman"/>
        <family val="1"/>
      </rPr>
      <t xml:space="preserve">  </t>
    </r>
    <r>
      <rPr>
        <b/>
        <i/>
        <sz val="11"/>
        <rFont val="Calibri"/>
        <family val="2"/>
      </rPr>
      <t>Atelier 1 : Première application orientéeobjet</t>
    </r>
  </si>
  <si>
    <r>
      <t>-</t>
    </r>
    <r>
      <rPr>
        <sz val="7"/>
        <rFont val="Times New Roman"/>
        <family val="1"/>
      </rPr>
      <t xml:space="preserve">  </t>
    </r>
    <r>
      <rPr>
        <b/>
        <i/>
        <sz val="11"/>
        <rFont val="Calibri"/>
        <family val="2"/>
      </rPr>
      <t>Atelier 2 : les types simples, structurés et  les tableaux</t>
    </r>
  </si>
  <si>
    <r>
      <t xml:space="preserve">- </t>
    </r>
    <r>
      <rPr>
        <b/>
        <i/>
        <sz val="11"/>
        <rFont val="Calibri"/>
        <family val="2"/>
        <scheme val="minor"/>
      </rPr>
      <t>Atelier 4 : Constructeurs et destructeur</t>
    </r>
  </si>
  <si>
    <r>
      <t xml:space="preserve">- </t>
    </r>
    <r>
      <rPr>
        <b/>
        <i/>
        <sz val="11"/>
        <rFont val="Calibri"/>
        <family val="2"/>
        <scheme val="minor"/>
      </rPr>
      <t>Atelier 6: Héritage</t>
    </r>
  </si>
  <si>
    <r>
      <t>-</t>
    </r>
    <r>
      <rPr>
        <sz val="7"/>
        <rFont val="Times New Roman"/>
        <family val="1"/>
      </rPr>
      <t xml:space="preserve">  </t>
    </r>
    <r>
      <rPr>
        <b/>
        <i/>
        <sz val="11"/>
        <rFont val="Calibri"/>
        <family val="2"/>
        <scheme val="minor"/>
      </rPr>
      <t>Atelier 7: Interface et polymorphisme</t>
    </r>
  </si>
  <si>
    <r>
      <t>-</t>
    </r>
    <r>
      <rPr>
        <sz val="7"/>
        <rFont val="Times New Roman"/>
        <family val="1"/>
      </rPr>
      <t xml:space="preserve">  </t>
    </r>
    <r>
      <rPr>
        <b/>
        <i/>
        <sz val="11"/>
        <rFont val="Calibri"/>
        <family val="2"/>
        <scheme val="minor"/>
      </rPr>
      <t>Atelier 8: Gestion des exceptions</t>
    </r>
  </si>
  <si>
    <r>
      <t> </t>
    </r>
    <r>
      <rPr>
        <sz val="11"/>
        <rFont val="Calibri"/>
        <family val="2"/>
        <scheme val="minor"/>
      </rPr>
      <t>Langage de programmation : Java, c#, python ou équivalent</t>
    </r>
  </si>
  <si>
    <r>
      <t>-</t>
    </r>
    <r>
      <rPr>
        <sz val="7"/>
        <rFont val="Calibri"/>
        <family val="2"/>
        <scheme val="minor"/>
      </rPr>
      <t xml:space="preserve">          </t>
    </r>
    <r>
      <rPr>
        <sz val="12"/>
        <rFont val="Calibri"/>
        <family val="2"/>
        <scheme val="minor"/>
      </rPr>
      <t> </t>
    </r>
    <r>
      <rPr>
        <sz val="11"/>
        <rFont val="Calibri"/>
        <family val="2"/>
        <scheme val="minor"/>
      </rPr>
      <t xml:space="preserve">Aurélien ROUX, « CONFIGUREZ ROUTEURS ET COMMUTATEURS : EXERCICES ET CORRIGES (4IEME EDITION)» </t>
    </r>
  </si>
  <si>
    <r>
      <t>-</t>
    </r>
    <r>
      <rPr>
        <sz val="7"/>
        <rFont val="Calibri"/>
        <family val="2"/>
        <scheme val="minor"/>
      </rPr>
      <t xml:space="preserve">          </t>
    </r>
    <r>
      <rPr>
        <sz val="11"/>
        <rFont val="Calibri"/>
        <family val="2"/>
        <scheme val="minor"/>
      </rPr>
      <t xml:space="preserve">Laurent SCHALKWIJK, « CISCO - ROUTAGE ET COMMUTATION 2IEME MODULE DE PREPARATION A LA CERTIFICATION PREPARATION A LA CERTIFICATION CCNA 200-120 (NOUVELLE EDITION) » </t>
    </r>
  </si>
  <si>
    <r>
      <t>-</t>
    </r>
    <r>
      <rPr>
        <sz val="7"/>
        <rFont val="Calibri"/>
        <family val="2"/>
        <scheme val="minor"/>
      </rPr>
      <t xml:space="preserve">          </t>
    </r>
    <r>
      <rPr>
        <sz val="11"/>
        <rFont val="Calibri"/>
        <family val="2"/>
        <scheme val="minor"/>
      </rPr>
      <t xml:space="preserve">Aurélien ROUX, «CISCO : ENTRAINEZ-VOUS A CONFIGURER ROUTEURS ET COMMUTATEURS» </t>
    </r>
  </si>
  <si>
    <r>
      <t>-</t>
    </r>
    <r>
      <rPr>
        <sz val="7"/>
        <rFont val="Calibri"/>
        <family val="2"/>
        <scheme val="minor"/>
      </rPr>
      <t xml:space="preserve">          </t>
    </r>
    <r>
      <rPr>
        <sz val="11"/>
        <rFont val="Calibri"/>
        <family val="2"/>
        <scheme val="minor"/>
      </rPr>
      <t>Amandine VALCKE, «LIVRE CISCO - 35H DE MISE EN PRATIQUE H DE MISE EN PRATIQUE», publié aux Editions ENI.</t>
    </r>
  </si>
  <si>
    <r>
      <t>-</t>
    </r>
    <r>
      <rPr>
        <sz val="7"/>
        <rFont val="Calibri"/>
        <family val="2"/>
        <scheme val="minor"/>
      </rPr>
      <t xml:space="preserve">          </t>
    </r>
    <r>
      <rPr>
        <sz val="11"/>
        <rFont val="Calibri"/>
        <family val="2"/>
        <scheme val="minor"/>
      </rPr>
      <t xml:space="preserve">MASS, S. « MODES OPERATOIRES RESEAUX ET SYSTEMES», Tutorial. 2013. En ligne. Disponible sur: http://www.smnet.fr/ </t>
    </r>
  </si>
  <si>
    <r>
      <t>-</t>
    </r>
    <r>
      <rPr>
        <sz val="7"/>
        <rFont val="Calibri"/>
        <family val="2"/>
        <scheme val="minor"/>
      </rPr>
      <t xml:space="preserve">          </t>
    </r>
    <r>
      <rPr>
        <sz val="11"/>
        <rFont val="Calibri"/>
        <family val="2"/>
        <scheme val="minor"/>
      </rPr>
      <t xml:space="preserve">MOLENAAR, R. “GNS3 VAULT”, Free Cisco labs for CCNA, CCNP and CCIE students; Disponible sur: http://gns3vault.com/ </t>
    </r>
  </si>
  <si>
    <r>
      <t> </t>
    </r>
    <r>
      <rPr>
        <sz val="11"/>
        <rFont val="Calibri"/>
        <family val="2"/>
        <scheme val="minor"/>
      </rPr>
      <t>A l’issue de ce cours, l’étudiant  doit comprendre la manière dont un routeur accède aux informations distantes et achemine le trafic et comprendre les techniques de redistribution de protocoles de routage et les protocoles de redondance des passerelles</t>
    </r>
  </si>
  <si>
    <r>
      <t>-</t>
    </r>
    <r>
      <rPr>
        <sz val="7"/>
        <rFont val="Calibri"/>
        <family val="2"/>
        <scheme val="minor"/>
      </rPr>
      <t xml:space="preserve">        </t>
    </r>
    <r>
      <rPr>
        <sz val="11"/>
        <rFont val="Calibri"/>
        <family val="2"/>
        <scheme val="minor"/>
      </rPr>
      <t>Décrire les composants d’un routeur ainsi que le processus de transfert des paquets.</t>
    </r>
  </si>
  <si>
    <r>
      <t>-</t>
    </r>
    <r>
      <rPr>
        <sz val="7"/>
        <rFont val="Calibri"/>
        <family val="2"/>
        <scheme val="minor"/>
      </rPr>
      <t xml:space="preserve">        </t>
    </r>
    <r>
      <rPr>
        <sz val="11"/>
        <rFont val="Calibri"/>
        <family val="2"/>
        <scheme val="minor"/>
      </rPr>
      <t>Analyser le contenu des tables de routage IPv4 et IPv6</t>
    </r>
  </si>
  <si>
    <r>
      <t>-</t>
    </r>
    <r>
      <rPr>
        <sz val="7"/>
        <rFont val="Calibri"/>
        <family val="2"/>
        <scheme val="minor"/>
      </rPr>
      <t xml:space="preserve">        </t>
    </r>
    <r>
      <rPr>
        <sz val="11"/>
        <rFont val="Calibri"/>
        <family val="2"/>
        <scheme val="minor"/>
      </rPr>
      <t>Comprendre les différentes manières de routage statique et dynamique (inter et intra-domaine) IPv4 et IPv6 des paquets.</t>
    </r>
  </si>
  <si>
    <r>
      <t>-</t>
    </r>
    <r>
      <rPr>
        <sz val="7"/>
        <rFont val="Calibri"/>
        <family val="2"/>
        <scheme val="minor"/>
      </rPr>
      <t xml:space="preserve">        </t>
    </r>
    <r>
      <rPr>
        <sz val="11"/>
        <rFont val="Calibri"/>
        <family val="2"/>
        <scheme val="minor"/>
      </rPr>
      <t xml:space="preserve"> Comprendre les techniques de redistribution des protocoles</t>
    </r>
  </si>
  <si>
    <r>
      <t>-</t>
    </r>
    <r>
      <rPr>
        <sz val="7"/>
        <rFont val="Calibri"/>
        <family val="2"/>
        <scheme val="minor"/>
      </rPr>
      <t xml:space="preserve">       </t>
    </r>
    <r>
      <rPr>
        <sz val="11"/>
        <rFont val="Calibri"/>
        <family val="2"/>
        <scheme val="minor"/>
      </rPr>
      <t>Comprendre les principes de la redondance des gateways afin d’assurer la haute disponibilité.</t>
    </r>
  </si>
  <si>
    <r>
      <t> </t>
    </r>
    <r>
      <rPr>
        <sz val="11"/>
        <rFont val="Calibri"/>
        <family val="2"/>
        <scheme val="minor"/>
      </rPr>
      <t>Routeur, Commutateur, VLSM, CIDR, RIP, EIGRP, OSPF, routage statique, routage dynamique, système autonome, Distance administrative, GBLP,HSRP.</t>
    </r>
  </si>
  <si>
    <r>
      <t>-</t>
    </r>
    <r>
      <rPr>
        <sz val="7"/>
        <rFont val="Calibri"/>
        <family val="2"/>
        <scheme val="minor"/>
      </rPr>
      <t xml:space="preserve">      </t>
    </r>
    <r>
      <rPr>
        <b/>
        <sz val="11"/>
        <rFont val="Calibri"/>
        <family val="2"/>
        <scheme val="minor"/>
      </rPr>
      <t>Concepts de Routage</t>
    </r>
    <r>
      <rPr>
        <sz val="11"/>
        <rFont val="Calibri"/>
        <family val="2"/>
        <scheme val="minor"/>
      </rPr>
      <t> : caractéristiques de la table de routage, scénario de routage, routage interne/externe, routage par classe/sans classe</t>
    </r>
  </si>
  <si>
    <r>
      <t>-</t>
    </r>
    <r>
      <rPr>
        <sz val="7"/>
        <rFont val="Calibri"/>
        <family val="2"/>
        <scheme val="minor"/>
      </rPr>
      <t xml:space="preserve">      </t>
    </r>
    <r>
      <rPr>
        <b/>
        <sz val="11"/>
        <rFont val="Calibri"/>
        <family val="2"/>
        <scheme val="minor"/>
      </rPr>
      <t>Routage Statique</t>
    </r>
    <r>
      <rPr>
        <sz val="11"/>
        <rFont val="Calibri"/>
        <family val="2"/>
        <scheme val="minor"/>
      </rPr>
      <t> : syntaxe et fonctionnement (IPv4, IPv6), avantages, inconvénients.</t>
    </r>
  </si>
  <si>
    <r>
      <t>-</t>
    </r>
    <r>
      <rPr>
        <sz val="7"/>
        <rFont val="Calibri"/>
        <family val="2"/>
        <scheme val="minor"/>
      </rPr>
      <t xml:space="preserve">      </t>
    </r>
    <r>
      <rPr>
        <b/>
        <sz val="11"/>
        <rFont val="Calibri"/>
        <family val="2"/>
        <scheme val="minor"/>
      </rPr>
      <t>Routage Dynamique</t>
    </r>
    <r>
      <rPr>
        <sz val="11"/>
        <rFont val="Calibri"/>
        <family val="2"/>
        <scheme val="minor"/>
      </rPr>
      <t> : classifications intradomaine (IGP) et interdomaine (EGP) , Routage à vecteur de Distance (RIP v1, RIPv2 ,Ripng  et EIGRP)/ Routage à état des liens (OSPF), Routage inter-domaine (BGP)</t>
    </r>
  </si>
  <si>
    <r>
      <t>-</t>
    </r>
    <r>
      <rPr>
        <sz val="7"/>
        <rFont val="Calibri"/>
        <family val="2"/>
        <scheme val="minor"/>
      </rPr>
      <t xml:space="preserve">      </t>
    </r>
    <r>
      <rPr>
        <b/>
        <sz val="11"/>
        <rFont val="Calibri"/>
        <family val="2"/>
        <scheme val="minor"/>
      </rPr>
      <t>Protocole RIP</t>
    </r>
    <r>
      <rPr>
        <sz val="11"/>
        <rFont val="Calibri"/>
        <family val="2"/>
        <scheme val="minor"/>
      </rPr>
      <t> : format des messages, types de paquets, calcul des métriques, configuration ripv2, ripng, …</t>
    </r>
  </si>
  <si>
    <r>
      <t>-</t>
    </r>
    <r>
      <rPr>
        <sz val="7"/>
        <rFont val="Calibri"/>
        <family val="2"/>
        <scheme val="minor"/>
      </rPr>
      <t xml:space="preserve">      </t>
    </r>
    <r>
      <rPr>
        <b/>
        <sz val="11"/>
        <rFont val="Calibri"/>
        <family val="2"/>
        <scheme val="minor"/>
      </rPr>
      <t>Protocole EIGRP</t>
    </r>
    <r>
      <rPr>
        <sz val="11"/>
        <rFont val="Calibri"/>
        <family val="2"/>
        <scheme val="minor"/>
      </rPr>
      <t> : format des messages, types de paquets, calcul des métriques, …</t>
    </r>
  </si>
  <si>
    <r>
      <t>-</t>
    </r>
    <r>
      <rPr>
        <sz val="7"/>
        <rFont val="Calibri"/>
        <family val="2"/>
        <scheme val="minor"/>
      </rPr>
      <t xml:space="preserve">      </t>
    </r>
    <r>
      <rPr>
        <b/>
        <sz val="11"/>
        <rFont val="Calibri"/>
        <family val="2"/>
        <scheme val="minor"/>
      </rPr>
      <t>Protocole OSPF single-area</t>
    </r>
    <r>
      <rPr>
        <sz val="11"/>
        <rFont val="Calibri"/>
        <family val="2"/>
        <scheme val="minor"/>
      </rPr>
      <t> : caractéristiques, configuration OSPFv2 et OSPFv3, …</t>
    </r>
  </si>
  <si>
    <r>
      <t>-</t>
    </r>
    <r>
      <rPr>
        <sz val="7"/>
        <rFont val="Calibri"/>
        <family val="2"/>
        <scheme val="minor"/>
      </rPr>
      <t xml:space="preserve">      </t>
    </r>
    <r>
      <rPr>
        <b/>
        <sz val="11"/>
        <rFont val="Calibri"/>
        <family val="2"/>
        <scheme val="minor"/>
      </rPr>
      <t>Protocole OSPF multi-area</t>
    </r>
    <r>
      <rPr>
        <sz val="11"/>
        <rFont val="Calibri"/>
        <family val="2"/>
        <scheme val="minor"/>
      </rPr>
      <t xml:space="preserve"> : caractéristiques, configuration, …</t>
    </r>
  </si>
  <si>
    <r>
      <t>-</t>
    </r>
    <r>
      <rPr>
        <sz val="7"/>
        <rFont val="Calibri"/>
        <family val="2"/>
        <scheme val="minor"/>
      </rPr>
      <t xml:space="preserve">      </t>
    </r>
    <r>
      <rPr>
        <b/>
        <sz val="11"/>
        <rFont val="Calibri"/>
        <family val="2"/>
        <scheme val="minor"/>
      </rPr>
      <t xml:space="preserve">Redistribution des protocoles : </t>
    </r>
    <r>
      <rPr>
        <sz val="11"/>
        <rFont val="Calibri"/>
        <family val="2"/>
        <scheme val="minor"/>
      </rPr>
      <t>fonctionnement, Modification de la distance administrative, métriques de redistribution….. </t>
    </r>
  </si>
  <si>
    <r>
      <t>-</t>
    </r>
    <r>
      <rPr>
        <sz val="7"/>
        <rFont val="Calibri"/>
        <family val="2"/>
        <scheme val="minor"/>
      </rPr>
      <t xml:space="preserve">      </t>
    </r>
    <r>
      <rPr>
        <b/>
        <sz val="11"/>
        <rFont val="Calibri"/>
        <family val="2"/>
        <scheme val="minor"/>
      </rPr>
      <t>Protocole BGP :</t>
    </r>
    <r>
      <rPr>
        <sz val="11"/>
        <rFont val="Calibri"/>
        <family val="2"/>
        <scheme val="minor"/>
      </rPr>
      <t xml:space="preserve"> caractéristiques, configuration,</t>
    </r>
  </si>
  <si>
    <r>
      <t>-</t>
    </r>
    <r>
      <rPr>
        <sz val="7"/>
        <rFont val="Calibri"/>
        <family val="2"/>
        <scheme val="minor"/>
      </rPr>
      <t xml:space="preserve">  </t>
    </r>
    <r>
      <rPr>
        <b/>
        <sz val="11"/>
        <rFont val="Calibri"/>
        <family val="2"/>
        <scheme val="minor"/>
      </rPr>
      <t>Protocoles de redondance de gateway HSRP, VRRP et GBLP</t>
    </r>
    <r>
      <rPr>
        <sz val="11"/>
        <rFont val="Calibri"/>
        <family val="2"/>
        <scheme val="minor"/>
      </rPr>
      <t> : caractéristiques et fonctionnements, adresse ip virtuelle, master et slave, haute disponibilité….</t>
    </r>
  </si>
  <si>
    <r>
      <t xml:space="preserve">Cette matière requiert que l'étudiant ait suivi </t>
    </r>
    <r>
      <rPr>
        <sz val="11"/>
        <rFont val="Calibri"/>
        <family val="2"/>
        <scheme val="minor"/>
      </rPr>
      <t>UE : Systèmes et réseaux et UE : Réseaux I</t>
    </r>
  </si>
  <si>
    <r>
      <t>§</t>
    </r>
    <r>
      <rPr>
        <sz val="7"/>
        <rFont val="Times New Roman"/>
        <family val="1"/>
      </rPr>
      <t xml:space="preserve">  </t>
    </r>
    <r>
      <rPr>
        <sz val="11"/>
        <rFont val="Calibri"/>
        <family val="2"/>
        <scheme val="minor"/>
      </rPr>
      <t>Expliquer le besoin en IPv6.</t>
    </r>
  </si>
  <si>
    <r>
      <t>§</t>
    </r>
    <r>
      <rPr>
        <sz val="7"/>
        <rFont val="Times New Roman"/>
        <family val="1"/>
      </rPr>
      <t xml:space="preserve">  </t>
    </r>
    <r>
      <rPr>
        <sz val="11"/>
        <rFont val="Calibri"/>
        <family val="2"/>
        <scheme val="minor"/>
      </rPr>
      <t>Distinguer les nouvelles fonctionnalités apportées par l’IPv6.</t>
    </r>
  </si>
  <si>
    <r>
      <t>§</t>
    </r>
    <r>
      <rPr>
        <sz val="7"/>
        <rFont val="Times New Roman"/>
        <family val="1"/>
      </rPr>
      <t xml:space="preserve">  </t>
    </r>
    <r>
      <rPr>
        <sz val="11"/>
        <rFont val="Calibri"/>
        <family val="2"/>
        <scheme val="minor"/>
      </rPr>
      <t>Comparer les deux versions IPv6 et IPv4.</t>
    </r>
  </si>
  <si>
    <r>
      <t>§</t>
    </r>
    <r>
      <rPr>
        <sz val="7"/>
        <rFont val="Times New Roman"/>
        <family val="1"/>
      </rPr>
      <t xml:space="preserve">  </t>
    </r>
    <r>
      <rPr>
        <sz val="11"/>
        <rFont val="Calibri"/>
        <family val="2"/>
        <scheme val="minor"/>
      </rPr>
      <t>Décrire les mécanismes de coexistence entre IPv4 et IPv6 (tunnel IPv6, Dual-Stack).</t>
    </r>
  </si>
  <si>
    <r>
      <t>§</t>
    </r>
    <r>
      <rPr>
        <sz val="7"/>
        <rFont val="Times New Roman"/>
        <family val="1"/>
      </rPr>
      <t xml:space="preserve">  </t>
    </r>
    <r>
      <rPr>
        <sz val="11"/>
        <rFont val="Calibri"/>
        <family val="2"/>
        <scheme val="minor"/>
      </rPr>
      <t>Distinguer la structure de l’adresse IPv6.</t>
    </r>
  </si>
  <si>
    <r>
      <t>§</t>
    </r>
    <r>
      <rPr>
        <sz val="7"/>
        <rFont val="Times New Roman"/>
        <family val="1"/>
      </rPr>
      <t xml:space="preserve">  </t>
    </r>
    <r>
      <rPr>
        <sz val="11"/>
        <rFont val="Calibri"/>
        <family val="2"/>
        <scheme val="minor"/>
      </rPr>
      <t>Connaitre l’entête IPv6 et identifier le rôle de chaque champ.</t>
    </r>
  </si>
  <si>
    <r>
      <t>§</t>
    </r>
    <r>
      <rPr>
        <sz val="7"/>
        <rFont val="Times New Roman"/>
        <family val="1"/>
      </rPr>
      <t xml:space="preserve">  </t>
    </r>
    <r>
      <rPr>
        <sz val="11"/>
        <rFont val="Calibri"/>
        <family val="2"/>
        <scheme val="minor"/>
      </rPr>
      <t>Connaitre les règles d’écriture de l’adresse IPv6.</t>
    </r>
  </si>
  <si>
    <r>
      <t>§</t>
    </r>
    <r>
      <rPr>
        <sz val="7"/>
        <rFont val="Times New Roman"/>
        <family val="1"/>
      </rPr>
      <t xml:space="preserve">  </t>
    </r>
    <r>
      <rPr>
        <sz val="11"/>
        <rFont val="Calibri"/>
        <family val="2"/>
        <scheme val="minor"/>
      </rPr>
      <t>Énumérer les différents types d’adresses et le rôle de chacune.</t>
    </r>
  </si>
  <si>
    <r>
      <t>§</t>
    </r>
    <r>
      <rPr>
        <sz val="7"/>
        <rFont val="Times New Roman"/>
        <family val="1"/>
      </rPr>
      <t xml:space="preserve">  </t>
    </r>
    <r>
      <rPr>
        <sz val="11"/>
        <rFont val="Calibri"/>
        <family val="2"/>
        <scheme val="minor"/>
      </rPr>
      <t>(GUA, Link-Local, Multicast).</t>
    </r>
  </si>
  <si>
    <r>
      <t>§</t>
    </r>
    <r>
      <rPr>
        <sz val="7"/>
        <rFont val="Times New Roman"/>
        <family val="1"/>
      </rPr>
      <t xml:space="preserve">  </t>
    </r>
    <r>
      <rPr>
        <sz val="11"/>
        <rFont val="Calibri"/>
        <family val="2"/>
        <scheme val="minor"/>
      </rPr>
      <t>Expliquer le rôle des adresses Unicast Global.</t>
    </r>
  </si>
  <si>
    <r>
      <t>§</t>
    </r>
    <r>
      <rPr>
        <sz val="7"/>
        <rFont val="Times New Roman"/>
        <family val="1"/>
      </rPr>
      <t xml:space="preserve">  </t>
    </r>
    <r>
      <rPr>
        <sz val="11"/>
        <rFont val="Calibri"/>
        <family val="2"/>
        <scheme val="minor"/>
      </rPr>
      <t>Identifier les différentes parties qui composent l’adresse</t>
    </r>
  </si>
  <si>
    <r>
      <t>§</t>
    </r>
    <r>
      <rPr>
        <sz val="7"/>
        <rFont val="Times New Roman"/>
        <family val="1"/>
      </rPr>
      <t xml:space="preserve">  </t>
    </r>
    <r>
      <rPr>
        <sz val="11"/>
        <rFont val="Calibri"/>
        <family val="2"/>
        <scheme val="minor"/>
      </rPr>
      <t>Unicast Global.</t>
    </r>
  </si>
  <si>
    <r>
      <t>§</t>
    </r>
    <r>
      <rPr>
        <sz val="7"/>
        <rFont val="Times New Roman"/>
        <family val="1"/>
      </rPr>
      <t xml:space="preserve">  </t>
    </r>
    <r>
      <rPr>
        <sz val="11"/>
        <rFont val="Calibri"/>
        <family val="2"/>
        <scheme val="minor"/>
      </rPr>
      <t xml:space="preserve">Enumérer les méthodes de configurations des adresses IPv6 unicast global (manuelle et dynamique). </t>
    </r>
  </si>
  <si>
    <r>
      <t>§</t>
    </r>
    <r>
      <rPr>
        <sz val="7"/>
        <rFont val="Times New Roman"/>
        <family val="1"/>
      </rPr>
      <t xml:space="preserve">  </t>
    </r>
    <r>
      <rPr>
        <sz val="11"/>
        <rFont val="Calibri"/>
        <family val="2"/>
        <scheme val="minor"/>
      </rPr>
      <t>Distinguer le rôle du protocole ICMPv6.</t>
    </r>
  </si>
  <si>
    <r>
      <t>§</t>
    </r>
    <r>
      <rPr>
        <sz val="7"/>
        <rFont val="Times New Roman"/>
        <family val="1"/>
      </rPr>
      <t xml:space="preserve">  </t>
    </r>
    <r>
      <rPr>
        <sz val="11"/>
        <rFont val="Calibri"/>
        <family val="2"/>
        <scheme val="minor"/>
      </rPr>
      <t>Distinguer le rôle du protocole DHCPv6 dans la configuration automatique des adresses Unicast Global.</t>
    </r>
  </si>
  <si>
    <r>
      <t>§</t>
    </r>
    <r>
      <rPr>
        <sz val="7"/>
        <rFont val="Times New Roman"/>
        <family val="1"/>
      </rPr>
      <t xml:space="preserve">  </t>
    </r>
    <r>
      <rPr>
        <sz val="11"/>
        <rFont val="Calibri"/>
        <family val="2"/>
        <scheme val="minor"/>
      </rPr>
      <t>Expliquer le rôle des adresses Multicast.</t>
    </r>
  </si>
  <si>
    <r>
      <t>§</t>
    </r>
    <r>
      <rPr>
        <sz val="7"/>
        <rFont val="Times New Roman"/>
        <family val="1"/>
      </rPr>
      <t xml:space="preserve">  </t>
    </r>
    <r>
      <rPr>
        <sz val="11"/>
        <rFont val="Calibri"/>
        <family val="2"/>
        <scheme val="minor"/>
      </rPr>
      <t>Mecanisme de Routage IPv6 (Ripng, OSPFv3, EIGRPv6) et redistribution des routes</t>
    </r>
  </si>
  <si>
    <r>
      <t>§</t>
    </r>
    <r>
      <rPr>
        <sz val="7"/>
        <rFont val="Times New Roman"/>
        <family val="1"/>
      </rPr>
      <t xml:space="preserve">  </t>
    </r>
    <r>
      <rPr>
        <sz val="11"/>
        <rFont val="Calibri"/>
        <family val="2"/>
        <scheme val="minor"/>
      </rPr>
      <t>Comprendre les mécanisme de coexistence IPv4 et IPv6 : NAT-PT, Tunneling GRE IP , Tunneling 6to4 , tunneling GRE IP, Tunneling ISATAP</t>
    </r>
  </si>
  <si>
    <r>
      <t>-</t>
    </r>
    <r>
      <rPr>
        <sz val="7"/>
        <rFont val="Times New Roman"/>
        <family val="1"/>
      </rPr>
      <t xml:space="preserve">  </t>
    </r>
    <r>
      <rPr>
        <sz val="11"/>
        <rFont val="Calibri"/>
        <family val="2"/>
        <scheme val="minor"/>
      </rPr>
      <t>Comprendre le principe de la sécurité en IPv6</t>
    </r>
  </si>
  <si>
    <r>
      <t> </t>
    </r>
    <r>
      <rPr>
        <sz val="11"/>
        <rFont val="Calibri"/>
        <family val="2"/>
        <scheme val="minor"/>
      </rPr>
      <t>GYA, Link local, Unique local, Multicast, SLAAC, stateless DHCPv6, Statefull DHCPv6, ICMPv6, router sollicitated, router advertisement, neighbor advertisement, neighbor solicitated, dual stack , tunneling</t>
    </r>
  </si>
  <si>
    <r>
      <t>-</t>
    </r>
    <r>
      <rPr>
        <sz val="7"/>
        <rFont val="Times New Roman"/>
        <family val="1"/>
      </rPr>
      <t xml:space="preserve">       </t>
    </r>
    <r>
      <rPr>
        <sz val="11"/>
        <rFont val="Calibri"/>
        <family val="2"/>
        <scheme val="minor"/>
      </rPr>
      <t>Décrire les facteurs qui conduisent au développement d’IPv6,</t>
    </r>
  </si>
  <si>
    <r>
      <t>-</t>
    </r>
    <r>
      <rPr>
        <sz val="7"/>
        <rFont val="Times New Roman"/>
        <family val="1"/>
      </rPr>
      <t xml:space="preserve">       </t>
    </r>
    <r>
      <rPr>
        <sz val="11"/>
        <rFont val="Calibri"/>
        <family val="2"/>
        <scheme val="minor"/>
      </rPr>
      <t>Décrire les différents types d’adresses IPv6,</t>
    </r>
  </si>
  <si>
    <r>
      <t>-</t>
    </r>
    <r>
      <rPr>
        <sz val="7"/>
        <rFont val="Times New Roman"/>
        <family val="1"/>
      </rPr>
      <t xml:space="preserve">       </t>
    </r>
    <r>
      <rPr>
        <sz val="11"/>
        <rFont val="Calibri"/>
        <family val="2"/>
        <scheme val="minor"/>
      </rPr>
      <t>Configurer les différents protocoles de routage IPv6,</t>
    </r>
  </si>
  <si>
    <r>
      <t>-</t>
    </r>
    <r>
      <rPr>
        <sz val="7"/>
        <rFont val="Times New Roman"/>
        <family val="1"/>
      </rPr>
      <t xml:space="preserve">       </t>
    </r>
    <r>
      <rPr>
        <sz val="11"/>
        <rFont val="Calibri"/>
        <family val="2"/>
        <scheme val="minor"/>
      </rPr>
      <t>Décrire les mécanismes de transition IPv6,</t>
    </r>
  </si>
  <si>
    <r>
      <t>-</t>
    </r>
    <r>
      <rPr>
        <sz val="7"/>
        <rFont val="Times New Roman"/>
        <family val="1"/>
      </rPr>
      <t xml:space="preserve">       </t>
    </r>
    <r>
      <rPr>
        <sz val="11"/>
        <rFont val="Calibri"/>
        <family val="2"/>
        <scheme val="minor"/>
      </rPr>
      <t>Comprendre la sécurité en IPv6.</t>
    </r>
  </si>
  <si>
    <r>
      <t>-</t>
    </r>
    <r>
      <rPr>
        <sz val="7"/>
        <rFont val="Times New Roman"/>
        <family val="1"/>
      </rPr>
      <t xml:space="preserve">          </t>
    </r>
    <r>
      <rPr>
        <sz val="10"/>
        <rFont val="Calibri"/>
        <family val="2"/>
        <scheme val="minor"/>
      </rPr>
      <t xml:space="preserve"> Aurélien ROUX, « CONFIGUREZ ROUTEURS ET COMMUTATEURS: EXERCICES ET CORRIGES (4IEME EDITION)» </t>
    </r>
  </si>
  <si>
    <r>
      <t>-</t>
    </r>
    <r>
      <rPr>
        <sz val="7"/>
        <rFont val="Times New Roman"/>
        <family val="1"/>
      </rPr>
      <t xml:space="preserve">          </t>
    </r>
    <r>
      <rPr>
        <sz val="10"/>
        <rFont val="Calibri"/>
        <family val="2"/>
        <scheme val="minor"/>
      </rPr>
      <t xml:space="preserve">Laurent SCHALKWIJK, «CISCO - ROUTAGE ET COMMUTATION 2IEME MODULE DE PREPARATION A LA CERTIFICATION PREPARATION A LA CERTIFICATION CCNA 200-120 (NOUVELLE EDITION) » </t>
    </r>
  </si>
  <si>
    <r>
      <t>-</t>
    </r>
    <r>
      <rPr>
        <sz val="7"/>
        <rFont val="Times New Roman"/>
        <family val="1"/>
      </rPr>
      <t xml:space="preserve">          </t>
    </r>
    <r>
      <rPr>
        <sz val="10"/>
        <rFont val="Calibri"/>
        <family val="2"/>
        <scheme val="minor"/>
      </rPr>
      <t xml:space="preserve">Aurélien ROUX, «CISCO : ENTRAINEZ-VOUS A CONFIGURER ROUTEURS ET COMMUTATEURS» </t>
    </r>
  </si>
  <si>
    <r>
      <t>-</t>
    </r>
    <r>
      <rPr>
        <sz val="7"/>
        <rFont val="Times New Roman"/>
        <family val="1"/>
      </rPr>
      <t xml:space="preserve">          </t>
    </r>
    <r>
      <rPr>
        <sz val="10"/>
        <rFont val="Calibri"/>
        <family val="2"/>
        <scheme val="minor"/>
      </rPr>
      <t>Amandine VALCKE, «LIVRE CISCO -35H DE MISE EN PRATIQUE», publié aux Editions ENI.</t>
    </r>
  </si>
  <si>
    <r>
      <t>-</t>
    </r>
    <r>
      <rPr>
        <sz val="7"/>
        <rFont val="Times New Roman"/>
        <family val="1"/>
      </rPr>
      <t xml:space="preserve">          </t>
    </r>
    <r>
      <rPr>
        <sz val="10"/>
        <rFont val="Calibri"/>
        <family val="2"/>
        <scheme val="minor"/>
      </rPr>
      <t xml:space="preserve">Cisco IPv6 Fundamentals: A Straightforward Approach to Understanding IPv6, By Rick Graziani, ISBN-10: 1-58714-313-5 </t>
    </r>
  </si>
  <si>
    <r>
      <t>-</t>
    </r>
    <r>
      <rPr>
        <sz val="7"/>
        <rFont val="Times New Roman"/>
        <family val="1"/>
      </rPr>
      <t xml:space="preserve">          </t>
    </r>
    <r>
      <rPr>
        <sz val="10"/>
        <rFont val="Calibri"/>
        <family val="2"/>
        <scheme val="minor"/>
      </rPr>
      <t>IPv6 Fundamentals LiveLessons: A Straightforward Approach to Understanding IPv6, By Rick Graziani, ISBN-10: 1-58720-457-6</t>
    </r>
  </si>
  <si>
    <r>
      <t>-</t>
    </r>
    <r>
      <rPr>
        <sz val="7"/>
        <rFont val="Times New Roman"/>
        <family val="1"/>
      </rPr>
      <t xml:space="preserve">          </t>
    </r>
    <r>
      <rPr>
        <sz val="10"/>
        <rFont val="Calibri"/>
        <family val="2"/>
        <scheme val="minor"/>
      </rPr>
      <t xml:space="preserve">MASS, S. « MODES OPERATOIRES RESEAUX ET SYSTEMES», Tutorial. 2013. En ligne. Disponible sur: http://www.smnet.fr/ </t>
    </r>
  </si>
  <si>
    <r>
      <t>-</t>
    </r>
    <r>
      <rPr>
        <sz val="7"/>
        <rFont val="Times New Roman"/>
        <family val="1"/>
      </rPr>
      <t xml:space="preserve">          </t>
    </r>
    <r>
      <rPr>
        <sz val="10"/>
        <rFont val="Calibri"/>
        <family val="2"/>
        <scheme val="minor"/>
      </rPr>
      <t xml:space="preserve">MOLENAAR, R. “GNS3 VAULT”, Free Cisco labs for CCNA, CCNP and CCIE students; Disponible sur: http://gns3vault.com/ </t>
    </r>
  </si>
  <si>
    <r>
      <t>-</t>
    </r>
    <r>
      <rPr>
        <sz val="7"/>
        <rFont val="Times New Roman"/>
        <family val="1"/>
      </rPr>
      <t xml:space="preserve">          </t>
    </r>
    <r>
      <rPr>
        <sz val="10"/>
        <rFont val="Calibri"/>
        <family val="2"/>
        <scheme val="minor"/>
      </rPr>
      <t>Cours et travaux pratique IPv6, Académie Afrinic. En ligne, Disponible sur: http://learn.afrinic.net/fr/cours/ipv6</t>
    </r>
  </si>
  <si>
    <r>
      <t>-</t>
    </r>
    <r>
      <rPr>
        <sz val="7"/>
        <rFont val="Times New Roman"/>
        <family val="1"/>
      </rPr>
      <t xml:space="preserve">       </t>
    </r>
    <r>
      <rPr>
        <sz val="11"/>
        <rFont val="Calibri"/>
        <family val="2"/>
        <scheme val="minor"/>
      </rPr>
      <t>TP1 : Configuration de base d’un routeur, sécurité /routeur.</t>
    </r>
  </si>
  <si>
    <r>
      <t>-</t>
    </r>
    <r>
      <rPr>
        <sz val="7"/>
        <rFont val="Times New Roman"/>
        <family val="1"/>
      </rPr>
      <t xml:space="preserve">       </t>
    </r>
    <r>
      <rPr>
        <sz val="11"/>
        <rFont val="Calibri"/>
        <family val="2"/>
        <scheme val="minor"/>
      </rPr>
      <t xml:space="preserve">TP2 : La configuration des adresses IP sur des machines et sur des routeurs </t>
    </r>
  </si>
  <si>
    <r>
      <t>-</t>
    </r>
    <r>
      <rPr>
        <sz val="7"/>
        <rFont val="Times New Roman"/>
        <family val="1"/>
      </rPr>
      <t xml:space="preserve">       </t>
    </r>
    <r>
      <rPr>
        <sz val="11"/>
        <rFont val="Calibri"/>
        <family val="2"/>
        <scheme val="minor"/>
      </rPr>
      <t>TP3 : La configuration manuelle et dynamique des adresses Unicast Global (Stateless and Stateful DHCPv6)</t>
    </r>
  </si>
  <si>
    <r>
      <t>-</t>
    </r>
    <r>
      <rPr>
        <sz val="7"/>
        <rFont val="Times New Roman"/>
        <family val="1"/>
      </rPr>
      <t xml:space="preserve">       </t>
    </r>
    <r>
      <rPr>
        <sz val="11"/>
        <rFont val="Calibri"/>
        <family val="2"/>
        <scheme val="minor"/>
      </rPr>
      <t>TP4 : Configuration et Diagnostique de routes statiques IPv4 et IPv6</t>
    </r>
  </si>
  <si>
    <r>
      <t>-</t>
    </r>
    <r>
      <rPr>
        <sz val="7"/>
        <rFont val="Times New Roman"/>
        <family val="1"/>
      </rPr>
      <t xml:space="preserve">       </t>
    </r>
    <r>
      <rPr>
        <sz val="11"/>
        <rFont val="Calibri"/>
        <family val="2"/>
        <scheme val="minor"/>
      </rPr>
      <t>TP5 : Configuration de base RIPv2 et RIPng.</t>
    </r>
  </si>
  <si>
    <r>
      <t>-</t>
    </r>
    <r>
      <rPr>
        <sz val="7"/>
        <rFont val="Times New Roman"/>
        <family val="1"/>
      </rPr>
      <t xml:space="preserve">       </t>
    </r>
    <r>
      <rPr>
        <sz val="11"/>
        <rFont val="Calibri"/>
        <family val="2"/>
        <scheme val="minor"/>
      </rPr>
      <t>TP6 : Configuration de base EIGRP.</t>
    </r>
  </si>
  <si>
    <r>
      <t>-</t>
    </r>
    <r>
      <rPr>
        <sz val="7"/>
        <rFont val="Times New Roman"/>
        <family val="1"/>
      </rPr>
      <t xml:space="preserve">       </t>
    </r>
    <r>
      <rPr>
        <sz val="11"/>
        <rFont val="Calibri"/>
        <family val="2"/>
        <scheme val="minor"/>
      </rPr>
      <t>TP7 : Configuration de base OSPFv2, OSPFv3.</t>
    </r>
  </si>
  <si>
    <r>
      <t>-</t>
    </r>
    <r>
      <rPr>
        <sz val="7"/>
        <rFont val="Times New Roman"/>
        <family val="1"/>
      </rPr>
      <t xml:space="preserve">       </t>
    </r>
    <r>
      <rPr>
        <sz val="11"/>
        <rFont val="Calibri"/>
        <family val="2"/>
        <scheme val="minor"/>
      </rPr>
      <t>TP8 : Redistribution de routes entre les protocoles (IPv4 et IPv6)</t>
    </r>
  </si>
  <si>
    <r>
      <t> </t>
    </r>
    <r>
      <rPr>
        <sz val="11"/>
        <rFont val="Calibri"/>
        <family val="2"/>
        <scheme val="minor"/>
      </rPr>
      <t>VLSM, CIDR, RIPv1, RIPv2, RIPng, EIGRP, OSPF, redistribution des routes , distance administrative, routage dynamique, routage statique, métrique de redistribution, LSP, Tunelling, GUA, link-local, SLAAC, DHCPv6, router sollicitation, router advertissement, neighbor sollicitation, neighboradvertissement, découpage horizontale,  distance annoncé, table topologique, table de routage, Convergence, équilibrage de charge, système autonome, IGP, EGP, résumé automatique, tronçon suivant.</t>
    </r>
  </si>
  <si>
    <r>
      <rPr>
        <sz val="7"/>
        <rFont val="Times New Roman"/>
        <family val="1"/>
      </rPr>
      <t xml:space="preserve"> </t>
    </r>
    <r>
      <rPr>
        <sz val="11"/>
        <rFont val="Calibri"/>
        <family val="2"/>
        <scheme val="minor"/>
      </rPr>
      <t>-Pouvoir assurer la coexistence entre IPv4 et IPv6</t>
    </r>
  </si>
  <si>
    <r>
      <t>-</t>
    </r>
    <r>
      <rPr>
        <sz val="7"/>
        <rFont val="Times New Roman"/>
        <family val="1"/>
      </rPr>
      <t xml:space="preserve">    </t>
    </r>
    <r>
      <rPr>
        <sz val="10"/>
        <rFont val="Calibri"/>
        <family val="2"/>
      </rPr>
      <t> « Linux Administration Tome 4 », Jean-François Bouchaudy, 2013 Eyrolles</t>
    </r>
  </si>
  <si>
    <r>
      <t>-</t>
    </r>
    <r>
      <rPr>
        <sz val="7"/>
        <rFont val="Times New Roman"/>
        <family val="1"/>
      </rPr>
      <t xml:space="preserve">    </t>
    </r>
    <r>
      <rPr>
        <sz val="10"/>
        <rFont val="Calibri"/>
        <family val="2"/>
      </rPr>
      <t>« Le cahier de l'administrateur Debian » Raphaël Hertzog et Roland Mas, 2012 Freexian</t>
    </r>
  </si>
  <si>
    <r>
      <t>-</t>
    </r>
    <r>
      <rPr>
        <sz val="7"/>
        <rFont val="Times New Roman"/>
        <family val="1"/>
      </rPr>
      <t xml:space="preserve">    </t>
    </r>
    <r>
      <rPr>
        <sz val="10"/>
        <rFont val="Calibri"/>
        <family val="2"/>
      </rPr>
      <t>« CentOS 6 Linux Server Cookbook » Jonathan Hobson, 2013 PACKT Publishing</t>
    </r>
  </si>
  <si>
    <r>
      <t>-</t>
    </r>
    <r>
      <rPr>
        <sz val="7"/>
        <rFont val="Times New Roman"/>
        <family val="1"/>
      </rPr>
      <t xml:space="preserve">    </t>
    </r>
    <r>
      <rPr>
        <sz val="10"/>
        <rFont val="Calibri"/>
        <family val="2"/>
      </rPr>
      <t>« LINUX Préparation à la certification LPIC-2 (examens LPI 201 et LPI 202) - 3ième édition » Sébastien BOBILLIER - Philippe BANQUET, 2014 Editions ENI</t>
    </r>
  </si>
  <si>
    <r>
      <t>- Service messagerie (</t>
    </r>
    <r>
      <rPr>
        <b/>
        <sz val="11"/>
        <rFont val="Calibri"/>
        <family val="2"/>
        <scheme val="minor"/>
      </rPr>
      <t>SMTP, IMAP4, POP3, configuration d’alias, contrôle de serveur, gestion des quotas de mails, gestion des flux des mails, webmail…)</t>
    </r>
  </si>
  <si>
    <r>
      <t xml:space="preserve">- </t>
    </r>
    <r>
      <rPr>
        <sz val="11"/>
        <rFont val="Calibri"/>
        <family val="2"/>
      </rPr>
      <t>Le protocole LDAP : présentation et fonctionnement du protocole LDAP (historique, les modèles, APIs, LDIF,…). Mise en œuvre d’un serveur LDAP (les fichiers de configuration, outils et utilitaires).</t>
    </r>
  </si>
  <si>
    <r>
      <t> </t>
    </r>
    <r>
      <rPr>
        <sz val="11"/>
        <rFont val="Calibri"/>
        <family val="2"/>
        <scheme val="minor"/>
      </rPr>
      <t>DHCP, DNS, FTP, NFS, SMB/CIFS, SMTP, POP/IMAP, HA/LB, SNMP, LDAP.</t>
    </r>
  </si>
  <si>
    <r>
      <t>-</t>
    </r>
    <r>
      <rPr>
        <sz val="7"/>
        <rFont val="Times New Roman"/>
        <family val="1"/>
      </rPr>
      <t xml:space="preserve">     </t>
    </r>
    <r>
      <rPr>
        <sz val="11"/>
        <rFont val="Calibri"/>
        <family val="2"/>
      </rPr>
      <t>Savoir déployer les principaux services d’infrastructure réseau : DNS et DHCP.</t>
    </r>
  </si>
  <si>
    <r>
      <t>-</t>
    </r>
    <r>
      <rPr>
        <sz val="7"/>
        <rFont val="Times New Roman"/>
        <family val="1"/>
      </rPr>
      <t xml:space="preserve">     </t>
    </r>
    <r>
      <rPr>
        <sz val="11"/>
        <rFont val="Calibri"/>
        <family val="2"/>
      </rPr>
      <t>Mettre en place des serveurs de fichiers : NFS, FTP et Samba.</t>
    </r>
  </si>
  <si>
    <r>
      <t>-</t>
    </r>
    <r>
      <rPr>
        <sz val="7"/>
        <rFont val="Times New Roman"/>
        <family val="1"/>
      </rPr>
      <t xml:space="preserve">     </t>
    </r>
    <r>
      <rPr>
        <sz val="11"/>
        <rFont val="Calibri"/>
        <family val="2"/>
      </rPr>
      <t>Administrer les services réseaux Web et Mail.</t>
    </r>
  </si>
  <si>
    <r>
      <t>-</t>
    </r>
    <r>
      <rPr>
        <sz val="7"/>
        <rFont val="Times New Roman"/>
        <family val="1"/>
      </rPr>
      <t xml:space="preserve">     </t>
    </r>
    <r>
      <rPr>
        <sz val="11"/>
        <rFont val="Calibri"/>
        <family val="2"/>
      </rPr>
      <t>Mettre en place des serveurs redondants pour garantir la haute disponibilité et l’équilibrage de charge.</t>
    </r>
  </si>
  <si>
    <r>
      <t>-</t>
    </r>
    <r>
      <rPr>
        <sz val="7"/>
        <rFont val="Times New Roman"/>
        <family val="1"/>
      </rPr>
      <t xml:space="preserve">     </t>
    </r>
    <r>
      <rPr>
        <sz val="11"/>
        <rFont val="Calibri"/>
        <family val="2"/>
      </rPr>
      <t>Comprendre le principe de fonctionnement des annuaires avec le protocole LDAP.</t>
    </r>
  </si>
  <si>
    <r>
      <t>-</t>
    </r>
    <r>
      <rPr>
        <sz val="7"/>
        <rFont val="Times New Roman"/>
        <family val="1"/>
      </rPr>
      <t xml:space="preserve">       </t>
    </r>
    <r>
      <rPr>
        <sz val="11"/>
        <rFont val="Calibri"/>
        <family val="2"/>
        <scheme val="minor"/>
      </rPr>
      <t>Gérer un réseau à l’aide du protocole SNMP.</t>
    </r>
  </si>
  <si>
    <r>
      <t>-</t>
    </r>
    <r>
      <rPr>
        <sz val="7"/>
        <rFont val="Times New Roman"/>
        <family val="1"/>
      </rPr>
      <t xml:space="preserve">     </t>
    </r>
    <r>
      <rPr>
        <sz val="11"/>
        <rFont val="Calibri"/>
        <family val="2"/>
      </rPr>
      <t>Mise en œuvre d’un serveur DHCP.</t>
    </r>
  </si>
  <si>
    <r>
      <t>-</t>
    </r>
    <r>
      <rPr>
        <sz val="7"/>
        <rFont val="Times New Roman"/>
        <family val="1"/>
      </rPr>
      <t xml:space="preserve">     </t>
    </r>
    <r>
      <rPr>
        <sz val="11"/>
        <rFont val="Calibri"/>
        <family val="2"/>
      </rPr>
      <t>Mise en œuvre d’un serveur DNS.</t>
    </r>
  </si>
  <si>
    <r>
      <t>-</t>
    </r>
    <r>
      <rPr>
        <sz val="7"/>
        <rFont val="Times New Roman"/>
        <family val="1"/>
      </rPr>
      <t xml:space="preserve">      </t>
    </r>
    <r>
      <rPr>
        <sz val="11"/>
        <rFont val="Calibri"/>
        <family val="2"/>
      </rPr>
      <t>Mise en œuvre d’annuaires LDAP.</t>
    </r>
  </si>
  <si>
    <r>
      <t>-</t>
    </r>
    <r>
      <rPr>
        <sz val="7"/>
        <rFont val="Times New Roman"/>
        <family val="1"/>
      </rPr>
      <t xml:space="preserve">       </t>
    </r>
    <r>
      <rPr>
        <sz val="11"/>
        <rFont val="Calibri"/>
        <family val="2"/>
        <scheme val="minor"/>
      </rPr>
      <t>Installation et Configuration de SNMP.</t>
    </r>
  </si>
  <si>
    <r>
      <t> </t>
    </r>
    <r>
      <rPr>
        <sz val="11"/>
        <rFont val="Calibri"/>
        <family val="2"/>
        <scheme val="minor"/>
      </rPr>
      <t>DNS, LDAP, Active Directory, DHCP, SNMP.</t>
    </r>
  </si>
  <si>
    <r>
      <t>-</t>
    </r>
    <r>
      <rPr>
        <sz val="7"/>
        <rFont val="Times New Roman"/>
        <family val="1"/>
      </rPr>
      <t xml:space="preserve">        </t>
    </r>
    <r>
      <rPr>
        <sz val="11"/>
        <rFont val="Calibri"/>
        <family val="2"/>
      </rPr>
      <t xml:space="preserve">TP1 : </t>
    </r>
  </si>
  <si>
    <r>
      <t>·</t>
    </r>
    <r>
      <rPr>
        <sz val="7"/>
        <rFont val="Times New Roman"/>
        <family val="1"/>
      </rPr>
      <t xml:space="preserve">       </t>
    </r>
    <r>
      <rPr>
        <sz val="11"/>
        <rFont val="Calibri"/>
        <family val="2"/>
      </rPr>
      <t>Installation et configuration d’un serveur DHCP (allocation dynamique des adresses, réservation d’adresse, agent de relais DHCP,…)</t>
    </r>
  </si>
  <si>
    <r>
      <t>-</t>
    </r>
    <r>
      <rPr>
        <sz val="7"/>
        <rFont val="Times New Roman"/>
        <family val="1"/>
      </rPr>
      <t xml:space="preserve">        </t>
    </r>
    <r>
      <rPr>
        <sz val="11"/>
        <rFont val="Calibri"/>
        <family val="2"/>
      </rPr>
      <t xml:space="preserve">TP2 : </t>
    </r>
  </si>
  <si>
    <r>
      <t>·</t>
    </r>
    <r>
      <rPr>
        <sz val="7"/>
        <rFont val="Times New Roman"/>
        <family val="1"/>
      </rPr>
      <t xml:space="preserve">       </t>
    </r>
    <r>
      <rPr>
        <sz val="11"/>
        <rFont val="Calibri"/>
        <family val="2"/>
      </rPr>
      <t>Résolution statique des noms d’hôtes et des noms Net Bios (hosts, Lmhosts)</t>
    </r>
  </si>
  <si>
    <r>
      <t>·</t>
    </r>
    <r>
      <rPr>
        <sz val="7"/>
        <rFont val="Times New Roman"/>
        <family val="1"/>
      </rPr>
      <t xml:space="preserve">       </t>
    </r>
    <r>
      <rPr>
        <sz val="11"/>
        <rFont val="Calibri"/>
        <family val="2"/>
      </rPr>
      <t>Installation et configuration d’un serveur DNS primaire : Bind,… (déclaration des zones, les fichiers de base de données de zone, les fichiers maitres…).</t>
    </r>
  </si>
  <si>
    <r>
      <t>·</t>
    </r>
    <r>
      <rPr>
        <sz val="7"/>
        <rFont val="Times New Roman"/>
        <family val="1"/>
      </rPr>
      <t xml:space="preserve">       </t>
    </r>
    <r>
      <rPr>
        <sz val="11"/>
        <rFont val="Calibri"/>
        <family val="2"/>
      </rPr>
      <t xml:space="preserve">Installation et configuration d’un serveur DNS secondaire/cache, </t>
    </r>
  </si>
  <si>
    <r>
      <t>·</t>
    </r>
    <r>
      <rPr>
        <sz val="7"/>
        <rFont val="Times New Roman"/>
        <family val="1"/>
      </rPr>
      <t xml:space="preserve">       </t>
    </r>
    <r>
      <rPr>
        <sz val="11"/>
        <rFont val="Calibri"/>
        <family val="2"/>
      </rPr>
      <t>Installation et configuration d’un serveur DNS/DHCP léger dnsmasq</t>
    </r>
  </si>
  <si>
    <r>
      <t>·</t>
    </r>
    <r>
      <rPr>
        <sz val="7"/>
        <rFont val="Times New Roman"/>
        <family val="1"/>
      </rPr>
      <t xml:space="preserve">       </t>
    </r>
    <r>
      <rPr>
        <sz val="11"/>
        <rFont val="Calibri"/>
        <family val="2"/>
      </rPr>
      <t>DynDNS avec DNS et DHCP</t>
    </r>
  </si>
  <si>
    <r>
      <t>-</t>
    </r>
    <r>
      <rPr>
        <sz val="7"/>
        <rFont val="Times New Roman"/>
        <family val="1"/>
      </rPr>
      <t xml:space="preserve">        </t>
    </r>
    <r>
      <rPr>
        <sz val="11"/>
        <rFont val="Calibri"/>
        <family val="2"/>
      </rPr>
      <t xml:space="preserve">TP3 : </t>
    </r>
  </si>
  <si>
    <r>
      <t>·</t>
    </r>
    <r>
      <rPr>
        <sz val="7"/>
        <rFont val="Times New Roman"/>
        <family val="1"/>
      </rPr>
      <t xml:space="preserve">       </t>
    </r>
    <r>
      <rPr>
        <sz val="11"/>
        <rFont val="Calibri"/>
        <family val="2"/>
      </rPr>
      <t>Installation et configuration d’un serveur FTP (vsFTPd, Pure-FTPd, wu-FTPd et ProFTPd…</t>
    </r>
    <r>
      <rPr>
        <sz val="12"/>
        <rFont val="Calibri"/>
        <family val="2"/>
      </rPr>
      <t xml:space="preserve">), </t>
    </r>
    <r>
      <rPr>
        <sz val="11"/>
        <rFont val="Calibri"/>
        <family val="2"/>
      </rPr>
      <t>pratique des commandes côté client en mode CLI (ftp :get, put, …), Filezilla</t>
    </r>
  </si>
  <si>
    <r>
      <t>·</t>
    </r>
    <r>
      <rPr>
        <sz val="7"/>
        <rFont val="Times New Roman"/>
        <family val="1"/>
      </rPr>
      <t xml:space="preserve">       </t>
    </r>
    <r>
      <rPr>
        <sz val="11"/>
        <rFont val="Calibri"/>
        <family val="2"/>
      </rPr>
      <t>Installation et configuration d’un serveur NFS (/etc/exports, all_squash, showmount)</t>
    </r>
  </si>
  <si>
    <r>
      <t>·</t>
    </r>
    <r>
      <rPr>
        <sz val="7"/>
        <rFont val="Times New Roman"/>
        <family val="1"/>
      </rPr>
      <t xml:space="preserve">       </t>
    </r>
    <r>
      <rPr>
        <sz val="11"/>
        <rFont val="Calibri"/>
        <family val="2"/>
      </rPr>
      <t>Installation et configuration du service Samba (smb.conf, mount.cifs, smbclient)</t>
    </r>
  </si>
  <si>
    <r>
      <t>-</t>
    </r>
    <r>
      <rPr>
        <sz val="7"/>
        <rFont val="Times New Roman"/>
        <family val="1"/>
      </rPr>
      <t xml:space="preserve">        </t>
    </r>
    <r>
      <rPr>
        <sz val="11"/>
        <rFont val="Calibri"/>
        <family val="2"/>
      </rPr>
      <t xml:space="preserve">TP4 : </t>
    </r>
  </si>
  <si>
    <r>
      <t>·</t>
    </r>
    <r>
      <rPr>
        <sz val="7"/>
        <rFont val="Times New Roman"/>
        <family val="1"/>
      </rPr>
      <t xml:space="preserve">       </t>
    </r>
    <r>
      <rPr>
        <sz val="11"/>
        <rFont val="Calibri"/>
        <family val="2"/>
      </rPr>
      <t>Installation et configuration d’un serveur Web (apache, IIS, Nginx, authentification, virtual hosting, …)</t>
    </r>
  </si>
  <si>
    <r>
      <t>·</t>
    </r>
    <r>
      <rPr>
        <sz val="7"/>
        <rFont val="Times New Roman"/>
        <family val="1"/>
      </rPr>
      <t xml:space="preserve">       </t>
    </r>
    <r>
      <rPr>
        <sz val="11"/>
        <rFont val="Calibri"/>
        <family val="2"/>
      </rPr>
      <t>Installation d’un reverse proxy avec Nginx.</t>
    </r>
  </si>
  <si>
    <r>
      <t>-</t>
    </r>
    <r>
      <rPr>
        <sz val="7"/>
        <rFont val="Times New Roman"/>
        <family val="1"/>
      </rPr>
      <t xml:space="preserve">        </t>
    </r>
    <r>
      <rPr>
        <sz val="11"/>
        <rFont val="Calibri"/>
        <family val="2"/>
      </rPr>
      <t>TP5 : Installation et configuration d’un serveur de messagerie (zarafa, zimbra, postfix, dovecot,  squirrelmail/roundcube)</t>
    </r>
  </si>
  <si>
    <r>
      <t>-</t>
    </r>
    <r>
      <rPr>
        <sz val="7"/>
        <rFont val="Times New Roman"/>
        <family val="1"/>
      </rPr>
      <t xml:space="preserve">        </t>
    </r>
    <r>
      <rPr>
        <sz val="11"/>
        <rFont val="Calibri"/>
        <family val="2"/>
      </rPr>
      <t xml:space="preserve">TP6 : </t>
    </r>
  </si>
  <si>
    <r>
      <t>·</t>
    </r>
    <r>
      <rPr>
        <sz val="7"/>
        <rFont val="Times New Roman"/>
        <family val="1"/>
      </rPr>
      <t xml:space="preserve">       </t>
    </r>
    <r>
      <rPr>
        <sz val="11"/>
        <rFont val="Calibri"/>
        <family val="2"/>
      </rPr>
      <t>Mise en place d’un FailOver Service avec Pacemaker,</t>
    </r>
  </si>
  <si>
    <r>
      <t>·</t>
    </r>
    <r>
      <rPr>
        <sz val="7"/>
        <rFont val="Times New Roman"/>
        <family val="1"/>
      </rPr>
      <t xml:space="preserve">       </t>
    </r>
    <r>
      <rPr>
        <sz val="11"/>
        <rFont val="Calibri"/>
        <family val="2"/>
      </rPr>
      <t>Mise en place d’un Load Balancer pour Apache/Nginx avec HAProxy ou LVS</t>
    </r>
  </si>
  <si>
    <r>
      <t>·</t>
    </r>
    <r>
      <rPr>
        <sz val="7"/>
        <rFont val="Times New Roman"/>
        <family val="1"/>
      </rPr>
      <t xml:space="preserve">       </t>
    </r>
    <r>
      <rPr>
        <sz val="11"/>
        <rFont val="Calibri"/>
        <family val="2"/>
      </rPr>
      <t>Mise en place d’un Load Balancer Hautement Disponible avec HAProxy et Keepalived</t>
    </r>
  </si>
  <si>
    <r>
      <t>-</t>
    </r>
    <r>
      <rPr>
        <sz val="7"/>
        <rFont val="Times New Roman"/>
        <family val="1"/>
      </rPr>
      <t xml:space="preserve">        </t>
    </r>
    <r>
      <rPr>
        <sz val="11"/>
        <rFont val="Calibri"/>
        <family val="2"/>
      </rPr>
      <t>TP7 : Installation et configuration d’un annuaire : Active Directory, OpenLDAP, 389 Directory, FreeIPA (fichiers de configuration, fichiers LDIF, outils et utilitaires)</t>
    </r>
  </si>
  <si>
    <r>
      <t>-</t>
    </r>
    <r>
      <rPr>
        <sz val="7"/>
        <rFont val="Times New Roman"/>
        <family val="1"/>
      </rPr>
      <t xml:space="preserve">  </t>
    </r>
    <r>
      <rPr>
        <sz val="11"/>
        <rFont val="Calibri"/>
        <family val="2"/>
        <scheme val="minor"/>
      </rPr>
      <t>TP8 : Installation et configuration de SNMP v3 : Configuration des agents et managers, mode CLI snmpwalk, gestion des MIBs, tests. Utiliser des logiciels de supervision comme NAGIOS, Cacti, Zabbix.</t>
    </r>
  </si>
  <si>
    <r>
      <t>-</t>
    </r>
    <r>
      <rPr>
        <sz val="7"/>
        <rFont val="Times New Roman"/>
        <family val="1"/>
      </rPr>
      <t xml:space="preserve">    </t>
    </r>
    <r>
      <rPr>
        <sz val="10"/>
        <rFont val="Calibri"/>
        <family val="2"/>
      </rPr>
      <t>« Le cahier de l'administrateur Debian »  Raphaël Hertzog et Roland Mas, 2012 Freexian</t>
    </r>
  </si>
  <si>
    <r>
      <t>·</t>
    </r>
    <r>
      <rPr>
        <sz val="7"/>
        <rFont val="Times New Roman"/>
        <family val="1"/>
      </rPr>
      <t xml:space="preserve">       </t>
    </r>
    <r>
      <rPr>
        <b/>
        <sz val="10"/>
        <rFont val="Calibri"/>
        <family val="2"/>
      </rPr>
      <t>« Cloud Essentials »</t>
    </r>
    <r>
      <rPr>
        <sz val="10"/>
        <rFont val="Calibri"/>
        <family val="2"/>
      </rPr>
      <t xml:space="preserve"> Kirk Hausman, Susan L. Cook, Telmo Sampaio. 2013 Sybex</t>
    </r>
  </si>
  <si>
    <r>
      <t>·</t>
    </r>
    <r>
      <rPr>
        <sz val="7"/>
        <rFont val="Times New Roman"/>
        <family val="1"/>
      </rPr>
      <t xml:space="preserve">       </t>
    </r>
    <r>
      <rPr>
        <b/>
        <sz val="10"/>
        <rFont val="Calibri"/>
        <family val="2"/>
      </rPr>
      <t>« Apache CloudStack Cloud Computing  »</t>
    </r>
    <r>
      <rPr>
        <sz val="10"/>
        <rFont val="Calibri"/>
        <family val="2"/>
      </rPr>
      <t xml:space="preserve">Navin Sabharwal , Ravi Shankar. 2013 Packt Publishing </t>
    </r>
  </si>
  <si>
    <r>
      <t>·</t>
    </r>
    <r>
      <rPr>
        <sz val="7"/>
        <rFont val="Times New Roman"/>
        <family val="1"/>
      </rPr>
      <t xml:space="preserve">       </t>
    </r>
    <r>
      <rPr>
        <b/>
        <sz val="10"/>
        <rFont val="Calibri"/>
        <family val="2"/>
        <scheme val="minor"/>
      </rPr>
      <t>« Mastering Cloud Computing. Foundations and Applications Programming  »</t>
    </r>
    <r>
      <rPr>
        <sz val="10"/>
        <rFont val="Calibri"/>
        <family val="2"/>
        <scheme val="minor"/>
      </rPr>
      <t>Rajkumar Buyya, Christian Vecchiola, S.Thamarai Selvi. 2013 Elsevier Inc .</t>
    </r>
  </si>
  <si>
    <r>
      <t>-</t>
    </r>
    <r>
      <rPr>
        <sz val="7"/>
        <rFont val="Times New Roman"/>
        <family val="1"/>
      </rPr>
      <t xml:space="preserve">     </t>
    </r>
    <r>
      <rPr>
        <b/>
        <sz val="12"/>
        <rFont val="Calibri"/>
        <family val="2"/>
      </rPr>
      <t xml:space="preserve">Notions de base de la virtualisation : </t>
    </r>
    <r>
      <rPr>
        <sz val="12"/>
        <rFont val="Calibri"/>
        <family val="2"/>
      </rPr>
      <t>Besoins, incitations, avantages, définitions (hyperviseur, émulateur, host, guest), différents types (complète, para-virtualisation, partielle, niveau système exploitation),  P2V/V2V, Snapshots, Migration, …</t>
    </r>
  </si>
  <si>
    <r>
      <t>-</t>
    </r>
    <r>
      <rPr>
        <sz val="7"/>
        <rFont val="Times New Roman"/>
        <family val="1"/>
      </rPr>
      <t xml:space="preserve">     </t>
    </r>
    <r>
      <rPr>
        <b/>
        <sz val="12"/>
        <rFont val="Calibri"/>
        <family val="2"/>
      </rPr>
      <t xml:space="preserve">Notions de base de Cloud Computing : </t>
    </r>
    <r>
      <rPr>
        <sz val="12"/>
        <rFont val="Calibri"/>
        <family val="2"/>
      </rPr>
      <t xml:space="preserve">passage virtualisation au cloud, modèles de service du cloud (architecture, Infrastructure en tant que service (IaaS), Plate-forme en tant que service (PaaS), Logiciel en tant que service (SaaS)), déploiements de cloud (publique, privé, hybride, communautaire). </t>
    </r>
  </si>
  <si>
    <r>
      <t>-</t>
    </r>
    <r>
      <rPr>
        <sz val="7"/>
        <rFont val="Times New Roman"/>
        <family val="1"/>
      </rPr>
      <t xml:space="preserve">     </t>
    </r>
    <r>
      <rPr>
        <b/>
        <sz val="12"/>
        <rFont val="Calibri"/>
        <family val="2"/>
      </rPr>
      <t xml:space="preserve">Composants essentiels d'une solution Cloud : </t>
    </r>
    <r>
      <rPr>
        <sz val="12"/>
        <rFont val="Calibri"/>
        <family val="2"/>
      </rPr>
      <t>Gestionnaire d'hyperviseur,  de stockage, de réseau, d'images, de stock d'objets, d'identité. interface graphique.</t>
    </r>
  </si>
  <si>
    <r>
      <t>-</t>
    </r>
    <r>
      <rPr>
        <sz val="7"/>
        <rFont val="Times New Roman"/>
        <family val="1"/>
      </rPr>
      <t xml:space="preserve">  </t>
    </r>
    <r>
      <rPr>
        <b/>
        <sz val="11"/>
        <rFont val="Calibri"/>
        <family val="2"/>
        <scheme val="minor"/>
      </rPr>
      <t xml:space="preserve">Etude de cas : </t>
    </r>
    <r>
      <rPr>
        <sz val="11"/>
        <rFont val="Calibri"/>
        <family val="2"/>
        <scheme val="minor"/>
      </rPr>
      <t>openstack, cloudstack, eucalyptus, opennebula, google cloud, ....</t>
    </r>
  </si>
  <si>
    <r>
      <t> </t>
    </r>
    <r>
      <rPr>
        <sz val="11"/>
        <rFont val="Calibri"/>
        <family val="2"/>
        <scheme val="minor"/>
      </rPr>
      <t>Virtualisation, hyperviseur, cloud, iaas.</t>
    </r>
  </si>
  <si>
    <r>
      <t>-</t>
    </r>
    <r>
      <rPr>
        <sz val="7"/>
        <rFont val="Times New Roman"/>
        <family val="1"/>
      </rPr>
      <t xml:space="preserve">       </t>
    </r>
    <r>
      <rPr>
        <sz val="11"/>
        <rFont val="Calibri"/>
        <family val="2"/>
        <scheme val="minor"/>
      </rPr>
      <t>- Maîtriser l'utilisation de base d'une solution cloud</t>
    </r>
  </si>
  <si>
    <r>
      <t>-</t>
    </r>
    <r>
      <rPr>
        <sz val="7"/>
        <rFont val="Times New Roman"/>
        <family val="1"/>
      </rPr>
      <t xml:space="preserve">     </t>
    </r>
    <r>
      <rPr>
        <b/>
        <sz val="12"/>
        <rFont val="Calibri"/>
        <family val="2"/>
      </rPr>
      <t>TP1 - Virtualisation complète</t>
    </r>
    <r>
      <rPr>
        <sz val="12"/>
        <rFont val="Calibri"/>
        <family val="2"/>
      </rPr>
      <t> : Virtualbox, Vmware, création vm, accès réseau, ajout/suppression matériel, export/import vm, snapshot vm, migration vm, …</t>
    </r>
  </si>
  <si>
    <r>
      <t>-</t>
    </r>
    <r>
      <rPr>
        <sz val="7"/>
        <rFont val="Times New Roman"/>
        <family val="1"/>
      </rPr>
      <t xml:space="preserve">     </t>
    </r>
    <r>
      <rPr>
        <b/>
        <sz val="12"/>
        <rFont val="Calibri"/>
        <family val="2"/>
      </rPr>
      <t xml:space="preserve">TP2 – HVM </t>
    </r>
    <r>
      <rPr>
        <sz val="12"/>
        <rFont val="Calibri"/>
        <family val="2"/>
      </rPr>
      <t>: Qemu, qcow2, kvm-qemu avec Virt-Manager, virsh, virtio, création vm, accès réseau, ajout/suppression matériel, export/import vm, snapshot vm, migration vm, utilisation source de images disque et iso externe, …</t>
    </r>
  </si>
  <si>
    <r>
      <t>-</t>
    </r>
    <r>
      <rPr>
        <sz val="7"/>
        <rFont val="Times New Roman"/>
        <family val="1"/>
      </rPr>
      <t xml:space="preserve">     </t>
    </r>
    <r>
      <rPr>
        <b/>
        <sz val="12"/>
        <rFont val="Calibri"/>
        <family val="2"/>
      </rPr>
      <t xml:space="preserve">TP3 – Paravirtualisation </t>
    </r>
    <r>
      <rPr>
        <sz val="12"/>
        <rFont val="Calibri"/>
        <family val="2"/>
      </rPr>
      <t>: xenserver/XenProject, PVM, HVM, PVHM, Dom0, création vm, accès réseau, ajout/suppression matériel, export/import vm, snapshot vm, migration vm, utilisation source de images disque et iso externe.</t>
    </r>
  </si>
  <si>
    <r>
      <t>-</t>
    </r>
    <r>
      <rPr>
        <sz val="7"/>
        <rFont val="Times New Roman"/>
        <family val="1"/>
      </rPr>
      <t xml:space="preserve">     </t>
    </r>
    <r>
      <rPr>
        <b/>
        <sz val="12"/>
        <rFont val="Calibri"/>
        <family val="2"/>
      </rPr>
      <t>TP4 - Virtualisation niveau système exploitation</t>
    </r>
    <r>
      <rPr>
        <sz val="12"/>
        <rFont val="Calibri"/>
        <family val="2"/>
      </rPr>
      <t> : manipulation lxc, openvz</t>
    </r>
  </si>
  <si>
    <r>
      <t>-</t>
    </r>
    <r>
      <rPr>
        <sz val="7"/>
        <rFont val="Times New Roman"/>
        <family val="1"/>
      </rPr>
      <t xml:space="preserve">  </t>
    </r>
    <r>
      <rPr>
        <b/>
        <sz val="11"/>
        <rFont val="Calibri"/>
        <family val="2"/>
        <scheme val="minor"/>
      </rPr>
      <t>TP6 :</t>
    </r>
    <r>
      <rPr>
        <sz val="11"/>
        <rFont val="Calibri"/>
        <family val="2"/>
        <scheme val="minor"/>
      </rPr>
      <t xml:space="preserve"> Tester d’autres solutions iaas, opennebula, cloudstack, eucalyptus, google cloud, aws(EC2)....</t>
    </r>
  </si>
  <si>
    <r>
      <t> </t>
    </r>
    <r>
      <rPr>
        <sz val="11"/>
        <rFont val="Calibri"/>
        <family val="2"/>
        <scheme val="minor"/>
      </rPr>
      <t>kvm, virtualbox, vmware, xen, openvz, lxc, openstack, cloudstack, opennebula, eucalyptus.</t>
    </r>
  </si>
  <si>
    <r>
      <t>-</t>
    </r>
    <r>
      <rPr>
        <sz val="7"/>
        <rFont val="Times New Roman"/>
        <family val="1"/>
      </rPr>
      <t xml:space="preserve">       </t>
    </r>
    <r>
      <rPr>
        <sz val="12"/>
        <rFont val="Calibri"/>
        <family val="2"/>
      </rPr>
      <t>installation et test de différents types de virtualisation</t>
    </r>
  </si>
  <si>
    <r>
      <t>-</t>
    </r>
    <r>
      <rPr>
        <sz val="7"/>
        <rFont val="Times New Roman"/>
        <family val="1"/>
      </rPr>
      <t xml:space="preserve">       </t>
    </r>
    <r>
      <rPr>
        <sz val="12"/>
        <rFont val="Calibri"/>
        <family val="2"/>
      </rPr>
      <t>gérer des machines virtuelle</t>
    </r>
  </si>
  <si>
    <r>
      <t>-</t>
    </r>
    <r>
      <rPr>
        <sz val="7"/>
        <rFont val="Times New Roman"/>
        <family val="1"/>
      </rPr>
      <t xml:space="preserve">       </t>
    </r>
    <r>
      <rPr>
        <sz val="12"/>
        <rFont val="Calibri"/>
        <family val="2"/>
      </rPr>
      <t>installation de test d'un outil de cloud computing</t>
    </r>
  </si>
  <si>
    <r>
      <t>-</t>
    </r>
    <r>
      <rPr>
        <sz val="7"/>
        <rFont val="Times New Roman"/>
        <family val="1"/>
      </rPr>
      <t xml:space="preserve">       </t>
    </r>
    <r>
      <rPr>
        <sz val="11"/>
        <rFont val="Calibri"/>
        <family val="2"/>
        <scheme val="minor"/>
      </rPr>
      <t>utilisation de base d'un outil de cloud computing</t>
    </r>
  </si>
  <si>
    <r>
      <t>-</t>
    </r>
    <r>
      <rPr>
        <sz val="7"/>
        <rFont val="Times New Roman"/>
        <family val="1"/>
      </rPr>
      <t xml:space="preserve">       </t>
    </r>
    <r>
      <rPr>
        <sz val="11"/>
        <rFont val="Calibri"/>
        <family val="2"/>
        <scheme val="minor"/>
      </rPr>
      <t>- Mettre en pratique les techniques de communication orales et écrites, pour documenter le projet.</t>
    </r>
  </si>
  <si>
    <r>
      <t> </t>
    </r>
    <r>
      <rPr>
        <sz val="11"/>
        <rFont val="Calibri"/>
        <family val="2"/>
        <scheme val="minor"/>
      </rPr>
      <t>- Cloud computing, IaaS</t>
    </r>
  </si>
  <si>
    <r>
      <t xml:space="preserve">La finalité du projet est le déploiement d'une solution IaaS multi-nœuds, multi-tenants, offrant des </t>
    </r>
    <r>
      <rPr>
        <b/>
        <sz val="11"/>
        <rFont val="Calibri"/>
        <family val="2"/>
        <scheme val="minor"/>
      </rPr>
      <t>services de calcul</t>
    </r>
    <r>
      <rPr>
        <sz val="11"/>
        <rFont val="Calibri"/>
        <family val="2"/>
        <scheme val="minor"/>
      </rPr>
      <t xml:space="preserve">, de </t>
    </r>
    <r>
      <rPr>
        <b/>
        <sz val="11"/>
        <rFont val="Calibri"/>
        <family val="2"/>
        <scheme val="minor"/>
      </rPr>
      <t>stockage</t>
    </r>
    <r>
      <rPr>
        <sz val="11"/>
        <rFont val="Calibri"/>
        <family val="2"/>
        <scheme val="minor"/>
      </rPr>
      <t xml:space="preserve">, et des services </t>
    </r>
    <r>
      <rPr>
        <b/>
        <sz val="11"/>
        <rFont val="Calibri"/>
        <family val="2"/>
        <scheme val="minor"/>
      </rPr>
      <t>basiques de réseaux</t>
    </r>
    <r>
      <rPr>
        <sz val="11"/>
        <rFont val="Calibri"/>
        <family val="2"/>
        <scheme val="minor"/>
      </rPr>
      <t xml:space="preserve">, avec un </t>
    </r>
    <r>
      <rPr>
        <b/>
        <sz val="11"/>
        <rFont val="Calibri"/>
        <family val="2"/>
        <scheme val="minor"/>
      </rPr>
      <t>approvisionnement automatique</t>
    </r>
    <r>
      <rPr>
        <sz val="11"/>
        <rFont val="Calibri"/>
        <family val="2"/>
        <scheme val="minor"/>
      </rPr>
      <t>.</t>
    </r>
  </si>
  <si>
    <r>
      <t>Nombre d’étudiants par projet :</t>
    </r>
    <r>
      <rPr>
        <sz val="11"/>
        <rFont val="Calibri"/>
        <family val="2"/>
        <scheme val="minor"/>
      </rPr>
      <t xml:space="preserve"> entre 3 et 4 étudiants (entre 3 et 4 types de nœuds).</t>
    </r>
  </si>
  <si>
    <r>
      <t>-</t>
    </r>
    <r>
      <rPr>
        <sz val="7"/>
        <rFont val="Times New Roman"/>
        <family val="1"/>
      </rPr>
      <t xml:space="preserve">          </t>
    </r>
    <r>
      <rPr>
        <sz val="11"/>
        <rFont val="Calibri"/>
        <family val="2"/>
        <scheme val="minor"/>
      </rPr>
      <t>Semaine1: Présentation des projets / documentation / lectures / modalités d'évaluation.</t>
    </r>
  </si>
  <si>
    <r>
      <t>-</t>
    </r>
    <r>
      <rPr>
        <sz val="7"/>
        <rFont val="Times New Roman"/>
        <family val="1"/>
      </rPr>
      <t xml:space="preserve">          </t>
    </r>
    <r>
      <rPr>
        <sz val="11"/>
        <rFont val="Calibri"/>
        <family val="2"/>
        <scheme val="minor"/>
      </rPr>
      <t>Semaine 2 : Elaboration des cahiers des charges techniques.</t>
    </r>
  </si>
  <si>
    <r>
      <t>-</t>
    </r>
    <r>
      <rPr>
        <sz val="7"/>
        <rFont val="Times New Roman"/>
        <family val="1"/>
      </rPr>
      <t xml:space="preserve">          </t>
    </r>
    <r>
      <rPr>
        <sz val="11"/>
        <rFont val="Calibri"/>
        <family val="2"/>
        <scheme val="minor"/>
      </rPr>
      <t>Semaine 3 : Présentation / validation des modèles des maquettes.</t>
    </r>
  </si>
  <si>
    <r>
      <t>-</t>
    </r>
    <r>
      <rPr>
        <sz val="7"/>
        <rFont val="Times New Roman"/>
        <family val="1"/>
      </rPr>
      <t xml:space="preserve">          </t>
    </r>
    <r>
      <rPr>
        <sz val="11"/>
        <rFont val="Calibri"/>
        <family val="2"/>
        <scheme val="minor"/>
      </rPr>
      <t>Semaines 4, 5, 6 : Déploiement de la maquette (modèle de services), sur les différent nœuds.</t>
    </r>
  </si>
  <si>
    <r>
      <t>-</t>
    </r>
    <r>
      <rPr>
        <sz val="7"/>
        <rFont val="Times New Roman"/>
        <family val="1"/>
      </rPr>
      <t xml:space="preserve">          </t>
    </r>
    <r>
      <rPr>
        <sz val="11"/>
        <rFont val="Calibri"/>
        <family val="2"/>
        <scheme val="minor"/>
      </rPr>
      <t>Semaine 7 : Validation de la maquette - modèle des services multi-nœuds.</t>
    </r>
  </si>
  <si>
    <r>
      <t>-</t>
    </r>
    <r>
      <rPr>
        <sz val="7"/>
        <rFont val="Times New Roman"/>
        <family val="1"/>
      </rPr>
      <t xml:space="preserve">          </t>
    </r>
    <r>
      <rPr>
        <sz val="11"/>
        <rFont val="Calibri"/>
        <family val="2"/>
        <scheme val="minor"/>
      </rPr>
      <t>Semaine 8 : Validation de l'approvisionnement manuel d'un service de calcul / stockage.</t>
    </r>
  </si>
  <si>
    <r>
      <t>-</t>
    </r>
    <r>
      <rPr>
        <sz val="7"/>
        <rFont val="Times New Roman"/>
        <family val="1"/>
      </rPr>
      <t xml:space="preserve">          </t>
    </r>
    <r>
      <rPr>
        <sz val="11"/>
        <rFont val="Calibri"/>
        <family val="2"/>
        <scheme val="minor"/>
      </rPr>
      <t>Semaine 9, 10 : Configuration des services réseaux.</t>
    </r>
  </si>
  <si>
    <r>
      <t>-</t>
    </r>
    <r>
      <rPr>
        <sz val="7"/>
        <rFont val="Times New Roman"/>
        <family val="1"/>
      </rPr>
      <t xml:space="preserve">          </t>
    </r>
    <r>
      <rPr>
        <sz val="11"/>
        <rFont val="Calibri"/>
        <family val="2"/>
        <scheme val="minor"/>
      </rPr>
      <t>Semaine 11 : Déploiement des container (LXC).</t>
    </r>
  </si>
  <si>
    <r>
      <t>-</t>
    </r>
    <r>
      <rPr>
        <sz val="7"/>
        <rFont val="Times New Roman"/>
        <family val="1"/>
      </rPr>
      <t xml:space="preserve">          </t>
    </r>
    <r>
      <rPr>
        <sz val="11"/>
        <rFont val="Calibri"/>
        <family val="2"/>
        <scheme val="minor"/>
      </rPr>
      <t>Semaine 12,13 : Développement des scripts d'automatisation.</t>
    </r>
  </si>
  <si>
    <r>
      <t>-</t>
    </r>
    <r>
      <rPr>
        <sz val="7"/>
        <rFont val="Times New Roman"/>
        <family val="1"/>
      </rPr>
      <t xml:space="preserve">          </t>
    </r>
    <r>
      <rPr>
        <sz val="11"/>
        <rFont val="Calibri"/>
        <family val="2"/>
        <scheme val="minor"/>
      </rPr>
      <t>Semaine 14 : Validation finale du Projet (maquette + rapport)</t>
    </r>
  </si>
  <si>
    <r>
      <t>-</t>
    </r>
    <r>
      <rPr>
        <sz val="7"/>
        <rFont val="Times New Roman"/>
        <family val="1"/>
      </rPr>
      <t xml:space="preserve">          </t>
    </r>
    <r>
      <rPr>
        <sz val="10"/>
        <rFont val="Calibri"/>
        <family val="2"/>
        <scheme val="minor"/>
      </rPr>
      <t>Coef1 et coef2 : à définir par l’enseignant</t>
    </r>
  </si>
  <si>
    <r>
      <t>-</t>
    </r>
    <r>
      <rPr>
        <sz val="7"/>
        <rFont val="Times New Roman"/>
        <family val="1"/>
      </rPr>
      <t xml:space="preserve">          </t>
    </r>
    <r>
      <rPr>
        <sz val="10"/>
        <rFont val="Calibri"/>
        <family val="2"/>
        <scheme val="minor"/>
      </rPr>
      <t>Une évaluation hebdomadaire notera l'état d'avancement des différents projets.</t>
    </r>
  </si>
  <si>
    <r>
      <t>-</t>
    </r>
    <r>
      <rPr>
        <sz val="7"/>
        <rFont val="Times New Roman"/>
        <family val="1"/>
      </rPr>
      <t xml:space="preserve">          </t>
    </r>
    <r>
      <rPr>
        <sz val="10"/>
        <rFont val="Calibri"/>
        <family val="2"/>
        <scheme val="minor"/>
      </rPr>
      <t>Des présentation seront demandées avec des rapports techniques et un rapport final le jour de la validation finale.</t>
    </r>
  </si>
  <si>
    <r>
      <t>-</t>
    </r>
    <r>
      <rPr>
        <sz val="7"/>
        <rFont val="Times New Roman"/>
        <family val="1"/>
      </rPr>
      <t xml:space="preserve">          </t>
    </r>
    <r>
      <rPr>
        <sz val="10"/>
        <rFont val="Calibri"/>
        <family val="2"/>
        <scheme val="minor"/>
      </rPr>
      <t xml:space="preserve">La validation de la maquette finale débute à partir de la semaine 7. </t>
    </r>
  </si>
  <si>
    <r>
      <t>-</t>
    </r>
    <r>
      <rPr>
        <sz val="7"/>
        <rFont val="Times New Roman"/>
        <family val="1"/>
      </rPr>
      <t xml:space="preserve">          </t>
    </r>
    <r>
      <rPr>
        <sz val="10"/>
        <rFont val="Calibri"/>
        <family val="2"/>
        <scheme val="minor"/>
      </rPr>
      <t>Chaque étudiant sera validé séparément et sera noté sur son travail fourni.</t>
    </r>
  </si>
  <si>
    <r>
      <t>-</t>
    </r>
    <r>
      <rPr>
        <sz val="7"/>
        <rFont val="Times New Roman"/>
        <family val="1"/>
      </rPr>
      <t xml:space="preserve">  </t>
    </r>
    <r>
      <rPr>
        <sz val="10"/>
        <rFont val="Calibri"/>
        <family val="2"/>
        <scheme val="minor"/>
      </rPr>
      <t>Les projets doivent être du même degré de complexité</t>
    </r>
  </si>
  <si>
    <r>
      <t> </t>
    </r>
    <r>
      <rPr>
        <sz val="11"/>
        <rFont val="Calibri"/>
        <family val="2"/>
        <scheme val="minor"/>
      </rPr>
      <t>- L’émulateur GNS3</t>
    </r>
  </si>
  <si>
    <r>
      <t> </t>
    </r>
    <r>
      <rPr>
        <sz val="11"/>
        <rFont val="Calibri"/>
        <family val="2"/>
        <scheme val="minor"/>
      </rPr>
      <t>VirtualBox, VMware Workstation</t>
    </r>
  </si>
  <si>
    <r>
      <t> </t>
    </r>
    <r>
      <rPr>
        <sz val="11"/>
        <rFont val="Calibri"/>
        <family val="2"/>
        <scheme val="minor"/>
      </rPr>
      <t>Commutateur physique</t>
    </r>
  </si>
  <si>
    <r>
      <t> </t>
    </r>
    <r>
      <rPr>
        <sz val="11"/>
        <rFont val="Calibri"/>
        <family val="2"/>
        <scheme val="minor"/>
      </rPr>
      <t>-La documentation dépend du produit et de la technologie choisie par le groupe</t>
    </r>
  </si>
  <si>
    <r>
      <t> </t>
    </r>
    <r>
      <rPr>
        <sz val="10"/>
        <rFont val="Calibri"/>
        <family val="2"/>
        <scheme val="minor"/>
      </rPr>
      <t xml:space="preserve">Oracle 11g Administration, </t>
    </r>
    <r>
      <rPr>
        <i/>
        <sz val="10"/>
        <rFont val="Calibri"/>
        <family val="2"/>
        <scheme val="minor"/>
      </rPr>
      <t>Olivier Heurtel</t>
    </r>
    <r>
      <rPr>
        <sz val="10"/>
        <rFont val="Calibri"/>
        <family val="2"/>
        <scheme val="minor"/>
      </rPr>
      <t>, Éditions Eni, 2008, 569 pages, ISBN 2-7460-4614-6.</t>
    </r>
  </si>
  <si>
    <r>
      <t xml:space="preserve">Cette matière requiert que l'étudiant ait suivi </t>
    </r>
    <r>
      <rPr>
        <b/>
        <sz val="10"/>
        <rFont val="Calibri"/>
        <family val="2"/>
        <scheme val="minor"/>
      </rPr>
      <t>Bases de données</t>
    </r>
    <r>
      <rPr>
        <sz val="10"/>
        <rFont val="Calibri"/>
        <family val="2"/>
        <scheme val="minor"/>
      </rPr>
      <t>.</t>
    </r>
  </si>
  <si>
    <r>
      <t xml:space="preserve">- </t>
    </r>
    <r>
      <rPr>
        <b/>
        <sz val="11"/>
        <rFont val="Calibri"/>
        <family val="2"/>
        <scheme val="minor"/>
      </rPr>
      <t>LES COMPOSANTS DE L’ARCHITECTURE ORACLE</t>
    </r>
    <r>
      <rPr>
        <sz val="11"/>
        <rFont val="Calibri"/>
        <family val="2"/>
        <scheme val="minor"/>
      </rPr>
      <t> : Processus utilisateur, Processus serveur, SGA, Processus d'arrière plan, Fichiers de la base de données,…, traitement de requêtes, traitement de requêtes DML, traitement d’un COMMIT</t>
    </r>
  </si>
  <si>
    <r>
      <t>- </t>
    </r>
    <r>
      <rPr>
        <b/>
        <sz val="11"/>
        <rFont val="Calibri"/>
        <family val="2"/>
        <scheme val="minor"/>
      </rPr>
      <t>LES OUTILS D'ADMINISTRATION</t>
    </r>
    <r>
      <rPr>
        <sz val="11"/>
        <rFont val="Calibri"/>
        <family val="2"/>
        <scheme val="minor"/>
      </rPr>
      <t> : Oracle Net , SQL*PLUS , Oracle Entreprise Manager ,Oracle Universal Installer ,SQL*Loader, Utilitaire d'export ou d'import, Utilitaire de fichier de mot de passe, RMAN, …, Quelques Commandes SQL*PLUS, SQL pour le DBA</t>
    </r>
  </si>
  <si>
    <r>
      <t>-</t>
    </r>
    <r>
      <rPr>
        <b/>
        <sz val="11"/>
        <rFont val="Calibri"/>
        <family val="2"/>
        <scheme val="minor"/>
      </rPr>
      <t>GESTION D’UNE INSTANCE ORACLE</t>
    </r>
    <r>
      <rPr>
        <sz val="11"/>
        <rFont val="Calibri"/>
        <family val="2"/>
        <scheme val="minor"/>
      </rPr>
      <t xml:space="preserve"> : authentification et privilèges, fichiers de paramètres ( pfile, spfile), démarrage/ arrêt d’une instance, vues dynamique des performances </t>
    </r>
  </si>
  <si>
    <r>
      <t xml:space="preserve">- </t>
    </r>
    <r>
      <rPr>
        <b/>
        <sz val="11"/>
        <rFont val="Calibri"/>
        <family val="2"/>
        <scheme val="minor"/>
      </rPr>
      <t>PROCEDURE DE CREATION D’UNE BASE DE DONNEES</t>
    </r>
    <r>
      <rPr>
        <sz val="11"/>
        <rFont val="Calibri"/>
        <family val="2"/>
        <scheme val="minor"/>
      </rPr>
      <t> : Assistant de configuration de base de données, Les options de la commande CREATE DATABASE, Créer une BD en mode commande,  Les conditions d'erreur lors de la création d'une base de données,  Le contenu d'une base de données après sa création</t>
    </r>
  </si>
  <si>
    <r>
      <t xml:space="preserve">- </t>
    </r>
    <r>
      <rPr>
        <b/>
        <sz val="11"/>
        <rFont val="Calibri"/>
        <family val="2"/>
        <scheme val="minor"/>
      </rPr>
      <t>UTILISATION ET CONTENU DU DICTIONNAIRE DE DONNEES</t>
    </r>
    <r>
      <rPr>
        <sz val="11"/>
        <rFont val="Calibri"/>
        <family val="2"/>
        <scheme val="minor"/>
      </rPr>
      <t> : structure du dictionnaire de données, scripts pour la gestion et l’administration du dictionnaire (fonctions pl/sql)</t>
    </r>
  </si>
  <si>
    <r>
      <t xml:space="preserve">- </t>
    </r>
    <r>
      <rPr>
        <b/>
        <sz val="11"/>
        <rFont val="Calibri"/>
        <family val="2"/>
        <scheme val="minor"/>
      </rPr>
      <t>GESTION DES FICHIERS DE CONTROLE ET DE REDO LOG</t>
    </r>
    <r>
      <rPr>
        <sz val="11"/>
        <rFont val="Calibri"/>
        <family val="2"/>
        <scheme val="minor"/>
      </rPr>
      <t> : les fichiers de contrôle ( Contenu ,Multiplexage, Récupérer les informations), les fichiers de redo log(Structure , Paramètres ,Utilisation,… ),</t>
    </r>
  </si>
  <si>
    <r>
      <t xml:space="preserve">- </t>
    </r>
    <r>
      <rPr>
        <b/>
        <sz val="11"/>
        <rFont val="Calibri"/>
        <family val="2"/>
        <scheme val="minor"/>
      </rPr>
      <t>GERER LES TABLESPACES ET LES FICHIERS DE DONNEES</t>
    </r>
    <r>
      <rPr>
        <sz val="11"/>
        <rFont val="Calibri"/>
        <family val="2"/>
        <scheme val="minor"/>
      </rPr>
      <t> : Caractéristiques et utilisations d'un tablespace, Caractéristiques d'un fichier de données, LocallyManagedtablespaces,DictionaryManaged Tablespaces, Paramètres de stockage, AUTRES OPTIONS SUR LES TABLESPACES, Configurer OMF pour la création de Tablespace, Créer des Tablespaces avec OMF, Récupérer des informations sur les Tablespaces.</t>
    </r>
  </si>
  <si>
    <r>
      <t> </t>
    </r>
    <r>
      <rPr>
        <sz val="10"/>
        <rFont val="Calibri"/>
        <family val="2"/>
        <scheme val="minor"/>
      </rPr>
      <t>SGBD, administration, gestion et optimisation d’une base de données.</t>
    </r>
  </si>
  <si>
    <r>
      <t>·</t>
    </r>
    <r>
      <rPr>
        <sz val="7"/>
        <rFont val="Times New Roman"/>
        <family val="1"/>
      </rPr>
      <t xml:space="preserve">       </t>
    </r>
    <r>
      <rPr>
        <sz val="10"/>
        <rFont val="Calibri"/>
        <family val="2"/>
        <scheme val="minor"/>
      </rPr>
      <t>expliquer l’architecture d’une base de données, ses fichiers et sa structure de données;</t>
    </r>
  </si>
  <si>
    <r>
      <t>·</t>
    </r>
    <r>
      <rPr>
        <sz val="7"/>
        <rFont val="Times New Roman"/>
        <family val="1"/>
      </rPr>
      <t xml:space="preserve">       </t>
    </r>
    <r>
      <rPr>
        <sz val="10"/>
        <rFont val="Calibri"/>
        <family val="2"/>
        <scheme val="minor"/>
      </rPr>
      <t>créer un serveur de base de données;</t>
    </r>
  </si>
  <si>
    <r>
      <t>·</t>
    </r>
    <r>
      <rPr>
        <sz val="7"/>
        <rFont val="Times New Roman"/>
        <family val="1"/>
      </rPr>
      <t xml:space="preserve">       </t>
    </r>
    <r>
      <rPr>
        <sz val="10"/>
        <rFont val="Calibri"/>
        <family val="2"/>
        <scheme val="minor"/>
      </rPr>
      <t>configurer un serveur de base de données selon des contextes particuliers;</t>
    </r>
  </si>
  <si>
    <r>
      <t>·</t>
    </r>
    <r>
      <rPr>
        <sz val="7"/>
        <rFont val="Times New Roman"/>
        <family val="1"/>
      </rPr>
      <t xml:space="preserve">       </t>
    </r>
    <r>
      <rPr>
        <sz val="10"/>
        <rFont val="Calibri"/>
        <family val="2"/>
        <scheme val="minor"/>
      </rPr>
      <t>coder des scripts de gestion en SQL;</t>
    </r>
  </si>
  <si>
    <r>
      <t>·</t>
    </r>
    <r>
      <rPr>
        <sz val="7"/>
        <rFont val="Times New Roman"/>
        <family val="1"/>
      </rPr>
      <t xml:space="preserve">       </t>
    </r>
    <r>
      <rPr>
        <sz val="10"/>
        <rFont val="Calibri"/>
        <family val="2"/>
        <scheme val="minor"/>
      </rPr>
      <t>analyser le comportement d’une base de données et optimiser ses paramètres;</t>
    </r>
  </si>
  <si>
    <r>
      <t>·</t>
    </r>
    <r>
      <rPr>
        <sz val="7"/>
        <rFont val="Times New Roman"/>
        <family val="1"/>
      </rPr>
      <t xml:space="preserve">       </t>
    </r>
    <r>
      <rPr>
        <sz val="10"/>
        <rFont val="Calibri"/>
        <family val="2"/>
        <scheme val="minor"/>
      </rPr>
      <t>créer et gérer les usagers de la base de données;</t>
    </r>
  </si>
  <si>
    <r>
      <t>-</t>
    </r>
    <r>
      <rPr>
        <sz val="7"/>
        <rFont val="Times New Roman"/>
        <family val="1"/>
      </rPr>
      <t xml:space="preserve">       </t>
    </r>
    <r>
      <rPr>
        <sz val="10"/>
        <rFont val="Calibri"/>
        <family val="2"/>
        <scheme val="minor"/>
      </rPr>
      <t>choisir le bon type de base de données en fonction des besoins à combler.</t>
    </r>
  </si>
  <si>
    <r>
      <t> </t>
    </r>
    <r>
      <rPr>
        <sz val="10"/>
        <rFont val="Calibri"/>
        <family val="2"/>
        <scheme val="minor"/>
      </rPr>
      <t>Soutou C., SQL Pour Oracle (avec exercices corrigés), Eyrolles, 2005</t>
    </r>
  </si>
  <si>
    <r>
      <t xml:space="preserve">Oracle 11g Administration, </t>
    </r>
    <r>
      <rPr>
        <i/>
        <sz val="10"/>
        <rFont val="Calibri"/>
        <family val="2"/>
        <scheme val="minor"/>
      </rPr>
      <t>Olivier Heurtel</t>
    </r>
    <r>
      <rPr>
        <sz val="10"/>
        <rFont val="Calibri"/>
        <family val="2"/>
        <scheme val="minor"/>
      </rPr>
      <t>, Éditions Eni, 2008, 569 pages, ISBN 2-7460-4614-6.</t>
    </r>
  </si>
  <si>
    <r>
      <t>-</t>
    </r>
    <r>
      <rPr>
        <sz val="7"/>
        <rFont val="Times New Roman"/>
        <family val="1"/>
      </rPr>
      <t xml:space="preserve">        </t>
    </r>
    <r>
      <rPr>
        <b/>
        <sz val="10"/>
        <rFont val="Calibri"/>
        <family val="2"/>
        <scheme val="minor"/>
      </rPr>
      <t>TP 1 -</t>
    </r>
    <r>
      <rPr>
        <b/>
        <sz val="11"/>
        <rFont val="Calibri"/>
        <family val="2"/>
        <scheme val="minor"/>
      </rPr>
      <t>installation  du SGBD Oracle</t>
    </r>
  </si>
  <si>
    <r>
      <t>-</t>
    </r>
    <r>
      <rPr>
        <sz val="7"/>
        <rFont val="Times New Roman"/>
        <family val="1"/>
      </rPr>
      <t xml:space="preserve">  </t>
    </r>
    <r>
      <rPr>
        <sz val="11"/>
        <rFont val="Calibri"/>
        <family val="2"/>
        <scheme val="minor"/>
      </rPr>
      <t>Extents. Allocation et libération.</t>
    </r>
  </si>
  <si>
    <r>
      <t>-</t>
    </r>
    <r>
      <rPr>
        <sz val="7"/>
        <rFont val="Times New Roman"/>
        <family val="1"/>
      </rPr>
      <t xml:space="preserve">        </t>
    </r>
    <r>
      <rPr>
        <sz val="10"/>
        <rFont val="Calibri"/>
        <family val="2"/>
        <scheme val="minor"/>
      </rPr>
      <t xml:space="preserve">Créer, maintenir et développer dans un environnement de bases de données, </t>
    </r>
  </si>
  <si>
    <r>
      <t>-</t>
    </r>
    <r>
      <rPr>
        <sz val="7"/>
        <rFont val="Times New Roman"/>
        <family val="1"/>
      </rPr>
      <t xml:space="preserve">        </t>
    </r>
    <r>
      <rPr>
        <sz val="10"/>
        <rFont val="Calibri"/>
        <family val="2"/>
        <scheme val="minor"/>
      </rPr>
      <t>Gérer l'activité utilisateur en spécifiant les privilèges et les rôles,</t>
    </r>
  </si>
  <si>
    <r>
      <t>-</t>
    </r>
    <r>
      <rPr>
        <sz val="7"/>
        <rFont val="Times New Roman"/>
        <family val="1"/>
      </rPr>
      <t xml:space="preserve">        </t>
    </r>
    <r>
      <rPr>
        <sz val="10"/>
        <rFont val="Calibri"/>
        <family val="2"/>
        <scheme val="minor"/>
      </rPr>
      <t>Manipuler un Dictionnaire de données &amp; activités d’Import / Export de données</t>
    </r>
  </si>
  <si>
    <r>
      <t>-</t>
    </r>
    <r>
      <rPr>
        <sz val="7"/>
        <rFont val="Times New Roman"/>
        <family val="1"/>
      </rPr>
      <t xml:space="preserve">        </t>
    </r>
    <r>
      <rPr>
        <sz val="10"/>
        <rFont val="Calibri"/>
        <family val="2"/>
        <scheme val="minor"/>
      </rPr>
      <t>Manipuler les Objets avancés dans les bases de données</t>
    </r>
  </si>
  <si>
    <r>
      <t>-</t>
    </r>
    <r>
      <rPr>
        <sz val="7"/>
        <rFont val="Times New Roman"/>
        <family val="1"/>
      </rPr>
      <t xml:space="preserve">        </t>
    </r>
    <r>
      <rPr>
        <sz val="10"/>
        <rFont val="Calibri"/>
        <family val="2"/>
        <scheme val="minor"/>
      </rPr>
      <t>Gérer la Protection des données : contrôles d’accès</t>
    </r>
  </si>
  <si>
    <r>
      <t>-</t>
    </r>
    <r>
      <rPr>
        <sz val="7"/>
        <rFont val="Times New Roman"/>
        <family val="1"/>
      </rPr>
      <t xml:space="preserve">        </t>
    </r>
    <r>
      <rPr>
        <sz val="10"/>
        <rFont val="Calibri"/>
        <family val="2"/>
        <scheme val="minor"/>
      </rPr>
      <t>Gérer un SGBD Transactionnels : protection et sécurité des données</t>
    </r>
  </si>
  <si>
    <r>
      <t>-</t>
    </r>
    <r>
      <rPr>
        <sz val="7"/>
        <rFont val="Times New Roman"/>
        <family val="1"/>
      </rPr>
      <t xml:space="preserve">       </t>
    </r>
    <r>
      <rPr>
        <sz val="10"/>
        <rFont val="Calibri"/>
        <family val="2"/>
        <scheme val="minor"/>
      </rPr>
      <t>Améliorer les Performances : indexation et optimisation</t>
    </r>
  </si>
  <si>
    <r>
      <t>·</t>
    </r>
    <r>
      <rPr>
        <sz val="7"/>
        <rFont val="Times New Roman"/>
        <family val="1"/>
      </rPr>
      <t xml:space="preserve">       </t>
    </r>
    <r>
      <rPr>
        <sz val="11"/>
        <rFont val="Calibri"/>
        <family val="2"/>
        <scheme val="minor"/>
      </rPr>
      <t> </t>
    </r>
    <r>
      <rPr>
        <sz val="10"/>
        <rFont val="Calibri"/>
        <family val="2"/>
        <scheme val="minor"/>
      </rPr>
      <t xml:space="preserve">Adrian McEwen, Hakim Cassimally : “Designing the Internet of Things”, </t>
    </r>
    <r>
      <rPr>
        <b/>
        <sz val="10"/>
        <rFont val="Calibri"/>
        <family val="2"/>
        <scheme val="minor"/>
      </rPr>
      <t>ISBN-13:</t>
    </r>
    <r>
      <rPr>
        <sz val="10"/>
        <rFont val="Calibri"/>
        <family val="2"/>
        <scheme val="minor"/>
      </rPr>
      <t> 978-1118430620, 2014.</t>
    </r>
  </si>
  <si>
    <r>
      <t>-</t>
    </r>
    <r>
      <rPr>
        <sz val="7"/>
        <rFont val="Times New Roman"/>
        <family val="1"/>
      </rPr>
      <t xml:space="preserve">      </t>
    </r>
    <r>
      <rPr>
        <sz val="11"/>
        <rFont val="Calibri"/>
        <family val="2"/>
        <scheme val="minor"/>
      </rPr>
      <t>What Is the Internet of Things?: Describe the Internet and its evolution to the Internet of Everything, Explain the four pillars of IoE and how its innovations can transform businesses</t>
    </r>
  </si>
  <si>
    <r>
      <t>-</t>
    </r>
    <r>
      <rPr>
        <sz val="7"/>
        <rFont val="Times New Roman"/>
        <family val="1"/>
      </rPr>
      <t xml:space="preserve">      </t>
    </r>
    <r>
      <rPr>
        <sz val="11"/>
        <rFont val="Calibri"/>
        <family val="2"/>
        <scheme val="minor"/>
      </rPr>
      <t>Elements of the IoE : Explain the interconnection of people, process, data, and things that forms the Internet of Everything.</t>
    </r>
  </si>
  <si>
    <r>
      <t>-</t>
    </r>
    <r>
      <rPr>
        <sz val="7"/>
        <rFont val="Times New Roman"/>
        <family val="1"/>
      </rPr>
      <t xml:space="preserve">      </t>
    </r>
    <r>
      <rPr>
        <sz val="11"/>
        <rFont val="Calibri"/>
        <family val="2"/>
        <scheme val="minor"/>
      </rPr>
      <t>Connecting the Unconnected : Explain how things that are non-IP-enabled and IP-enabled devices can be connected to a network to communicate in the Internet of Things</t>
    </r>
  </si>
  <si>
    <r>
      <t>-</t>
    </r>
    <r>
      <rPr>
        <sz val="7"/>
        <rFont val="Times New Roman"/>
        <family val="1"/>
      </rPr>
      <t xml:space="preserve">      </t>
    </r>
    <r>
      <rPr>
        <sz val="11"/>
        <rFont val="Calibri"/>
        <family val="2"/>
        <scheme val="minor"/>
      </rPr>
      <t>Transitioning to the IoE : Explain the steps to evaluate and implement an IoE solution , Explain security concerns that must be considered when implementing IoE solutions</t>
    </r>
  </si>
  <si>
    <r>
      <t>-</t>
    </r>
    <r>
      <rPr>
        <sz val="7"/>
        <rFont val="Times New Roman"/>
        <family val="1"/>
      </rPr>
      <t xml:space="preserve">  </t>
    </r>
    <r>
      <rPr>
        <sz val="11"/>
        <rFont val="Calibri"/>
        <family val="2"/>
        <scheme val="minor"/>
      </rPr>
      <t>Bringing it All Together: Describe the M2M, M2P and P2P interactions of an IoE Healthcare solution model.</t>
    </r>
  </si>
  <si>
    <r>
      <t> </t>
    </r>
    <r>
      <rPr>
        <sz val="11"/>
        <rFont val="Calibri"/>
        <family val="2"/>
        <scheme val="minor"/>
      </rPr>
      <t>IOE, IOT, M2M, M2P,P2P,data</t>
    </r>
  </si>
  <si>
    <r>
      <t>-</t>
    </r>
    <r>
      <rPr>
        <sz val="7"/>
        <rFont val="Times New Roman"/>
        <family val="1"/>
      </rPr>
      <t xml:space="preserve">          </t>
    </r>
    <r>
      <rPr>
        <sz val="11"/>
        <rFont val="Calibri"/>
        <family val="2"/>
        <scheme val="minor"/>
      </rPr>
      <t xml:space="preserve">Describe the Internet and its evolution to the Internet of Everything </t>
    </r>
  </si>
  <si>
    <r>
      <t>-</t>
    </r>
    <r>
      <rPr>
        <sz val="7"/>
        <rFont val="Times New Roman"/>
        <family val="1"/>
      </rPr>
      <t xml:space="preserve">          </t>
    </r>
    <r>
      <rPr>
        <sz val="11"/>
        <rFont val="Calibri"/>
        <family val="2"/>
        <scheme val="minor"/>
      </rPr>
      <t>Explain the four pillars of IoE and how its innovations can transform businesses</t>
    </r>
  </si>
  <si>
    <r>
      <t>-</t>
    </r>
    <r>
      <rPr>
        <sz val="7"/>
        <rFont val="Times New Roman"/>
        <family val="1"/>
      </rPr>
      <t xml:space="preserve">          </t>
    </r>
    <r>
      <rPr>
        <sz val="11"/>
        <rFont val="Calibri"/>
        <family val="2"/>
        <scheme val="minor"/>
      </rPr>
      <t>Explain the interconnection of people, process, data, and things that forms the Internet of Everything.</t>
    </r>
  </si>
  <si>
    <r>
      <t>-</t>
    </r>
    <r>
      <rPr>
        <sz val="7"/>
        <rFont val="Times New Roman"/>
        <family val="1"/>
      </rPr>
      <t xml:space="preserve">          </t>
    </r>
    <r>
      <rPr>
        <sz val="11"/>
        <rFont val="Calibri"/>
        <family val="2"/>
        <scheme val="minor"/>
      </rPr>
      <t xml:space="preserve">Explain the steps to evaluate and implement an IoE solution. </t>
    </r>
  </si>
  <si>
    <r>
      <t>-</t>
    </r>
    <r>
      <rPr>
        <sz val="7"/>
        <rFont val="Times New Roman"/>
        <family val="1"/>
      </rPr>
      <t xml:space="preserve">          </t>
    </r>
    <r>
      <rPr>
        <sz val="11"/>
        <rFont val="Calibri"/>
        <family val="2"/>
        <scheme val="minor"/>
      </rPr>
      <t>Explain security concerns that must be considered when implementing IoE solutions.</t>
    </r>
  </si>
  <si>
    <r>
      <t>-</t>
    </r>
    <r>
      <rPr>
        <sz val="7"/>
        <rFont val="Times New Roman"/>
        <family val="1"/>
      </rPr>
      <t xml:space="preserve">       </t>
    </r>
    <r>
      <rPr>
        <sz val="11"/>
        <rFont val="Calibri"/>
        <family val="2"/>
        <scheme val="minor"/>
      </rPr>
      <t>Describe the M2M, M2P and P2P interactions of an IoE Healthcare solution model.</t>
    </r>
  </si>
  <si>
    <r>
      <t>-</t>
    </r>
    <r>
      <rPr>
        <sz val="7"/>
        <rFont val="Times New Roman"/>
        <family val="1"/>
      </rPr>
      <t xml:space="preserve">        </t>
    </r>
    <r>
      <rPr>
        <sz val="11"/>
        <rFont val="Calibri"/>
        <family val="2"/>
        <scheme val="minor"/>
      </rPr>
      <t>Comprendre les diverses technologies WAN qui permettent de connecter des réseaux PME.</t>
    </r>
  </si>
  <si>
    <r>
      <t>-</t>
    </r>
    <r>
      <rPr>
        <sz val="7"/>
        <rFont val="Times New Roman"/>
        <family val="1"/>
      </rPr>
      <t xml:space="preserve">        </t>
    </r>
    <r>
      <rPr>
        <sz val="11"/>
        <rFont val="Calibri"/>
        <family val="2"/>
        <scheme val="minor"/>
      </rPr>
      <t>Expliquer le fonctionnement des technologies série PPP et Frame Relay.</t>
    </r>
  </si>
  <si>
    <r>
      <t>-</t>
    </r>
    <r>
      <rPr>
        <sz val="7"/>
        <rFont val="Times New Roman"/>
        <family val="1"/>
      </rPr>
      <t xml:space="preserve">        </t>
    </r>
    <r>
      <rPr>
        <sz val="11"/>
        <rFont val="Calibri"/>
        <family val="2"/>
        <scheme val="minor"/>
      </rPr>
      <t>Maîtriser les concepts de base et le fonctionnement du MPLS</t>
    </r>
  </si>
  <si>
    <r>
      <t>-</t>
    </r>
    <r>
      <rPr>
        <sz val="7"/>
        <rFont val="Times New Roman"/>
        <family val="1"/>
      </rPr>
      <t xml:space="preserve">        </t>
    </r>
    <r>
      <rPr>
        <sz val="11"/>
        <rFont val="Calibri"/>
        <family val="2"/>
        <scheme val="minor"/>
      </rPr>
      <t>Savoir choisir un service WAN disponible chez un fournisseur</t>
    </r>
  </si>
  <si>
    <r>
      <t>-</t>
    </r>
    <r>
      <rPr>
        <sz val="7"/>
        <rFont val="Times New Roman"/>
        <family val="1"/>
      </rPr>
      <t xml:space="preserve">        </t>
    </r>
    <r>
      <rPr>
        <sz val="11"/>
        <rFont val="Calibri"/>
        <family val="2"/>
        <scheme val="minor"/>
      </rPr>
      <t>Comprendre la  technologie de tunneling niveau 3 et 2</t>
    </r>
  </si>
  <si>
    <r>
      <t>-</t>
    </r>
    <r>
      <rPr>
        <sz val="7"/>
        <rFont val="Times New Roman"/>
        <family val="1"/>
      </rPr>
      <t xml:space="preserve">       </t>
    </r>
    <r>
      <rPr>
        <sz val="11"/>
        <rFont val="Calibri"/>
        <family val="2"/>
        <scheme val="minor"/>
      </rPr>
      <t>Comprendre les technologies VPN (site à site et accès distant)</t>
    </r>
  </si>
  <si>
    <r>
      <t> </t>
    </r>
    <r>
      <rPr>
        <sz val="11"/>
        <rFont val="Calibri"/>
        <family val="2"/>
        <scheme val="minor"/>
      </rPr>
      <t>HDLC, PPP, PAP,CHAP, Frame Relay, DLCI, xDSL, WiMax, VPN site à site, ATM, MPLS, LDP, LIB, LFIB, FIB, télé-travail.</t>
    </r>
  </si>
  <si>
    <r>
      <t>-</t>
    </r>
    <r>
      <rPr>
        <sz val="7"/>
        <rFont val="Times New Roman"/>
        <family val="1"/>
      </rPr>
      <t xml:space="preserve">      </t>
    </r>
    <r>
      <rPr>
        <b/>
        <sz val="11"/>
        <rFont val="Calibri"/>
        <family val="2"/>
        <scheme val="minor"/>
      </rPr>
      <t>Interconnexion des réseaux :</t>
    </r>
    <r>
      <rPr>
        <sz val="11"/>
        <rFont val="Calibri"/>
        <family val="2"/>
        <scheme val="minor"/>
      </rPr>
      <t xml:space="preserve"> Problématique, Modèle hiérarchique, …</t>
    </r>
  </si>
  <si>
    <r>
      <t>-</t>
    </r>
    <r>
      <rPr>
        <sz val="7"/>
        <rFont val="Times New Roman"/>
        <family val="1"/>
      </rPr>
      <t xml:space="preserve">      </t>
    </r>
    <r>
      <rPr>
        <b/>
        <sz val="11"/>
        <rFont val="Calibri"/>
        <family val="2"/>
        <scheme val="minor"/>
      </rPr>
      <t>Présentation générale des WAN</t>
    </r>
    <r>
      <rPr>
        <sz val="11"/>
        <rFont val="Calibri"/>
        <family val="2"/>
        <scheme val="minor"/>
      </rPr>
      <t> : Commutation de circuits, de paquets, de cellules, ...</t>
    </r>
  </si>
  <si>
    <r>
      <t>-</t>
    </r>
    <r>
      <rPr>
        <sz val="7"/>
        <rFont val="Times New Roman"/>
        <family val="1"/>
      </rPr>
      <t xml:space="preserve">      </t>
    </r>
    <r>
      <rPr>
        <b/>
        <sz val="11"/>
        <rFont val="Calibri"/>
        <family val="2"/>
        <scheme val="minor"/>
      </rPr>
      <t>Protocole PPP</t>
    </r>
    <r>
      <rPr>
        <sz val="11"/>
        <rFont val="Calibri"/>
        <family val="2"/>
        <scheme val="minor"/>
      </rPr>
      <t xml:space="preserve"> : Protocole HDLC, Concepts de base du PPP, Encapsulation PPP, Protocoles LCP et NCP, Authentification avec PAP et CHAP, ... </t>
    </r>
  </si>
  <si>
    <r>
      <t>-</t>
    </r>
    <r>
      <rPr>
        <sz val="7"/>
        <rFont val="Times New Roman"/>
        <family val="1"/>
      </rPr>
      <t xml:space="preserve">      </t>
    </r>
    <r>
      <rPr>
        <b/>
        <sz val="11"/>
        <rFont val="Calibri"/>
        <family val="2"/>
        <scheme val="minor"/>
      </rPr>
      <t>PPPoE </t>
    </r>
    <r>
      <rPr>
        <sz val="11"/>
        <rFont val="Calibri"/>
        <family val="2"/>
        <scheme val="minor"/>
      </rPr>
      <t>: Principe, fonctionnement, avantages….</t>
    </r>
  </si>
  <si>
    <r>
      <t>-</t>
    </r>
    <r>
      <rPr>
        <sz val="7"/>
        <rFont val="Times New Roman"/>
        <family val="1"/>
      </rPr>
      <t xml:space="preserve">      </t>
    </r>
    <r>
      <rPr>
        <b/>
        <sz val="11"/>
        <rFont val="Calibri"/>
        <family val="2"/>
        <scheme val="minor"/>
      </rPr>
      <t>Protocole Frame Relay</t>
    </r>
    <r>
      <rPr>
        <sz val="11"/>
        <rFont val="Calibri"/>
        <family val="2"/>
        <scheme val="minor"/>
      </rPr>
      <t> : Protocole X25 (comparaison), Notion de circuit virtuel, DLCI, Encapsulation FR. Topologies FR, Contrôle de flux, ...</t>
    </r>
  </si>
  <si>
    <r>
      <t>-</t>
    </r>
    <r>
      <rPr>
        <sz val="7"/>
        <rFont val="Times New Roman"/>
        <family val="1"/>
      </rPr>
      <t xml:space="preserve">      </t>
    </r>
    <r>
      <rPr>
        <b/>
        <sz val="11"/>
        <rFont val="Calibri"/>
        <family val="2"/>
        <scheme val="minor"/>
      </rPr>
      <t>Services WAN</t>
    </r>
    <r>
      <rPr>
        <sz val="11"/>
        <rFont val="Calibri"/>
        <family val="2"/>
        <scheme val="minor"/>
      </rPr>
      <t xml:space="preserve"> : ATM, xDSL, WiMAX, VPN, télé-travail, …</t>
    </r>
  </si>
  <si>
    <r>
      <t>-</t>
    </r>
    <r>
      <rPr>
        <sz val="7"/>
        <rFont val="Times New Roman"/>
        <family val="1"/>
      </rPr>
      <t xml:space="preserve">      </t>
    </r>
    <r>
      <rPr>
        <b/>
        <sz val="11"/>
        <rFont val="Calibri"/>
        <family val="2"/>
        <scheme val="minor"/>
      </rPr>
      <t xml:space="preserve">La technologie MPLS : </t>
    </r>
    <r>
      <rPr>
        <sz val="11"/>
        <rFont val="Calibri"/>
        <family val="2"/>
        <scheme val="minor"/>
      </rPr>
      <t>Caractéristiques du backbone MPLS (Présentation des concepts de base du MPLS, Présentation des labels MPLS et le Label Stack</t>
    </r>
    <r>
      <rPr>
        <b/>
        <sz val="11"/>
        <rFont val="Calibri"/>
        <family val="2"/>
        <scheme val="minor"/>
      </rPr>
      <t>, présentation des tables MPLS (LIB, FIB, LFIB)</t>
    </r>
  </si>
  <si>
    <r>
      <t>-</t>
    </r>
    <r>
      <rPr>
        <sz val="7"/>
        <rFont val="Times New Roman"/>
        <family val="1"/>
      </rPr>
      <t xml:space="preserve">      </t>
    </r>
    <r>
      <rPr>
        <b/>
        <sz val="11"/>
        <rFont val="Calibri"/>
        <family val="2"/>
        <scheme val="minor"/>
      </rPr>
      <t>Translation d’adresses</t>
    </r>
    <r>
      <rPr>
        <sz val="11"/>
        <rFont val="Calibri"/>
        <family val="2"/>
        <scheme val="minor"/>
      </rPr>
      <t> : statique, dynamique, NAT/PAT …</t>
    </r>
  </si>
  <si>
    <r>
      <t>-</t>
    </r>
    <r>
      <rPr>
        <sz val="7"/>
        <rFont val="Times New Roman"/>
        <family val="1"/>
      </rPr>
      <t xml:space="preserve">      </t>
    </r>
    <r>
      <rPr>
        <b/>
        <sz val="11"/>
        <rFont val="Calibri"/>
        <family val="2"/>
        <scheme val="minor"/>
      </rPr>
      <t>Le tunneling IP </t>
    </r>
    <r>
      <rPr>
        <sz val="11"/>
        <rFont val="Calibri"/>
        <family val="2"/>
        <scheme val="minor"/>
      </rPr>
      <t>: Principes, avantages,  Tunnel niveau 2 et niveau 3</t>
    </r>
  </si>
  <si>
    <r>
      <t>-</t>
    </r>
    <r>
      <rPr>
        <sz val="7"/>
        <rFont val="Times New Roman"/>
        <family val="1"/>
      </rPr>
      <t xml:space="preserve">  </t>
    </r>
    <r>
      <rPr>
        <b/>
        <sz val="11"/>
        <rFont val="Calibri"/>
        <family val="2"/>
        <scheme val="minor"/>
      </rPr>
      <t>La technologie VPN </t>
    </r>
    <r>
      <rPr>
        <sz val="11"/>
        <rFont val="Calibri"/>
        <family val="2"/>
        <scheme val="minor"/>
      </rPr>
      <t>: Présentation de la technologie VPN site à site et la technologie VPN accès distant.</t>
    </r>
  </si>
  <si>
    <r>
      <rPr>
        <sz val="7"/>
        <rFont val="Times New Roman"/>
        <family val="1"/>
      </rPr>
      <t xml:space="preserve"> </t>
    </r>
    <r>
      <rPr>
        <sz val="10"/>
        <rFont val="Calibri"/>
        <family val="2"/>
        <scheme val="minor"/>
      </rPr>
      <t>D. Dromard, D. Seret : "ARCHITECTURE DES RESEAUX RCHITECTURE DES RESEAUX", Pearson Education, 2006.</t>
    </r>
  </si>
  <si>
    <r>
      <t>-</t>
    </r>
    <r>
      <rPr>
        <sz val="7"/>
        <rFont val="Times New Roman"/>
        <family val="1"/>
      </rPr>
      <t xml:space="preserve">          </t>
    </r>
    <r>
      <rPr>
        <sz val="12"/>
        <rFont val="Calibri"/>
        <family val="2"/>
        <scheme val="minor"/>
      </rPr>
      <t> </t>
    </r>
    <r>
      <rPr>
        <sz val="10"/>
        <rFont val="Calibri"/>
        <family val="2"/>
        <scheme val="minor"/>
      </rPr>
      <t>François GRELIER : « CISCO - CERTIFICATION CCNA LES PRINCIPALES COMMANDES ES PRINCIPALES COMMANDES DE RESEAU ETENDU (WAN) - PREPARATION A L'EXAMEN CCNA 4 », Edition Eni.</t>
    </r>
  </si>
  <si>
    <r>
      <t>-</t>
    </r>
    <r>
      <rPr>
        <sz val="7"/>
        <rFont val="Times New Roman"/>
        <family val="1"/>
      </rPr>
      <t xml:space="preserve">          </t>
    </r>
    <r>
      <rPr>
        <sz val="10"/>
        <rFont val="Calibri"/>
        <family val="2"/>
        <scheme val="minor"/>
      </rPr>
      <t xml:space="preserve">John Rullan, “WAN TECHNOLOGIES, CCNA 4 LABS AND STUDY GUIDE”, Cisco press </t>
    </r>
  </si>
  <si>
    <r>
      <t>-</t>
    </r>
    <r>
      <rPr>
        <sz val="7"/>
        <rFont val="Times New Roman"/>
        <family val="1"/>
      </rPr>
      <t xml:space="preserve">          </t>
    </r>
    <r>
      <rPr>
        <sz val="10"/>
        <rFont val="Calibri"/>
        <family val="2"/>
        <scheme val="minor"/>
      </rPr>
      <t xml:space="preserve">A.Tanenbaum : "COMPUTER NETWORKS", 4TH ED., </t>
    </r>
  </si>
  <si>
    <r>
      <t>-</t>
    </r>
    <r>
      <rPr>
        <sz val="7"/>
        <rFont val="Times New Roman"/>
        <family val="1"/>
      </rPr>
      <t xml:space="preserve">          </t>
    </r>
    <r>
      <rPr>
        <sz val="10"/>
        <rFont val="Calibri"/>
        <family val="2"/>
        <scheme val="minor"/>
      </rPr>
      <t xml:space="preserve">PRENTICE-HALL, "Les RÉSEAUX WAN", 7ème edition, Pearson Education, 2012. </t>
    </r>
  </si>
  <si>
    <r>
      <t>-</t>
    </r>
    <r>
      <rPr>
        <sz val="7"/>
        <rFont val="Times New Roman"/>
        <family val="1"/>
      </rPr>
      <t xml:space="preserve">          </t>
    </r>
    <r>
      <rPr>
        <sz val="10"/>
        <rFont val="Calibri"/>
        <family val="2"/>
        <scheme val="minor"/>
      </rPr>
      <t xml:space="preserve">L.L. Peterson, B.S. Davie: "COMPUTER NETWORKS", 4th edition, Morgan Kaufmann, 2007. </t>
    </r>
  </si>
  <si>
    <r>
      <t>-</t>
    </r>
    <r>
      <rPr>
        <sz val="7"/>
        <rFont val="Times New Roman"/>
        <family val="1"/>
      </rPr>
      <t xml:space="preserve">          </t>
    </r>
    <r>
      <rPr>
        <sz val="10"/>
        <rFont val="Calibri"/>
        <family val="2"/>
        <scheme val="minor"/>
      </rPr>
      <t>D. Dromard, D. Seret : "ARCHITECTURE DES RESEAUX ", Pearson Education, 2006.</t>
    </r>
  </si>
  <si>
    <r>
      <t>-</t>
    </r>
    <r>
      <rPr>
        <sz val="7"/>
        <rFont val="Times New Roman"/>
        <family val="1"/>
      </rPr>
      <t xml:space="preserve">          </t>
    </r>
    <r>
      <rPr>
        <sz val="10"/>
        <rFont val="Calibri"/>
        <family val="2"/>
        <scheme val="minor"/>
      </rPr>
      <t>Luc De Ghein : « MPLS Fundamentals »,  Cisco Press 2009, ISBN-10: 1-58705-197-4</t>
    </r>
  </si>
  <si>
    <r>
      <t>-</t>
    </r>
    <r>
      <rPr>
        <sz val="7"/>
        <rFont val="Times New Roman"/>
        <family val="1"/>
      </rPr>
      <t xml:space="preserve">          </t>
    </r>
    <r>
      <rPr>
        <sz val="10"/>
        <rFont val="Calibri"/>
        <family val="2"/>
        <scheme val="minor"/>
      </rPr>
      <t>Blog sur les technologies des réseaux. Disponible sur le Site://http://cisco.goffinet.org/</t>
    </r>
  </si>
  <si>
    <r>
      <t>-</t>
    </r>
    <r>
      <rPr>
        <sz val="7"/>
        <rFont val="Times New Roman"/>
        <family val="1"/>
      </rPr>
      <t xml:space="preserve">          </t>
    </r>
    <r>
      <rPr>
        <sz val="10"/>
        <rFont val="Calibri"/>
        <family val="2"/>
        <scheme val="minor"/>
      </rPr>
      <t>Blog sur les technologies Cisco de routage, commutation, sécurité IP et services internet évolutifs, Disponible sur le lien : aymenbouzid.blogspot.com</t>
    </r>
  </si>
  <si>
    <r>
      <t>-</t>
    </r>
    <r>
      <rPr>
        <sz val="7"/>
        <rFont val="Times New Roman"/>
        <family val="1"/>
      </rPr>
      <t xml:space="preserve">       </t>
    </r>
    <r>
      <rPr>
        <sz val="11"/>
        <rFont val="Calibri"/>
        <family val="2"/>
        <scheme val="minor"/>
      </rPr>
      <t>TP1 : Configuration d’une liaison série : HDLC et PPP</t>
    </r>
  </si>
  <si>
    <r>
      <t>-</t>
    </r>
    <r>
      <rPr>
        <sz val="7"/>
        <rFont val="Times New Roman"/>
        <family val="1"/>
      </rPr>
      <t xml:space="preserve">       </t>
    </r>
    <r>
      <rPr>
        <sz val="11"/>
        <rFont val="Calibri"/>
        <family val="2"/>
        <scheme val="minor"/>
      </rPr>
      <t>TP2 : Configuration des protocoles d’authentification PAP et CHAP</t>
    </r>
  </si>
  <si>
    <r>
      <t>-</t>
    </r>
    <r>
      <rPr>
        <sz val="7"/>
        <rFont val="Times New Roman"/>
        <family val="1"/>
      </rPr>
      <t xml:space="preserve">       </t>
    </r>
    <r>
      <rPr>
        <sz val="11"/>
        <rFont val="Calibri"/>
        <family val="2"/>
        <scheme val="minor"/>
      </rPr>
      <t>TP3 : Configuration d’une liaison Frame Relay</t>
    </r>
  </si>
  <si>
    <r>
      <t>-</t>
    </r>
    <r>
      <rPr>
        <sz val="7"/>
        <rFont val="Times New Roman"/>
        <family val="1"/>
      </rPr>
      <t xml:space="preserve">       </t>
    </r>
    <r>
      <rPr>
        <sz val="11"/>
        <rFont val="Calibri"/>
        <family val="2"/>
        <scheme val="minor"/>
      </rPr>
      <t>TP4:  Configuration ADSL</t>
    </r>
  </si>
  <si>
    <r>
      <t>-</t>
    </r>
    <r>
      <rPr>
        <sz val="7"/>
        <rFont val="Times New Roman"/>
        <family val="1"/>
      </rPr>
      <t xml:space="preserve">       </t>
    </r>
    <r>
      <rPr>
        <sz val="11"/>
        <rFont val="Calibri"/>
        <family val="2"/>
        <scheme val="minor"/>
      </rPr>
      <t>TP5 : Configuration d’un backbone MPLS</t>
    </r>
  </si>
  <si>
    <r>
      <t>-</t>
    </r>
    <r>
      <rPr>
        <sz val="7"/>
        <rFont val="Times New Roman"/>
        <family val="1"/>
      </rPr>
      <t xml:space="preserve">       </t>
    </r>
    <r>
      <rPr>
        <sz val="11"/>
        <rFont val="Calibri"/>
        <family val="2"/>
        <scheme val="minor"/>
      </rPr>
      <t>TP6 : Configuration NAT/PAT statique et dynamique</t>
    </r>
  </si>
  <si>
    <r>
      <t>-</t>
    </r>
    <r>
      <rPr>
        <sz val="7"/>
        <rFont val="Times New Roman"/>
        <family val="1"/>
      </rPr>
      <t xml:space="preserve">       </t>
    </r>
    <r>
      <rPr>
        <sz val="11"/>
        <rFont val="Calibri"/>
        <family val="2"/>
        <scheme val="minor"/>
      </rPr>
      <t>TP7 : Configuration d’un Tunnel GRE IP</t>
    </r>
  </si>
  <si>
    <r>
      <t>-</t>
    </r>
    <r>
      <rPr>
        <sz val="7"/>
        <rFont val="Times New Roman"/>
        <family val="1"/>
      </rPr>
      <t xml:space="preserve">       </t>
    </r>
    <r>
      <rPr>
        <sz val="11"/>
        <rFont val="Calibri"/>
        <family val="2"/>
        <scheme val="minor"/>
      </rPr>
      <t>TP8 : Configuration d’une connexion VPN (site à site et accès distant)</t>
    </r>
  </si>
  <si>
    <r>
      <t> </t>
    </r>
    <r>
      <rPr>
        <sz val="11"/>
        <rFont val="Calibri"/>
        <family val="2"/>
        <scheme val="minor"/>
      </rPr>
      <t>HDLC, PPP, Frame Relay, DLCI, MPLS, LDP, LIB, LFIB, FIB, tunneling, VPN, ATM, télé-travail.</t>
    </r>
  </si>
  <si>
    <r>
      <t>-</t>
    </r>
    <r>
      <rPr>
        <sz val="7"/>
        <rFont val="Times New Roman"/>
        <family val="1"/>
      </rPr>
      <t xml:space="preserve">  </t>
    </r>
    <r>
      <rPr>
        <sz val="10"/>
        <rFont val="Calibri"/>
        <family val="2"/>
        <scheme val="minor"/>
      </rPr>
      <t>Le Request For Comments : rfc5280</t>
    </r>
  </si>
  <si>
    <r>
      <t>-</t>
    </r>
    <r>
      <rPr>
        <sz val="7"/>
        <rFont val="Times New Roman"/>
        <family val="1"/>
      </rPr>
      <t xml:space="preserve">  </t>
    </r>
    <r>
      <rPr>
        <sz val="10"/>
        <rFont val="Calibri"/>
        <family val="2"/>
      </rPr>
      <t>NIST SP 800-33  « Underlying Technical Models for Information Technology Security  »</t>
    </r>
  </si>
  <si>
    <r>
      <t>-</t>
    </r>
    <r>
      <rPr>
        <sz val="7"/>
        <rFont val="Times New Roman"/>
        <family val="1"/>
      </rPr>
      <t xml:space="preserve">  </t>
    </r>
    <r>
      <rPr>
        <sz val="10"/>
        <rFont val="Calibri"/>
        <family val="2"/>
      </rPr>
      <t>NIST SP 800-95 « Guide to Secure Web Services  »</t>
    </r>
  </si>
  <si>
    <r>
      <t>-</t>
    </r>
    <r>
      <rPr>
        <sz val="7"/>
        <rFont val="Times New Roman"/>
        <family val="1"/>
      </rPr>
      <t xml:space="preserve">  </t>
    </r>
    <r>
      <rPr>
        <sz val="10"/>
        <rFont val="Calibri"/>
        <family val="2"/>
      </rPr>
      <t>NIST SP 800-44 « Guidelines on Securing Public Web Servers »</t>
    </r>
  </si>
  <si>
    <r>
      <t>-</t>
    </r>
    <r>
      <rPr>
        <sz val="7"/>
        <rFont val="Times New Roman"/>
        <family val="1"/>
      </rPr>
      <t xml:space="preserve">  </t>
    </r>
    <r>
      <rPr>
        <sz val="10"/>
        <rFont val="Calibri"/>
        <family val="2"/>
      </rPr>
      <t>NIST SP 800-14 « Generally Accepted Principles and Practices for Securing Information Technology Systems  »</t>
    </r>
  </si>
  <si>
    <r>
      <t>-</t>
    </r>
    <r>
      <rPr>
        <sz val="7"/>
        <rFont val="Times New Roman"/>
        <family val="1"/>
      </rPr>
      <t xml:space="preserve">  </t>
    </r>
    <r>
      <rPr>
        <sz val="10"/>
        <rFont val="Calibri"/>
        <family val="2"/>
      </rPr>
      <t>NIST SP 800-27 « Engineering Principles for Information Technology Security (A Baseline for Achieving Security)  »</t>
    </r>
  </si>
  <si>
    <r>
      <t>-</t>
    </r>
    <r>
      <rPr>
        <sz val="7"/>
        <rFont val="Times New Roman"/>
        <family val="1"/>
      </rPr>
      <t xml:space="preserve">  </t>
    </r>
    <r>
      <rPr>
        <sz val="10"/>
        <rFont val="Calibri"/>
        <family val="2"/>
      </rPr>
      <t>NIST SP 800-53 « Security and Privacy Controls for Federal Information Systems and Organizations  »</t>
    </r>
  </si>
  <si>
    <r>
      <t>-</t>
    </r>
    <r>
      <rPr>
        <sz val="7"/>
        <rFont val="Times New Roman"/>
        <family val="1"/>
      </rPr>
      <t xml:space="preserve">  </t>
    </r>
    <r>
      <rPr>
        <sz val="10"/>
        <rFont val="Calibri"/>
        <family val="2"/>
      </rPr>
      <t xml:space="preserve">« Guide de la sécurité des systèmes d'information » Robert Longeon, , Jean-Luc Archimbaud, CNRS </t>
    </r>
  </si>
  <si>
    <r>
      <t>-</t>
    </r>
    <r>
      <rPr>
        <sz val="7"/>
        <rFont val="Times New Roman"/>
        <family val="1"/>
      </rPr>
      <t xml:space="preserve">  </t>
    </r>
    <r>
      <rPr>
        <sz val="10"/>
        <rFont val="Calibri"/>
        <family val="2"/>
      </rPr>
      <t>« It Governance- A Manager’s Guide to Data Security and ISO 27001/ISO 27002»  Alan Calder &amp; Steve Watkins, 2008 Kogan Page Limited.</t>
    </r>
  </si>
  <si>
    <r>
      <t>-</t>
    </r>
    <r>
      <rPr>
        <sz val="7"/>
        <rFont val="Times New Roman"/>
        <family val="1"/>
      </rPr>
      <t xml:space="preserve">  </t>
    </r>
    <r>
      <rPr>
        <sz val="10"/>
        <rFont val="Calibri"/>
        <family val="2"/>
        <scheme val="minor"/>
      </rPr>
      <t>- « Network Security</t>
    </r>
  </si>
  <si>
    <r>
      <t>-</t>
    </r>
    <r>
      <rPr>
        <sz val="7"/>
        <rFont val="Times New Roman"/>
        <family val="1"/>
      </rPr>
      <t xml:space="preserve">  </t>
    </r>
    <r>
      <rPr>
        <sz val="10"/>
        <rFont val="Calibri"/>
        <family val="2"/>
        <scheme val="minor"/>
      </rPr>
      <t xml:space="preserve"> Essentials:</t>
    </r>
  </si>
  <si>
    <r>
      <t>-</t>
    </r>
    <r>
      <rPr>
        <sz val="7"/>
        <rFont val="Times New Roman"/>
        <family val="1"/>
      </rPr>
      <t xml:space="preserve">  </t>
    </r>
    <r>
      <rPr>
        <sz val="10"/>
        <rFont val="Calibri"/>
        <family val="2"/>
        <scheme val="minor"/>
      </rPr>
      <t xml:space="preserve"> Applications and Standards</t>
    </r>
  </si>
  <si>
    <r>
      <t>-</t>
    </r>
    <r>
      <rPr>
        <sz val="7"/>
        <rFont val="Times New Roman"/>
        <family val="1"/>
      </rPr>
      <t xml:space="preserve">  </t>
    </r>
    <r>
      <rPr>
        <sz val="10"/>
        <rFont val="Calibri"/>
        <family val="2"/>
        <scheme val="minor"/>
      </rPr>
      <t> » William Stallings, 2011 Prentice Hall .</t>
    </r>
  </si>
  <si>
    <r>
      <t>-</t>
    </r>
    <r>
      <rPr>
        <sz val="7"/>
        <rFont val="Times New Roman"/>
        <family val="1"/>
      </rPr>
      <t xml:space="preserve">      </t>
    </r>
    <r>
      <rPr>
        <b/>
        <sz val="10"/>
        <rFont val="Calibri"/>
        <family val="2"/>
        <scheme val="minor"/>
      </rPr>
      <t>Chapitre 1 : Principe  de la sécurité :</t>
    </r>
    <r>
      <rPr>
        <sz val="10"/>
        <rFont val="Calibri"/>
        <family val="2"/>
        <scheme val="minor"/>
      </rPr>
      <t xml:space="preserve"> problématique, objectifs, domaines de sécurité, ISO 7498-2, terminologie, menaces, vulnérabilités, services de sécurité, mécanismes de sécurité, notion de cryptographie, …</t>
    </r>
  </si>
  <si>
    <r>
      <t>-</t>
    </r>
    <r>
      <rPr>
        <sz val="7"/>
        <rFont val="Times New Roman"/>
        <family val="1"/>
      </rPr>
      <t xml:space="preserve">      </t>
    </r>
    <r>
      <rPr>
        <b/>
        <sz val="10"/>
        <rFont val="Calibri"/>
        <family val="2"/>
        <scheme val="minor"/>
      </rPr>
      <t>Chapitre 2 : Failles de sécurité :</t>
    </r>
    <r>
      <rPr>
        <sz val="10"/>
        <rFont val="Calibri"/>
        <family val="2"/>
        <scheme val="minor"/>
      </rPr>
      <t xml:space="preserve"> architecture, systèmes d’exploitation, protocoles TCP/IP, applications, …</t>
    </r>
  </si>
  <si>
    <r>
      <t>-</t>
    </r>
    <r>
      <rPr>
        <sz val="7"/>
        <rFont val="Times New Roman"/>
        <family val="1"/>
      </rPr>
      <t xml:space="preserve">      </t>
    </r>
    <r>
      <rPr>
        <b/>
        <sz val="10"/>
        <rFont val="Calibri"/>
        <family val="2"/>
        <scheme val="minor"/>
      </rPr>
      <t>Chapitre 3 : Attaques</t>
    </r>
    <r>
      <rPr>
        <sz val="10"/>
        <rFont val="Calibri"/>
        <family val="2"/>
        <scheme val="minor"/>
      </rPr>
      <t> : classifications, étapes de réalisation, types et moyens : attaques d’accès (sniffers, outils d’accès, …), attaques de reconnaissance, attaques DoS (DDoS), attaques dus aux intrusions (virus, worm, cheval de Troie, …).</t>
    </r>
  </si>
  <si>
    <r>
      <t>-</t>
    </r>
    <r>
      <rPr>
        <sz val="7"/>
        <rFont val="Times New Roman"/>
        <family val="1"/>
      </rPr>
      <t xml:space="preserve">      </t>
    </r>
    <r>
      <rPr>
        <b/>
        <sz val="10"/>
        <rFont val="Calibri"/>
        <family val="2"/>
        <scheme val="minor"/>
      </rPr>
      <t>Chapitre 4 : Technique de sécurité des réseaux</t>
    </r>
    <r>
      <rPr>
        <sz val="10"/>
        <rFont val="Calibri"/>
        <family val="2"/>
        <scheme val="minor"/>
      </rPr>
      <t xml:space="preserve"> : accès (administration, distant, privilèges), Journalisation (syslog, SNMP, NTP, …), sécurisation couche 2(ports, MAC, VLAN, STP, …), … </t>
    </r>
  </si>
  <si>
    <r>
      <t>-</t>
    </r>
    <r>
      <rPr>
        <sz val="7"/>
        <rFont val="Times New Roman"/>
        <family val="1"/>
      </rPr>
      <t xml:space="preserve">      </t>
    </r>
    <r>
      <rPr>
        <b/>
        <sz val="10"/>
        <rFont val="Calibri"/>
        <family val="2"/>
        <scheme val="minor"/>
      </rPr>
      <t>Firewall :</t>
    </r>
    <r>
      <rPr>
        <sz val="10"/>
        <rFont val="Calibri"/>
        <family val="2"/>
        <scheme val="minor"/>
      </rPr>
      <t xml:space="preserve"> ACL (standard, extended), statefull,  Context Based Access Control (CBAC), Zone- Based Policy Firewall (ZPF), DMZ, ASA, …</t>
    </r>
  </si>
  <si>
    <r>
      <t>-</t>
    </r>
    <r>
      <rPr>
        <sz val="7"/>
        <rFont val="Times New Roman"/>
        <family val="1"/>
      </rPr>
      <t xml:space="preserve">      </t>
    </r>
    <r>
      <rPr>
        <b/>
        <sz val="10"/>
        <rFont val="Calibri"/>
        <family val="2"/>
        <scheme val="minor"/>
      </rPr>
      <t>IDS/IPS :</t>
    </r>
    <r>
      <rPr>
        <sz val="10"/>
        <rFont val="Calibri"/>
        <family val="2"/>
        <scheme val="minor"/>
      </rPr>
      <t xml:space="preserve"> Host-Based, Network-Based, signature, …</t>
    </r>
  </si>
  <si>
    <r>
      <t>-</t>
    </r>
    <r>
      <rPr>
        <sz val="7"/>
        <rFont val="Times New Roman"/>
        <family val="1"/>
      </rPr>
      <t xml:space="preserve">      </t>
    </r>
    <r>
      <rPr>
        <b/>
        <sz val="10"/>
        <rFont val="Calibri"/>
        <family val="2"/>
        <scheme val="minor"/>
      </rPr>
      <t>Proxy :</t>
    </r>
    <r>
      <rPr>
        <sz val="10"/>
        <rFont val="Calibri"/>
        <family val="2"/>
        <scheme val="minor"/>
      </rPr>
      <t>Principe, utilité, Déploiement, filtrage, architectures à base de proxy, …</t>
    </r>
  </si>
  <si>
    <r>
      <t>-</t>
    </r>
    <r>
      <rPr>
        <sz val="7"/>
        <rFont val="Times New Roman"/>
        <family val="1"/>
      </rPr>
      <t xml:space="preserve">      </t>
    </r>
    <r>
      <rPr>
        <b/>
        <sz val="10"/>
        <rFont val="Calibri"/>
        <family val="2"/>
        <scheme val="minor"/>
      </rPr>
      <t xml:space="preserve">Chapitre 5 : Sécurisation des Systèmes d’information et de Services : </t>
    </r>
    <r>
      <rPr>
        <sz val="10"/>
        <rFont val="Calibri"/>
        <family val="2"/>
        <scheme val="minor"/>
      </rPr>
      <t>gestion des partitions, virtualisation, Firewalls PCs, IDS/IPS, Bonnes pratiques, … sécurité du système Windows, sécurité du système Unix, …</t>
    </r>
  </si>
  <si>
    <r>
      <t>-</t>
    </r>
    <r>
      <rPr>
        <sz val="7"/>
        <rFont val="Times New Roman"/>
        <family val="1"/>
      </rPr>
      <t xml:space="preserve">        </t>
    </r>
    <r>
      <rPr>
        <b/>
        <sz val="10"/>
        <rFont val="Calibri"/>
        <family val="2"/>
        <scheme val="minor"/>
      </rPr>
      <t xml:space="preserve">Sécurisation des données : </t>
    </r>
    <r>
      <rPr>
        <sz val="10"/>
        <rFont val="Calibri"/>
        <family val="2"/>
        <scheme val="minor"/>
      </rPr>
      <t xml:space="preserve">sur disque (stockage, RAID, chiffrement, Stéganographie, copyright et protection contre la copie,  …), transmises à travers le réseau (confidentialité, Intégrité, certification électronique, …), sécurité des bases de données, sécurité et commerce électronique, … </t>
    </r>
  </si>
  <si>
    <r>
      <t>-</t>
    </r>
    <r>
      <rPr>
        <sz val="7"/>
        <rFont val="Times New Roman"/>
        <family val="1"/>
      </rPr>
      <t xml:space="preserve">        </t>
    </r>
    <r>
      <rPr>
        <b/>
        <sz val="10"/>
        <rFont val="Calibri"/>
        <family val="2"/>
        <scheme val="minor"/>
      </rPr>
      <t>Techniques d’authentification :</t>
    </r>
    <r>
      <rPr>
        <sz val="10"/>
        <rFont val="Calibri"/>
        <family val="2"/>
        <scheme val="minor"/>
      </rPr>
      <t xml:space="preserve"> authentification par message de défi, authentification par one time used password, serveur AAA (local, server based, ACS), RADIUS, TACACS+, …</t>
    </r>
  </si>
  <si>
    <r>
      <t>-</t>
    </r>
    <r>
      <rPr>
        <sz val="7"/>
        <rFont val="Times New Roman"/>
        <family val="1"/>
      </rPr>
      <t xml:space="preserve">      </t>
    </r>
    <r>
      <rPr>
        <sz val="11"/>
        <rFont val="Calibri"/>
        <family val="2"/>
        <scheme val="minor"/>
      </rPr>
      <t>Chapitre 6 : Sécurité d’une connexion distante :</t>
    </r>
  </si>
  <si>
    <r>
      <t>o</t>
    </r>
    <r>
      <rPr>
        <sz val="7"/>
        <rFont val="Times New Roman"/>
        <family val="1"/>
      </rPr>
      <t xml:space="preserve">   </t>
    </r>
    <r>
      <rPr>
        <b/>
        <sz val="10"/>
        <rFont val="Calibri"/>
        <family val="2"/>
        <scheme val="minor"/>
      </rPr>
      <t>VPN :</t>
    </r>
    <r>
      <rPr>
        <sz val="11"/>
        <rFont val="Calibri"/>
        <family val="2"/>
        <scheme val="minor"/>
      </rPr>
      <t xml:space="preserve"> site à site et accès distant</t>
    </r>
  </si>
  <si>
    <r>
      <t>o</t>
    </r>
    <r>
      <rPr>
        <sz val="7"/>
        <rFont val="Times New Roman"/>
        <family val="1"/>
      </rPr>
      <t xml:space="preserve">   </t>
    </r>
    <r>
      <rPr>
        <b/>
        <sz val="10"/>
        <rFont val="Calibri"/>
        <family val="2"/>
        <scheme val="minor"/>
      </rPr>
      <t>Techniques de chiffrement :</t>
    </r>
    <r>
      <rPr>
        <sz val="10"/>
        <rFont val="Calibri"/>
        <family val="2"/>
        <scheme val="minor"/>
      </rPr>
      <t xml:space="preserve"> principes, limites, cryptanalyse, clés symétriques, clés asymétriques, DES, 3DE, RC2, RC4, RC5, RSA, Diffie-Helmen, …, fonctions de hashage (MD5, SHA1), certificat, PKI, signature électronique, …</t>
    </r>
  </si>
  <si>
    <r>
      <t>o</t>
    </r>
    <r>
      <rPr>
        <sz val="7"/>
        <rFont val="Times New Roman"/>
        <family val="1"/>
      </rPr>
      <t xml:space="preserve">   </t>
    </r>
    <r>
      <rPr>
        <b/>
        <sz val="10"/>
        <rFont val="Calibri"/>
        <family val="2"/>
        <scheme val="minor"/>
      </rPr>
      <t>IPSEC :</t>
    </r>
    <r>
      <rPr>
        <sz val="10"/>
        <rFont val="Calibri"/>
        <family val="2"/>
        <scheme val="minor"/>
      </rPr>
      <t xml:space="preserve"> AH, ESP, mode transport, mode tunnel, IKE, ISAKMP, …</t>
    </r>
  </si>
  <si>
    <r>
      <t>-</t>
    </r>
    <r>
      <rPr>
        <sz val="7"/>
        <rFont val="Times New Roman"/>
        <family val="1"/>
      </rPr>
      <t xml:space="preserve">      </t>
    </r>
    <r>
      <rPr>
        <sz val="11"/>
        <rFont val="Calibri"/>
        <family val="2"/>
        <scheme val="minor"/>
      </rPr>
      <t xml:space="preserve">Chapitre 7 : </t>
    </r>
    <r>
      <rPr>
        <b/>
        <sz val="11"/>
        <rFont val="Calibri"/>
        <family val="2"/>
        <scheme val="minor"/>
      </rPr>
      <t xml:space="preserve">Audit et </t>
    </r>
    <r>
      <rPr>
        <b/>
        <sz val="10"/>
        <rFont val="Calibri"/>
        <family val="2"/>
        <scheme val="minor"/>
      </rPr>
      <t>politique</t>
    </r>
    <r>
      <rPr>
        <b/>
        <sz val="11"/>
        <rFont val="Calibri"/>
        <family val="2"/>
        <scheme val="minor"/>
      </rPr>
      <t xml:space="preserve"> de sécurité</t>
    </r>
  </si>
  <si>
    <r>
      <t>•</t>
    </r>
    <r>
      <rPr>
        <sz val="7"/>
        <rFont val="Times New Roman"/>
        <family val="1"/>
      </rPr>
      <t xml:space="preserve"> </t>
    </r>
    <r>
      <rPr>
        <b/>
        <sz val="10"/>
        <rFont val="Calibri"/>
        <family val="2"/>
        <scheme val="minor"/>
      </rPr>
      <t xml:space="preserve">Stratégie et politique de sécurité : </t>
    </r>
    <r>
      <rPr>
        <sz val="10"/>
        <rFont val="Calibri"/>
        <family val="2"/>
        <scheme val="minor"/>
      </rPr>
      <t>Définition, objectifs, propriétés, analyse et gestion de risques, standards, chartes, méthodes et normes (méthode MEHARI, norme BS7799, famille des normes ISO/IEC 2700x, PCi-DSS…), continuité des services, continuité des activités, gestion de crise (plan de reprise), …</t>
    </r>
  </si>
  <si>
    <r>
      <t>•</t>
    </r>
    <r>
      <rPr>
        <sz val="7"/>
        <rFont val="Times New Roman"/>
        <family val="1"/>
      </rPr>
      <t xml:space="preserve">    </t>
    </r>
    <r>
      <rPr>
        <b/>
        <sz val="10"/>
        <rFont val="Calibri"/>
        <family val="2"/>
        <scheme val="minor"/>
      </rPr>
      <t xml:space="preserve"> Audit sécurité :</t>
    </r>
    <r>
      <rPr>
        <sz val="10"/>
        <rFont val="Calibri"/>
        <family val="2"/>
        <scheme val="minor"/>
      </rPr>
      <t xml:space="preserve"> cadre juridique, audit organisationnel et physique, audit technique, test intrusif, …</t>
    </r>
  </si>
  <si>
    <r>
      <t>-</t>
    </r>
    <r>
      <rPr>
        <sz val="7"/>
        <rFont val="Times New Roman"/>
        <family val="1"/>
      </rPr>
      <t xml:space="preserve">       </t>
    </r>
    <r>
      <rPr>
        <sz val="11"/>
        <rFont val="Calibri"/>
        <family val="2"/>
        <scheme val="minor"/>
      </rPr>
      <t>- S’initier aux mécanismes et protocoles de sécurité des réseaux.</t>
    </r>
  </si>
  <si>
    <r>
      <t>-</t>
    </r>
    <r>
      <rPr>
        <sz val="7"/>
        <rFont val="Times New Roman"/>
        <family val="1"/>
      </rPr>
      <t xml:space="preserve">       </t>
    </r>
    <r>
      <rPr>
        <sz val="11"/>
        <rFont val="Calibri"/>
        <family val="2"/>
        <scheme val="minor"/>
      </rPr>
      <t>S’initier aux mécanismes et protocoles de sécurité des réseaux.</t>
    </r>
  </si>
  <si>
    <r>
      <t> </t>
    </r>
    <r>
      <rPr>
        <sz val="11"/>
        <rFont val="Calibri"/>
        <family val="2"/>
        <scheme val="minor"/>
      </rPr>
      <t>Confidentialité, Disponibilité, Intégrité, Politique, Menace, Risque, Vulnérabilité, Normes, Chiffrement, Authentification, Autorisation, Traçabilité, IDS/IPS, GRE, IPSEC, VPN, gpg, openss, .</t>
    </r>
  </si>
  <si>
    <r>
      <t>-</t>
    </r>
    <r>
      <rPr>
        <sz val="7"/>
        <rFont val="Times New Roman"/>
        <family val="1"/>
      </rPr>
      <t xml:space="preserve">     </t>
    </r>
    <r>
      <rPr>
        <b/>
        <sz val="11"/>
        <rFont val="Calibri"/>
        <family val="2"/>
        <scheme val="minor"/>
      </rPr>
      <t>TP1 - Mise en évidence des failles de sécurité</t>
    </r>
    <r>
      <rPr>
        <sz val="11"/>
        <rFont val="Calibri"/>
        <family val="2"/>
        <scheme val="minor"/>
      </rPr>
      <t> : cheval de Troie, sniffers, outils de scan, …</t>
    </r>
  </si>
  <si>
    <r>
      <t>-</t>
    </r>
    <r>
      <rPr>
        <sz val="7"/>
        <rFont val="Times New Roman"/>
        <family val="1"/>
      </rPr>
      <t xml:space="preserve">      </t>
    </r>
    <r>
      <rPr>
        <b/>
        <sz val="11"/>
        <rFont val="Calibri"/>
        <family val="2"/>
        <scheme val="minor"/>
      </rPr>
      <t>TP</t>
    </r>
    <r>
      <rPr>
        <sz val="11"/>
        <rFont val="Calibri"/>
        <family val="2"/>
        <scheme val="minor"/>
      </rPr>
      <t xml:space="preserve">sécurisation d’un navigateur web, antivirus, firewall applicatif, … </t>
    </r>
  </si>
  <si>
    <r>
      <t>-</t>
    </r>
    <r>
      <rPr>
        <sz val="7"/>
        <rFont val="Times New Roman"/>
        <family val="1"/>
      </rPr>
      <t xml:space="preserve">      </t>
    </r>
    <r>
      <rPr>
        <b/>
        <sz val="11"/>
        <rFont val="Calibri"/>
        <family val="2"/>
        <scheme val="minor"/>
      </rPr>
      <t>TP3 - Sécurisation de base d’un routeur</t>
    </r>
    <r>
      <rPr>
        <sz val="11"/>
        <rFont val="Calibri"/>
        <family val="2"/>
        <scheme val="minor"/>
      </rPr>
      <t> : limitation d’accès, syslog, NTP, SSH, …</t>
    </r>
  </si>
  <si>
    <r>
      <t>-</t>
    </r>
    <r>
      <rPr>
        <sz val="7"/>
        <rFont val="Times New Roman"/>
        <family val="1"/>
      </rPr>
      <t xml:space="preserve">      </t>
    </r>
    <r>
      <rPr>
        <b/>
        <sz val="11"/>
        <rFont val="Calibri"/>
        <family val="2"/>
        <scheme val="minor"/>
      </rPr>
      <t>TP4 - Sécurité couche 2</t>
    </r>
    <r>
      <rPr>
        <sz val="11"/>
        <rFont val="Calibri"/>
        <family val="2"/>
        <scheme val="minor"/>
      </rPr>
      <t> : sécurité par port, protection contre les attaques STP, sécurité des VLANs, sécurité contre l’ARP spoofing, …</t>
    </r>
  </si>
  <si>
    <r>
      <t>-</t>
    </r>
    <r>
      <rPr>
        <sz val="7"/>
        <rFont val="Times New Roman"/>
        <family val="1"/>
      </rPr>
      <t xml:space="preserve">      </t>
    </r>
    <r>
      <rPr>
        <b/>
        <sz val="11"/>
        <rFont val="Calibri"/>
        <family val="2"/>
        <scheme val="minor"/>
      </rPr>
      <t>TP5 - Configuration d’un serveur AAA</t>
    </r>
    <r>
      <rPr>
        <sz val="11"/>
        <rFont val="Calibri"/>
        <family val="2"/>
        <scheme val="minor"/>
      </rPr>
      <t> : méthodes d’accès, ACS, Radius, TACACS+, …</t>
    </r>
  </si>
  <si>
    <r>
      <t>-</t>
    </r>
    <r>
      <rPr>
        <sz val="7"/>
        <rFont val="Times New Roman"/>
        <family val="1"/>
      </rPr>
      <t xml:space="preserve">      </t>
    </r>
    <r>
      <rPr>
        <b/>
        <sz val="11"/>
        <rFont val="Calibri"/>
        <family val="2"/>
        <scheme val="minor"/>
      </rPr>
      <t>TP6 - Contrôle d'accès</t>
    </r>
    <r>
      <rPr>
        <sz val="11"/>
        <rFont val="Calibri"/>
        <family val="2"/>
        <scheme val="minor"/>
      </rPr>
      <t> : authentification, attribues étendu et ACL (standard ACL, extended ACL, …), système de contrôle d'accès SElinux et Apparmor.</t>
    </r>
  </si>
  <si>
    <r>
      <t>-</t>
    </r>
    <r>
      <rPr>
        <sz val="7"/>
        <rFont val="Times New Roman"/>
        <family val="1"/>
      </rPr>
      <t xml:space="preserve">      </t>
    </r>
    <r>
      <rPr>
        <b/>
        <sz val="11"/>
        <rFont val="Calibri"/>
        <family val="2"/>
        <scheme val="minor"/>
      </rPr>
      <t xml:space="preserve">TP7 - Configuration d’un Firewall : </t>
    </r>
    <r>
      <rPr>
        <sz val="11"/>
        <rFont val="Calibri"/>
        <family val="2"/>
        <scheme val="minor"/>
      </rPr>
      <t>iptables, inspection, filtrage, context-Based Access Control (CBAC), Zone-Based Policy Firewall (ZPF) (inspection, choix de zones, configuration de zones), ASA.</t>
    </r>
  </si>
  <si>
    <r>
      <t>-</t>
    </r>
    <r>
      <rPr>
        <sz val="7"/>
        <rFont val="Times New Roman"/>
        <family val="1"/>
      </rPr>
      <t xml:space="preserve">      </t>
    </r>
    <r>
      <rPr>
        <b/>
        <sz val="11"/>
        <rFont val="Calibri"/>
        <family val="2"/>
        <scheme val="minor"/>
      </rPr>
      <t>TP8 - Configuration de la sécurité sur les serveurs mandataires</t>
    </r>
    <r>
      <rPr>
        <sz val="11"/>
        <rFont val="Calibri"/>
        <family val="2"/>
        <scheme val="minor"/>
      </rPr>
      <t> : squid, ISA Server, …</t>
    </r>
  </si>
  <si>
    <r>
      <t>-</t>
    </r>
    <r>
      <rPr>
        <sz val="7"/>
        <rFont val="Times New Roman"/>
        <family val="1"/>
      </rPr>
      <t xml:space="preserve">      </t>
    </r>
    <r>
      <rPr>
        <b/>
        <sz val="11"/>
        <rFont val="Calibri"/>
        <family val="2"/>
        <scheme val="minor"/>
      </rPr>
      <t>TP9 - Configuration d’un IDS/IPS</t>
    </r>
    <r>
      <rPr>
        <sz val="11"/>
        <rFont val="Calibri"/>
        <family val="2"/>
        <scheme val="minor"/>
      </rPr>
      <t> : snort, configuration des signatures, vérification du fonctionnement.</t>
    </r>
  </si>
  <si>
    <r>
      <t>-</t>
    </r>
    <r>
      <rPr>
        <sz val="7"/>
        <rFont val="Times New Roman"/>
        <family val="1"/>
      </rPr>
      <t xml:space="preserve">      </t>
    </r>
    <r>
      <rPr>
        <b/>
        <sz val="11"/>
        <rFont val="Calibri"/>
        <family val="2"/>
        <scheme val="minor"/>
      </rPr>
      <t>TP10 - Configuration et vérification d’un VPN IPSEC site-to-site</t>
    </r>
    <r>
      <rPr>
        <sz val="11"/>
        <rFont val="Calibri"/>
        <family val="2"/>
        <scheme val="minor"/>
      </rPr>
      <t> : ISAKMP, tunnel IPSEC, openVPN, …</t>
    </r>
  </si>
  <si>
    <r>
      <t>-</t>
    </r>
    <r>
      <rPr>
        <sz val="7"/>
        <rFont val="Times New Roman"/>
        <family val="1"/>
      </rPr>
      <t xml:space="preserve">      </t>
    </r>
    <r>
      <rPr>
        <b/>
        <sz val="11"/>
        <rFont val="Calibri"/>
        <family val="2"/>
        <scheme val="minor"/>
      </rPr>
      <t>TP11 - Cryptographie</t>
    </r>
    <r>
      <rPr>
        <sz val="11"/>
        <rFont val="Calibri"/>
        <family val="2"/>
        <scheme val="minor"/>
      </rPr>
      <t> : gpg, openssl : algorithmes de chiffrement (DES, 3DES, RSA, …), algorithmes de hashage (MD5, SHA1, …), certificat X509), cryptage système de fichiers.</t>
    </r>
  </si>
  <si>
    <r>
      <t>-</t>
    </r>
    <r>
      <rPr>
        <sz val="7"/>
        <rFont val="Times New Roman"/>
        <family val="1"/>
      </rPr>
      <t xml:space="preserve">      </t>
    </r>
    <r>
      <rPr>
        <b/>
        <sz val="11"/>
        <rFont val="Calibri"/>
        <family val="2"/>
        <scheme val="minor"/>
      </rPr>
      <t>TP12 - Sécurité des servicesréseau</t>
    </r>
    <r>
      <rPr>
        <sz val="11"/>
        <rFont val="Calibri"/>
        <family val="2"/>
        <scheme val="minor"/>
      </rPr>
      <t> : SSH, DNS, DHCP, serveur mail, serveur web Apache/HTTP/HTTPS.</t>
    </r>
  </si>
  <si>
    <r>
      <t>-</t>
    </r>
    <r>
      <rPr>
        <sz val="7"/>
        <rFont val="Times New Roman"/>
        <family val="1"/>
      </rPr>
      <t xml:space="preserve">  </t>
    </r>
    <r>
      <rPr>
        <b/>
        <sz val="11"/>
        <rFont val="Calibri"/>
        <family val="2"/>
        <scheme val="minor"/>
      </rPr>
      <t>Mini Projet </t>
    </r>
    <r>
      <rPr>
        <sz val="11"/>
        <rFont val="Calibri"/>
        <family val="2"/>
        <scheme val="minor"/>
      </rPr>
      <t>: Etude et mise en place de snort ou iptables ou ASA ou squid, …</t>
    </r>
    <r>
      <rPr>
        <b/>
        <sz val="11"/>
        <rFont val="Calibri"/>
        <family val="2"/>
        <scheme val="minor"/>
      </rPr>
      <t>2 - Manipulation de base en sécurité</t>
    </r>
    <r>
      <rPr>
        <sz val="11"/>
        <rFont val="Calibri"/>
        <family val="2"/>
        <scheme val="minor"/>
      </rPr>
      <t> : sécurité d’accès au système de fichiers Windows,</t>
    </r>
  </si>
  <si>
    <r>
      <t xml:space="preserve">Cette matière requiert que l'étudiant ait suivi </t>
    </r>
    <r>
      <rPr>
        <sz val="11"/>
        <rFont val="Calibri"/>
        <family val="2"/>
        <scheme val="minor"/>
      </rPr>
      <t>UE : Systèmes et réseaux, UE : Réseaux I et UE : Réseaux II</t>
    </r>
  </si>
  <si>
    <r>
      <t>-</t>
    </r>
    <r>
      <rPr>
        <sz val="7"/>
        <rFont val="Times New Roman"/>
        <family val="1"/>
      </rPr>
      <t xml:space="preserve">       </t>
    </r>
    <r>
      <rPr>
        <sz val="12"/>
        <rFont val="Calibri"/>
        <family val="2"/>
        <scheme val="minor"/>
      </rPr>
      <t> </t>
    </r>
    <r>
      <rPr>
        <sz val="11"/>
        <rFont val="Calibri"/>
        <family val="2"/>
        <scheme val="minor"/>
      </rPr>
      <t>Building a Modern Data Center: Principles and Strategies of Design, by Scott D. Lowe, David M. Davis, James Green and Seth Knox, ActualTech Media</t>
    </r>
  </si>
  <si>
    <r>
      <t>-</t>
    </r>
    <r>
      <rPr>
        <sz val="7"/>
        <rFont val="Times New Roman"/>
        <family val="1"/>
      </rPr>
      <t xml:space="preserve">        </t>
    </r>
    <r>
      <rPr>
        <sz val="11"/>
        <rFont val="Calibri"/>
        <family val="2"/>
        <scheme val="minor"/>
      </rPr>
      <t>ITIL Foundation Exam Study Guide, by Liz Gallacher  &amp; Helen Morris, Sybex</t>
    </r>
  </si>
  <si>
    <r>
      <t>-</t>
    </r>
    <r>
      <rPr>
        <sz val="7"/>
        <rFont val="Times New Roman"/>
        <family val="1"/>
      </rPr>
      <t xml:space="preserve">        </t>
    </r>
    <r>
      <rPr>
        <sz val="11"/>
        <rFont val="Calibri"/>
        <family val="2"/>
        <scheme val="minor"/>
      </rPr>
      <t>Data Center Handbook, by Hwaiyu Geng, , WILEY</t>
    </r>
  </si>
  <si>
    <r>
      <t>-</t>
    </r>
    <r>
      <rPr>
        <sz val="7"/>
        <rFont val="Times New Roman"/>
        <family val="1"/>
      </rPr>
      <t xml:space="preserve">        </t>
    </r>
    <r>
      <rPr>
        <sz val="11"/>
        <rFont val="Calibri"/>
        <family val="2"/>
        <scheme val="minor"/>
      </rPr>
      <t>White Papers (http://livreblanc.silicon.fr/category/datacenter)</t>
    </r>
  </si>
  <si>
    <r>
      <t>§</t>
    </r>
    <r>
      <rPr>
        <sz val="7"/>
        <rFont val="Times New Roman"/>
        <family val="1"/>
      </rPr>
      <t xml:space="preserve">  </t>
    </r>
    <r>
      <rPr>
        <b/>
        <sz val="10"/>
        <rFont val="Calibri"/>
        <family val="2"/>
        <scheme val="minor"/>
      </rPr>
      <t>Définition et historique des Datacenters :</t>
    </r>
  </si>
  <si>
    <r>
      <t>-</t>
    </r>
    <r>
      <rPr>
        <sz val="7"/>
        <rFont val="Times New Roman"/>
        <family val="1"/>
      </rPr>
      <t xml:space="preserve">        </t>
    </r>
    <r>
      <rPr>
        <sz val="10"/>
        <rFont val="Calibri"/>
        <family val="2"/>
        <scheme val="minor"/>
      </rPr>
      <t>Composants: Infrastructure des installations ;</t>
    </r>
  </si>
  <si>
    <r>
      <t>-</t>
    </r>
    <r>
      <rPr>
        <sz val="7"/>
        <rFont val="Times New Roman"/>
        <family val="1"/>
      </rPr>
      <t xml:space="preserve">        </t>
    </r>
    <r>
      <rPr>
        <sz val="10"/>
        <rFont val="Calibri"/>
        <family val="2"/>
        <scheme val="minor"/>
      </rPr>
      <t>L'architecture de l’IT, des opérations / Personnel,</t>
    </r>
  </si>
  <si>
    <r>
      <t>-</t>
    </r>
    <r>
      <rPr>
        <sz val="7"/>
        <rFont val="Times New Roman"/>
        <family val="1"/>
      </rPr>
      <t xml:space="preserve">        </t>
    </r>
    <r>
      <rPr>
        <sz val="10"/>
        <rFont val="Calibri"/>
        <family val="2"/>
        <scheme val="minor"/>
      </rPr>
      <t>Responsabilités du Gestionnaire du Datacenter</t>
    </r>
  </si>
  <si>
    <r>
      <t>-</t>
    </r>
    <r>
      <rPr>
        <sz val="7"/>
        <rFont val="Times New Roman"/>
        <family val="1"/>
      </rPr>
      <t xml:space="preserve">        </t>
    </r>
    <r>
      <rPr>
        <sz val="10"/>
        <rFont val="Calibri"/>
        <family val="2"/>
        <scheme val="minor"/>
      </rPr>
      <t>L'Infrastructure et des défis du personnel</t>
    </r>
  </si>
  <si>
    <r>
      <t>-</t>
    </r>
    <r>
      <rPr>
        <sz val="7"/>
        <rFont val="Times New Roman"/>
        <family val="1"/>
      </rPr>
      <t xml:space="preserve">        </t>
    </r>
    <r>
      <rPr>
        <sz val="10"/>
        <rFont val="Calibri"/>
        <family val="2"/>
        <scheme val="minor"/>
      </rPr>
      <t>L'interdépendance des Datacenters et l'IT</t>
    </r>
  </si>
  <si>
    <r>
      <t>-</t>
    </r>
    <r>
      <rPr>
        <sz val="7"/>
        <rFont val="Times New Roman"/>
        <family val="1"/>
      </rPr>
      <t xml:space="preserve">        </t>
    </r>
    <r>
      <rPr>
        <sz val="10"/>
        <rFont val="Calibri"/>
        <family val="2"/>
        <scheme val="minor"/>
      </rPr>
      <t>La croissance des Datacenters et des installations</t>
    </r>
  </si>
  <si>
    <r>
      <t>-</t>
    </r>
    <r>
      <rPr>
        <sz val="7"/>
        <rFont val="Times New Roman"/>
        <family val="1"/>
      </rPr>
      <t xml:space="preserve">        </t>
    </r>
    <r>
      <rPr>
        <sz val="10"/>
        <rFont val="Calibri"/>
        <family val="2"/>
        <scheme val="minor"/>
      </rPr>
      <t>Les enjeux pour les organisations informatiques</t>
    </r>
  </si>
  <si>
    <r>
      <t>-</t>
    </r>
    <r>
      <rPr>
        <sz val="7"/>
        <rFont val="Times New Roman"/>
        <family val="1"/>
      </rPr>
      <t xml:space="preserve">       </t>
    </r>
    <r>
      <rPr>
        <sz val="10"/>
        <rFont val="Calibri"/>
        <family val="2"/>
        <scheme val="minor"/>
      </rPr>
      <t>Le Point de vue "Côté Business"…</t>
    </r>
  </si>
  <si>
    <r>
      <t>§</t>
    </r>
    <r>
      <rPr>
        <sz val="7"/>
        <rFont val="Times New Roman"/>
        <family val="1"/>
      </rPr>
      <t xml:space="preserve">  </t>
    </r>
    <r>
      <rPr>
        <b/>
        <sz val="10"/>
        <rFont val="Calibri"/>
        <family val="2"/>
        <scheme val="minor"/>
      </rPr>
      <t>Vue de la gestion du Datacenter :</t>
    </r>
  </si>
  <si>
    <r>
      <t>-</t>
    </r>
    <r>
      <rPr>
        <sz val="7"/>
        <rFont val="Times New Roman"/>
        <family val="1"/>
      </rPr>
      <t xml:space="preserve">        </t>
    </r>
    <r>
      <rPr>
        <sz val="10"/>
        <rFont val="Calibri"/>
        <family val="2"/>
        <scheme val="minor"/>
      </rPr>
      <t>La Vue de la gestion du Datacenter</t>
    </r>
  </si>
  <si>
    <r>
      <t>-</t>
    </r>
    <r>
      <rPr>
        <sz val="7"/>
        <rFont val="Times New Roman"/>
        <family val="1"/>
      </rPr>
      <t xml:space="preserve">        </t>
    </r>
    <r>
      <rPr>
        <sz val="10"/>
        <rFont val="Calibri"/>
        <family val="2"/>
        <scheme val="minor"/>
      </rPr>
      <t>De Datacenter : modèle en couches</t>
    </r>
  </si>
  <si>
    <r>
      <t>-</t>
    </r>
    <r>
      <rPr>
        <sz val="7"/>
        <rFont val="Times New Roman"/>
        <family val="1"/>
      </rPr>
      <t xml:space="preserve">        </t>
    </r>
    <r>
      <rPr>
        <sz val="10"/>
        <rFont val="Calibri"/>
        <family val="2"/>
        <scheme val="minor"/>
      </rPr>
      <t>Le Datacenter et les modèles de relations</t>
    </r>
  </si>
  <si>
    <r>
      <t>-</t>
    </r>
    <r>
      <rPr>
        <sz val="7"/>
        <rFont val="Times New Roman"/>
        <family val="1"/>
      </rPr>
      <t xml:space="preserve">        </t>
    </r>
    <r>
      <rPr>
        <sz val="10"/>
        <rFont val="Calibri"/>
        <family val="2"/>
        <scheme val="minor"/>
      </rPr>
      <t>Le modèle "Géré par IT"</t>
    </r>
  </si>
  <si>
    <r>
      <t>-</t>
    </r>
    <r>
      <rPr>
        <sz val="7"/>
        <rFont val="Times New Roman"/>
        <family val="1"/>
      </rPr>
      <t xml:space="preserve">        </t>
    </r>
    <r>
      <rPr>
        <sz val="10"/>
        <rFont val="Calibri"/>
        <family val="2"/>
        <scheme val="minor"/>
      </rPr>
      <t>Le modèle "Géré par différentes organisations d'entreprise"</t>
    </r>
  </si>
  <si>
    <r>
      <t>-</t>
    </r>
    <r>
      <rPr>
        <sz val="7"/>
        <rFont val="Times New Roman"/>
        <family val="1"/>
      </rPr>
      <t xml:space="preserve">        </t>
    </r>
    <r>
      <rPr>
        <sz val="10"/>
        <rFont val="Calibri"/>
        <family val="2"/>
        <scheme val="minor"/>
      </rPr>
      <t xml:space="preserve">Mesure de Performance du Datacenter </t>
    </r>
  </si>
  <si>
    <r>
      <t>§</t>
    </r>
    <r>
      <rPr>
        <sz val="7"/>
        <rFont val="Times New Roman"/>
        <family val="1"/>
      </rPr>
      <t xml:space="preserve">  </t>
    </r>
    <r>
      <rPr>
        <b/>
        <sz val="10"/>
        <rFont val="Calibri"/>
        <family val="2"/>
        <scheme val="minor"/>
      </rPr>
      <t>Le Datacenter</t>
    </r>
  </si>
  <si>
    <r>
      <t>-</t>
    </r>
    <r>
      <rPr>
        <sz val="7"/>
        <rFont val="Times New Roman"/>
        <family val="1"/>
      </rPr>
      <t xml:space="preserve">        </t>
    </r>
    <r>
      <rPr>
        <sz val="10"/>
        <rFont val="Calibri"/>
        <family val="2"/>
        <scheme val="minor"/>
      </rPr>
      <t>Aperçu des services</t>
    </r>
  </si>
  <si>
    <r>
      <t>-</t>
    </r>
    <r>
      <rPr>
        <sz val="7"/>
        <rFont val="Times New Roman"/>
        <family val="1"/>
      </rPr>
      <t xml:space="preserve">        </t>
    </r>
    <r>
      <rPr>
        <sz val="10"/>
        <rFont val="Calibri"/>
        <family val="2"/>
        <scheme val="minor"/>
      </rPr>
      <t>Disponibilité et fiabilité</t>
    </r>
  </si>
  <si>
    <r>
      <t>-</t>
    </r>
    <r>
      <rPr>
        <sz val="7"/>
        <rFont val="Times New Roman"/>
        <family val="1"/>
      </rPr>
      <t xml:space="preserve">        </t>
    </r>
    <r>
      <rPr>
        <sz val="10"/>
        <rFont val="Calibri"/>
        <family val="2"/>
        <scheme val="minor"/>
      </rPr>
      <t>Les risques opérationnels et de l'environnement</t>
    </r>
  </si>
  <si>
    <r>
      <t>-</t>
    </r>
    <r>
      <rPr>
        <sz val="7"/>
        <rFont val="Times New Roman"/>
        <family val="1"/>
      </rPr>
      <t xml:space="preserve">        </t>
    </r>
    <r>
      <rPr>
        <sz val="10"/>
        <rFont val="Calibri"/>
        <family val="2"/>
        <scheme val="minor"/>
      </rPr>
      <t>Étude de cas : le risque humain</t>
    </r>
  </si>
  <si>
    <r>
      <t>-</t>
    </r>
    <r>
      <rPr>
        <sz val="7"/>
        <rFont val="Times New Roman"/>
        <family val="1"/>
      </rPr>
      <t xml:space="preserve">        </t>
    </r>
    <r>
      <rPr>
        <sz val="10"/>
        <rFont val="Calibri"/>
        <family val="2"/>
        <scheme val="minor"/>
      </rPr>
      <t>Rôles et responsabilités</t>
    </r>
  </si>
  <si>
    <r>
      <t>-</t>
    </r>
    <r>
      <rPr>
        <sz val="7"/>
        <rFont val="Times New Roman"/>
        <family val="1"/>
      </rPr>
      <t xml:space="preserve">        </t>
    </r>
    <r>
      <rPr>
        <sz val="10"/>
        <rFont val="Calibri"/>
        <family val="2"/>
        <scheme val="minor"/>
      </rPr>
      <t>Certifications</t>
    </r>
  </si>
  <si>
    <r>
      <t>-</t>
    </r>
    <r>
      <rPr>
        <sz val="7"/>
        <rFont val="Times New Roman"/>
        <family val="1"/>
      </rPr>
      <t xml:space="preserve">        </t>
    </r>
    <r>
      <rPr>
        <sz val="10"/>
        <rFont val="Calibri"/>
        <family val="2"/>
        <scheme val="minor"/>
      </rPr>
      <t>Normes et Codes</t>
    </r>
  </si>
  <si>
    <r>
      <t>-</t>
    </r>
    <r>
      <rPr>
        <sz val="7"/>
        <rFont val="Times New Roman"/>
        <family val="1"/>
      </rPr>
      <t xml:space="preserve">        </t>
    </r>
    <r>
      <rPr>
        <sz val="10"/>
        <rFont val="Calibri"/>
        <family val="2"/>
        <scheme val="minor"/>
      </rPr>
      <t>L'efficacité énergétique des centres informatiques</t>
    </r>
  </si>
  <si>
    <r>
      <t>§</t>
    </r>
    <r>
      <rPr>
        <sz val="7"/>
        <rFont val="Times New Roman"/>
        <family val="1"/>
      </rPr>
      <t xml:space="preserve">  </t>
    </r>
    <r>
      <rPr>
        <b/>
        <sz val="10"/>
        <rFont val="Calibri"/>
        <family val="2"/>
        <scheme val="minor"/>
      </rPr>
      <t>Tendances du Datacenter</t>
    </r>
  </si>
  <si>
    <r>
      <t>-</t>
    </r>
    <r>
      <rPr>
        <sz val="7"/>
        <rFont val="Times New Roman"/>
        <family val="1"/>
      </rPr>
      <t xml:space="preserve">        </t>
    </r>
    <r>
      <rPr>
        <sz val="10"/>
        <rFont val="Calibri"/>
        <family val="2"/>
        <scheme val="minor"/>
      </rPr>
      <t>Durée de vie de l'Infrastructure et état actuel</t>
    </r>
  </si>
  <si>
    <r>
      <t>-</t>
    </r>
    <r>
      <rPr>
        <sz val="7"/>
        <rFont val="Times New Roman"/>
        <family val="1"/>
      </rPr>
      <t xml:space="preserve">        </t>
    </r>
    <r>
      <rPr>
        <sz val="10"/>
        <rFont val="Calibri"/>
        <family val="2"/>
        <scheme val="minor"/>
      </rPr>
      <t>Densité et les changements de puissance</t>
    </r>
  </si>
  <si>
    <r>
      <t>-</t>
    </r>
    <r>
      <rPr>
        <sz val="7"/>
        <rFont val="Times New Roman"/>
        <family val="1"/>
      </rPr>
      <t xml:space="preserve">        </t>
    </r>
    <r>
      <rPr>
        <sz val="10"/>
        <rFont val="Calibri"/>
        <family val="2"/>
        <scheme val="minor"/>
      </rPr>
      <t>Refroidissement</t>
    </r>
  </si>
  <si>
    <r>
      <t>-</t>
    </r>
    <r>
      <rPr>
        <sz val="7"/>
        <rFont val="Times New Roman"/>
        <family val="1"/>
      </rPr>
      <t xml:space="preserve">        </t>
    </r>
    <r>
      <rPr>
        <sz val="10"/>
        <rFont val="Calibri"/>
        <family val="2"/>
        <scheme val="minor"/>
      </rPr>
      <t xml:space="preserve">Externalisation: Cloud, ITIL, SaaS / PaaS / IaaS </t>
    </r>
  </si>
  <si>
    <r>
      <t>§</t>
    </r>
    <r>
      <rPr>
        <sz val="7"/>
        <rFont val="Times New Roman"/>
        <family val="1"/>
      </rPr>
      <t xml:space="preserve">  </t>
    </r>
    <r>
      <rPr>
        <b/>
        <sz val="10"/>
        <rFont val="Calibri"/>
        <family val="2"/>
        <scheme val="minor"/>
      </rPr>
      <t>ITIL: La bibliothèque d'infrastructure IT</t>
    </r>
  </si>
  <si>
    <r>
      <t>-</t>
    </r>
    <r>
      <rPr>
        <sz val="7"/>
        <rFont val="Times New Roman"/>
        <family val="1"/>
      </rPr>
      <t xml:space="preserve">        </t>
    </r>
    <r>
      <rPr>
        <sz val="10"/>
        <rFont val="Calibri"/>
        <family val="2"/>
        <scheme val="minor"/>
      </rPr>
      <t>IT et le Datacenter : le chevauchement</t>
    </r>
  </si>
  <si>
    <r>
      <t>-</t>
    </r>
    <r>
      <rPr>
        <sz val="7"/>
        <rFont val="Times New Roman"/>
        <family val="1"/>
      </rPr>
      <t xml:space="preserve">        </t>
    </r>
    <r>
      <rPr>
        <sz val="10"/>
        <rFont val="Calibri"/>
        <family val="2"/>
        <scheme val="minor"/>
      </rPr>
      <t>Bénéfices si coopération entre IT et Datacenter</t>
    </r>
  </si>
  <si>
    <r>
      <t>-</t>
    </r>
    <r>
      <rPr>
        <sz val="7"/>
        <rFont val="Times New Roman"/>
        <family val="1"/>
      </rPr>
      <t xml:space="preserve">        </t>
    </r>
    <r>
      <rPr>
        <sz val="10"/>
        <rFont val="Calibri"/>
        <family val="2"/>
        <scheme val="minor"/>
      </rPr>
      <t>Pourquoi l'ITIL est important aux Datacenter</t>
    </r>
  </si>
  <si>
    <r>
      <t>-</t>
    </r>
    <r>
      <rPr>
        <sz val="7"/>
        <rFont val="Times New Roman"/>
        <family val="1"/>
      </rPr>
      <t xml:space="preserve">        </t>
    </r>
    <r>
      <rPr>
        <sz val="10"/>
        <rFont val="Calibri"/>
        <family val="2"/>
        <scheme val="minor"/>
      </rPr>
      <t>ITIL v3: Les cinq phases du cycle de vie des services</t>
    </r>
  </si>
  <si>
    <r>
      <t>-</t>
    </r>
    <r>
      <rPr>
        <sz val="7"/>
        <rFont val="Times New Roman"/>
        <family val="1"/>
      </rPr>
      <t xml:space="preserve">        </t>
    </r>
    <r>
      <rPr>
        <sz val="10"/>
        <rFont val="Calibri"/>
        <family val="2"/>
        <scheme val="minor"/>
      </rPr>
      <t>Amélioration continue et Activités de Service</t>
    </r>
  </si>
  <si>
    <r>
      <t>§</t>
    </r>
    <r>
      <rPr>
        <sz val="7"/>
        <rFont val="Times New Roman"/>
        <family val="1"/>
      </rPr>
      <t xml:space="preserve">  </t>
    </r>
    <r>
      <rPr>
        <b/>
        <sz val="10"/>
        <rFont val="Calibri"/>
        <family val="2"/>
        <scheme val="minor"/>
      </rPr>
      <t>Appliquer ITIL aux DataCenters</t>
    </r>
  </si>
  <si>
    <r>
      <t>-</t>
    </r>
    <r>
      <rPr>
        <sz val="7"/>
        <rFont val="Times New Roman"/>
        <family val="1"/>
      </rPr>
      <t xml:space="preserve">        </t>
    </r>
    <r>
      <rPr>
        <sz val="10"/>
        <rFont val="Calibri"/>
        <family val="2"/>
        <scheme val="minor"/>
      </rPr>
      <t>Transition des Services</t>
    </r>
  </si>
  <si>
    <r>
      <t>o</t>
    </r>
    <r>
      <rPr>
        <sz val="7"/>
        <rFont val="Times New Roman"/>
        <family val="1"/>
      </rPr>
      <t xml:space="preserve">   </t>
    </r>
    <r>
      <rPr>
        <sz val="10"/>
        <rFont val="Calibri"/>
        <family val="2"/>
        <scheme val="minor"/>
      </rPr>
      <t xml:space="preserve">Gestion des changements </t>
    </r>
  </si>
  <si>
    <r>
      <t>o</t>
    </r>
    <r>
      <rPr>
        <sz val="7"/>
        <rFont val="Times New Roman"/>
        <family val="1"/>
      </rPr>
      <t xml:space="preserve">   </t>
    </r>
    <r>
      <rPr>
        <sz val="10"/>
        <rFont val="Calibri"/>
        <family val="2"/>
        <scheme val="minor"/>
      </rPr>
      <t xml:space="preserve"> Gestion des mises en production </t>
    </r>
  </si>
  <si>
    <r>
      <t>o</t>
    </r>
    <r>
      <rPr>
        <sz val="7"/>
        <rFont val="Times New Roman"/>
        <family val="1"/>
      </rPr>
      <t xml:space="preserve">   </t>
    </r>
    <r>
      <rPr>
        <sz val="10"/>
        <rFont val="Calibri"/>
        <family val="2"/>
        <scheme val="minor"/>
      </rPr>
      <t xml:space="preserve">Gestion des configurations </t>
    </r>
  </si>
  <si>
    <r>
      <t>o</t>
    </r>
    <r>
      <rPr>
        <sz val="7"/>
        <rFont val="Times New Roman"/>
        <family val="1"/>
      </rPr>
      <t xml:space="preserve">   </t>
    </r>
    <r>
      <rPr>
        <sz val="10"/>
        <rFont val="Calibri"/>
        <family val="2"/>
        <scheme val="minor"/>
      </rPr>
      <t xml:space="preserve"> Gestion de la connaissance</t>
    </r>
  </si>
  <si>
    <r>
      <t>-</t>
    </r>
    <r>
      <rPr>
        <sz val="7"/>
        <rFont val="Times New Roman"/>
        <family val="1"/>
      </rPr>
      <t xml:space="preserve">        </t>
    </r>
    <r>
      <rPr>
        <sz val="10"/>
        <rFont val="Calibri"/>
        <family val="2"/>
        <scheme val="minor"/>
      </rPr>
      <t>Exploitation des Services</t>
    </r>
  </si>
  <si>
    <r>
      <t>o</t>
    </r>
    <r>
      <rPr>
        <sz val="7"/>
        <rFont val="Times New Roman"/>
        <family val="1"/>
      </rPr>
      <t xml:space="preserve">   </t>
    </r>
    <r>
      <rPr>
        <sz val="10"/>
        <rFont val="Calibri"/>
        <family val="2"/>
        <scheme val="minor"/>
      </rPr>
      <t xml:space="preserve">Gestion des incidents </t>
    </r>
  </si>
  <si>
    <r>
      <t>o</t>
    </r>
    <r>
      <rPr>
        <sz val="7"/>
        <rFont val="Times New Roman"/>
        <family val="1"/>
      </rPr>
      <t xml:space="preserve">   </t>
    </r>
    <r>
      <rPr>
        <sz val="10"/>
        <rFont val="Calibri"/>
        <family val="2"/>
        <scheme val="minor"/>
      </rPr>
      <t xml:space="preserve">Gestion des problèmes </t>
    </r>
  </si>
  <si>
    <r>
      <t>o</t>
    </r>
    <r>
      <rPr>
        <sz val="7"/>
        <rFont val="Times New Roman"/>
        <family val="1"/>
      </rPr>
      <t xml:space="preserve">   </t>
    </r>
    <r>
      <rPr>
        <sz val="10"/>
        <rFont val="Calibri"/>
        <family val="2"/>
        <scheme val="minor"/>
      </rPr>
      <t xml:space="preserve">  Gestion des opérations (la fonction)</t>
    </r>
  </si>
  <si>
    <r>
      <t>-</t>
    </r>
    <r>
      <rPr>
        <sz val="7"/>
        <rFont val="Times New Roman"/>
        <family val="1"/>
      </rPr>
      <t xml:space="preserve">        </t>
    </r>
    <r>
      <rPr>
        <sz val="10"/>
        <rFont val="Calibri"/>
        <family val="2"/>
        <scheme val="minor"/>
      </rPr>
      <t>Conception des Services</t>
    </r>
  </si>
  <si>
    <r>
      <t>o</t>
    </r>
    <r>
      <rPr>
        <sz val="7"/>
        <rFont val="Times New Roman"/>
        <family val="1"/>
      </rPr>
      <t xml:space="preserve">   </t>
    </r>
    <r>
      <rPr>
        <sz val="10"/>
        <rFont val="Calibri"/>
        <family val="2"/>
        <scheme val="minor"/>
      </rPr>
      <t xml:space="preserve">Gestion de la capacité </t>
    </r>
  </si>
  <si>
    <r>
      <t>o</t>
    </r>
    <r>
      <rPr>
        <sz val="7"/>
        <rFont val="Times New Roman"/>
        <family val="1"/>
      </rPr>
      <t xml:space="preserve">   </t>
    </r>
    <r>
      <rPr>
        <sz val="10"/>
        <rFont val="Calibri"/>
        <family val="2"/>
        <scheme val="minor"/>
      </rPr>
      <t xml:space="preserve"> Gestion de la disponibilité </t>
    </r>
  </si>
  <si>
    <r>
      <t>-</t>
    </r>
    <r>
      <rPr>
        <sz val="7"/>
        <rFont val="Times New Roman"/>
        <family val="1"/>
      </rPr>
      <t xml:space="preserve">        </t>
    </r>
    <r>
      <rPr>
        <sz val="10"/>
        <rFont val="Calibri"/>
        <family val="2"/>
        <scheme val="minor"/>
      </rPr>
      <t>Capacité et performances Sécurité</t>
    </r>
  </si>
  <si>
    <r>
      <t>-</t>
    </r>
    <r>
      <rPr>
        <sz val="7"/>
        <rFont val="Times New Roman"/>
        <family val="1"/>
      </rPr>
      <t xml:space="preserve">        </t>
    </r>
    <r>
      <rPr>
        <sz val="10"/>
        <rFont val="Calibri"/>
        <family val="2"/>
        <scheme val="minor"/>
      </rPr>
      <t>Continuité de service</t>
    </r>
  </si>
  <si>
    <r>
      <t> </t>
    </r>
    <r>
      <rPr>
        <sz val="11"/>
        <rFont val="Calibri"/>
        <family val="2"/>
        <scheme val="minor"/>
      </rPr>
      <t>Datacenter, Service, Opération, Suivi opérationnel, Disponibilité, Energie, ITIL, SLA, Norme, Sécurité, Capacité et performances, Continuité de service, Gestion du changement, Gestion de la Configuration, Rôles et responsabilités du personnel IT…</t>
    </r>
  </si>
  <si>
    <r>
      <t>-</t>
    </r>
    <r>
      <rPr>
        <sz val="7"/>
        <rFont val="Times New Roman"/>
        <family val="1"/>
      </rPr>
      <t xml:space="preserve">       </t>
    </r>
    <r>
      <rPr>
        <sz val="11"/>
        <rFont val="Calibri"/>
        <family val="2"/>
        <scheme val="minor"/>
      </rPr>
      <t>- Apprenez à améliorer l'efficacité du Data Center et de l'IT ainsi que la rentabilité grâce à des activités de gestion intégrées et coordonnées.</t>
    </r>
  </si>
  <si>
    <r>
      <t>-</t>
    </r>
    <r>
      <rPr>
        <sz val="7"/>
        <rFont val="Times New Roman"/>
        <family val="1"/>
      </rPr>
      <t xml:space="preserve">   </t>
    </r>
    <r>
      <rPr>
        <sz val="12"/>
        <rFont val="Calibri"/>
        <family val="2"/>
      </rPr>
      <t>Comprendre les éléments fondamentaux, les acteurs, les usages et les composants du PaaS</t>
    </r>
  </si>
  <si>
    <r>
      <t>-</t>
    </r>
    <r>
      <rPr>
        <sz val="7"/>
        <rFont val="Times New Roman"/>
        <family val="1"/>
      </rPr>
      <t xml:space="preserve">   </t>
    </r>
    <r>
      <rPr>
        <sz val="12"/>
        <rFont val="Calibri"/>
        <family val="2"/>
      </rPr>
      <t>Savoir utiliser Docker et son outil en ligne de commande</t>
    </r>
  </si>
  <si>
    <r>
      <t>-</t>
    </r>
    <r>
      <rPr>
        <sz val="7"/>
        <rFont val="Times New Roman"/>
        <family val="1"/>
      </rPr>
      <t xml:space="preserve">   </t>
    </r>
    <r>
      <rPr>
        <sz val="12"/>
        <rFont val="Calibri"/>
        <family val="2"/>
      </rPr>
      <t>Comprendre l'organisation DevOps</t>
    </r>
  </si>
  <si>
    <r>
      <t>-</t>
    </r>
    <r>
      <rPr>
        <sz val="7"/>
        <rFont val="Times New Roman"/>
        <family val="1"/>
      </rPr>
      <t xml:space="preserve">   </t>
    </r>
    <r>
      <rPr>
        <sz val="12"/>
        <rFont val="Calibri"/>
        <family val="2"/>
      </rPr>
      <t>Mettre en œuvre un PaaS Proof Of Technology (OpenShift/Cloud Foudry)</t>
    </r>
  </si>
  <si>
    <r>
      <t>-</t>
    </r>
    <r>
      <rPr>
        <sz val="7"/>
        <rFont val="Times New Roman"/>
        <family val="1"/>
      </rPr>
      <t xml:space="preserve">       </t>
    </r>
    <r>
      <rPr>
        <sz val="11"/>
        <rFont val="Calibri"/>
        <family val="2"/>
        <scheme val="minor"/>
      </rPr>
      <t>Déployer des applications depuis un PaaS privé.</t>
    </r>
  </si>
  <si>
    <r>
      <t> </t>
    </r>
    <r>
      <rPr>
        <sz val="11"/>
        <rFont val="Calibri"/>
        <family val="2"/>
        <scheme val="minor"/>
      </rPr>
      <t>Container, Docker, catalogue de services, PaaS, routeur, …</t>
    </r>
  </si>
  <si>
    <r>
      <t>-</t>
    </r>
    <r>
      <rPr>
        <sz val="7"/>
        <rFont val="Times New Roman"/>
        <family val="1"/>
      </rPr>
      <t xml:space="preserve">       </t>
    </r>
    <r>
      <rPr>
        <sz val="12"/>
        <rFont val="Calibri"/>
        <family val="2"/>
      </rPr>
      <t>TP1: Installer Docker et apprendre les manipulations de base de gestion des conteneurs, utiliser le registre DockerHub, déployer et executer des applications dans Docker, construire et configure automatiquement des images Docker avec Dockerfile.</t>
    </r>
  </si>
  <si>
    <r>
      <t>-</t>
    </r>
    <r>
      <rPr>
        <sz val="7"/>
        <rFont val="Times New Roman"/>
        <family val="1"/>
      </rPr>
      <t xml:space="preserve">       </t>
    </r>
    <r>
      <rPr>
        <sz val="12"/>
        <rFont val="Calibri"/>
        <family val="2"/>
      </rPr>
      <t>TP2: Kubernetes en production, créer un cluster, déployer une application, explorer l’application, exposer l’application au publique, agrandir (Scale up) l’application,  màj de l’application</t>
    </r>
  </si>
  <si>
    <r>
      <t>-</t>
    </r>
    <r>
      <rPr>
        <sz val="7"/>
        <rFont val="Times New Roman"/>
        <family val="1"/>
      </rPr>
      <t xml:space="preserve">       </t>
    </r>
    <r>
      <rPr>
        <sz val="12"/>
        <rFont val="Calibri"/>
        <family val="2"/>
      </rPr>
      <t>TP3 - Implémenter un PaaS privé: (Cloud Foundry – PCF Dev) Déployer, configurer un environnement de développement et le client via l’interface Web et la ligne de commandes. Définir une application pour déploiement, comprendre manifest.yml, Déployer et testerl’application.</t>
    </r>
  </si>
  <si>
    <r>
      <t>-</t>
    </r>
    <r>
      <rPr>
        <sz val="7"/>
        <rFont val="Times New Roman"/>
        <family val="1"/>
      </rPr>
      <t xml:space="preserve">       </t>
    </r>
    <r>
      <rPr>
        <sz val="12"/>
        <rFont val="Calibri"/>
        <family val="2"/>
      </rPr>
      <t>TP4 - Implémenter un PaaS privé: (OpenShift) Installer OpenShift et configurer un maître et un noeud, exécuter des commandes via l'interface CLI, concevoir, créer et déployer des applications sur une instance OpenShift.</t>
    </r>
  </si>
  <si>
    <r>
      <t>-</t>
    </r>
    <r>
      <rPr>
        <sz val="7"/>
        <rFont val="Times New Roman"/>
        <family val="1"/>
      </rPr>
      <t xml:space="preserve">  </t>
    </r>
    <r>
      <rPr>
        <sz val="11"/>
        <rFont val="Calibri"/>
        <family val="2"/>
        <scheme val="minor"/>
      </rPr>
      <t>TP5 – SaaS: Intégrer Eclipse Che à OpenShift</t>
    </r>
  </si>
  <si>
    <r>
      <t>-</t>
    </r>
    <r>
      <rPr>
        <sz val="7"/>
        <rFont val="Times New Roman"/>
        <family val="1"/>
      </rPr>
      <t xml:space="preserve">  </t>
    </r>
    <r>
      <rPr>
        <sz val="10"/>
        <rFont val="Calibri"/>
        <family val="2"/>
      </rPr>
      <t>« Docker Prise en main et mise en pratique sur une architecture micro-services », Jean-Philippe GOUIGOUX, Editions ENI 2015</t>
    </r>
  </si>
  <si>
    <r>
      <t>-</t>
    </r>
    <r>
      <rPr>
        <sz val="7"/>
        <rFont val="Times New Roman"/>
        <family val="1"/>
      </rPr>
      <t xml:space="preserve">  </t>
    </r>
    <r>
      <rPr>
        <sz val="10"/>
        <rFont val="Calibri"/>
        <family val="2"/>
        <scheme val="minor"/>
      </rPr>
      <t>« Getting Started with OpenShift », Steve Pousty, Katie Miller, O'Reilly Media 2014</t>
    </r>
  </si>
  <si>
    <r>
      <t>-</t>
    </r>
    <r>
      <rPr>
        <sz val="7"/>
        <rFont val="Times New Roman"/>
        <family val="1"/>
      </rPr>
      <t xml:space="preserve">  </t>
    </r>
    <r>
      <rPr>
        <sz val="11"/>
        <rFont val="Calibri"/>
        <family val="2"/>
        <scheme val="minor"/>
      </rPr>
      <t> </t>
    </r>
    <r>
      <rPr>
        <sz val="10"/>
        <rFont val="Calibri"/>
        <family val="2"/>
        <scheme val="minor"/>
      </rPr>
      <t>“Microsoft Project 2016 Step by Step”, Carl S. Chatfield, Timothy D. Johnson, Microsoft Press 2016</t>
    </r>
  </si>
  <si>
    <r>
      <t>-</t>
    </r>
    <r>
      <rPr>
        <sz val="7"/>
        <rFont val="Times New Roman"/>
        <family val="1"/>
      </rPr>
      <t xml:space="preserve">  </t>
    </r>
    <r>
      <rPr>
        <sz val="10"/>
        <rFont val="Calibri"/>
        <family val="2"/>
        <scheme val="minor"/>
      </rPr>
      <t>“Pratiques de management de projet  46 outils et techniques pour prendre la bonne décision, 2ème edition”, Vincent Drecq, Dunod 2017</t>
    </r>
  </si>
  <si>
    <r>
      <t xml:space="preserve">Cette matière requiert que l'étudiant ait suivi </t>
    </r>
    <r>
      <rPr>
        <sz val="11"/>
        <rFont val="Calibri"/>
        <family val="2"/>
        <scheme val="minor"/>
      </rPr>
      <t>Aucun. Ce cours offre une vue d’ensemble sur tous les aspects du management de projets.</t>
    </r>
  </si>
  <si>
    <r>
      <t> </t>
    </r>
    <r>
      <rPr>
        <sz val="11"/>
        <rFont val="Calibri"/>
        <family val="2"/>
        <scheme val="minor"/>
      </rPr>
      <t>Charte de projet, tâche, phase, jalon, GANT, couts, démarrage, planification, rapport d’avancement, ressources humaines, structure de découpage, suivi et contrôle, tableau de bord, temps, MS-Project…</t>
    </r>
  </si>
  <si>
    <r>
      <t>-</t>
    </r>
    <r>
      <rPr>
        <sz val="7"/>
        <rFont val="Times New Roman"/>
        <family val="1"/>
      </rPr>
      <t xml:space="preserve">       </t>
    </r>
    <r>
      <rPr>
        <sz val="11"/>
        <rFont val="Calibri"/>
        <family val="2"/>
        <scheme val="minor"/>
      </rPr>
      <t>Définir et suivre les données financières du projet</t>
    </r>
  </si>
  <si>
    <r>
      <t xml:space="preserve">L’objectif technique du projet d’intégration infrastructure réseaux et systèmes est la mise en œuvre et le déploiement d’une architecture réseaux </t>
    </r>
    <r>
      <rPr>
        <b/>
        <sz val="11"/>
        <rFont val="Calibri"/>
        <family val="2"/>
        <scheme val="minor"/>
      </rPr>
      <t>multi-site</t>
    </r>
    <r>
      <rPr>
        <sz val="11"/>
        <rFont val="Calibri"/>
        <family val="2"/>
        <scheme val="minor"/>
      </rPr>
      <t xml:space="preserve"> d’une société interconnectée à un  </t>
    </r>
    <r>
      <rPr>
        <b/>
        <sz val="11"/>
        <rFont val="Calibri"/>
        <family val="2"/>
        <scheme val="minor"/>
      </rPr>
      <t>backbone IPv4</t>
    </r>
    <r>
      <rPr>
        <sz val="11"/>
        <rFont val="Calibri"/>
        <family val="2"/>
        <scheme val="minor"/>
      </rPr>
      <t xml:space="preserve"> à travers </t>
    </r>
    <r>
      <rPr>
        <b/>
        <sz val="11"/>
        <rFont val="Calibri"/>
        <family val="2"/>
        <scheme val="minor"/>
      </rPr>
      <t>deux technologies WAN</t>
    </r>
    <r>
      <rPr>
        <sz val="11"/>
        <rFont val="Calibri"/>
        <family val="2"/>
        <scheme val="minor"/>
      </rPr>
      <t xml:space="preserve"> (une </t>
    </r>
    <r>
      <rPr>
        <b/>
        <sz val="11"/>
        <rFont val="Calibri"/>
        <family val="2"/>
        <scheme val="minor"/>
      </rPr>
      <t>liaison principale</t>
    </r>
    <r>
      <rPr>
        <sz val="11"/>
        <rFont val="Calibri"/>
        <family val="2"/>
        <scheme val="minor"/>
      </rPr>
      <t xml:space="preserve"> et une </t>
    </r>
    <r>
      <rPr>
        <b/>
        <sz val="11"/>
        <rFont val="Calibri"/>
        <family val="2"/>
        <scheme val="minor"/>
      </rPr>
      <t>liaison de backup</t>
    </r>
    <r>
      <rPr>
        <sz val="11"/>
        <rFont val="Calibri"/>
        <family val="2"/>
        <scheme val="minor"/>
      </rPr>
      <t>).</t>
    </r>
  </si>
  <si>
    <r>
      <t xml:space="preserve">Chaque </t>
    </r>
    <r>
      <rPr>
        <b/>
        <sz val="11"/>
        <rFont val="Calibri"/>
        <family val="2"/>
        <scheme val="minor"/>
      </rPr>
      <t>site</t>
    </r>
    <r>
      <rPr>
        <sz val="11"/>
        <rFont val="Calibri"/>
        <family val="2"/>
        <scheme val="minor"/>
      </rPr>
      <t xml:space="preserve"> est segmenté en deux zones par un firewall : une </t>
    </r>
    <r>
      <rPr>
        <b/>
        <sz val="11"/>
        <rFont val="Calibri"/>
        <family val="2"/>
        <scheme val="minor"/>
      </rPr>
      <t>zone DMZ</t>
    </r>
    <r>
      <rPr>
        <sz val="11"/>
        <rFont val="Calibri"/>
        <family val="2"/>
        <scheme val="minor"/>
      </rPr>
      <t xml:space="preserve"> fonctionnant en ipv4 et ipv6 (</t>
    </r>
    <r>
      <rPr>
        <b/>
        <sz val="11"/>
        <rFont val="Calibri"/>
        <family val="2"/>
        <scheme val="minor"/>
      </rPr>
      <t>DualStack</t>
    </r>
    <r>
      <rPr>
        <sz val="11"/>
        <rFont val="Calibri"/>
        <family val="2"/>
        <scheme val="minor"/>
      </rPr>
      <t xml:space="preserve">) contenant les </t>
    </r>
    <r>
      <rPr>
        <b/>
        <sz val="11"/>
        <rFont val="Calibri"/>
        <family val="2"/>
        <scheme val="minor"/>
      </rPr>
      <t>serveurs d’entreprise</t>
    </r>
    <r>
      <rPr>
        <sz val="11"/>
        <rFont val="Calibri"/>
        <family val="2"/>
        <scheme val="minor"/>
      </rPr>
      <t>, et une zone Lan contenant les stations des employés .</t>
    </r>
  </si>
  <si>
    <r>
      <t xml:space="preserve">Chaque étudiant doit se connecter à partir d’une station dans sa zone LAN en </t>
    </r>
    <r>
      <rPr>
        <b/>
        <sz val="11"/>
        <rFont val="Calibri"/>
        <family val="2"/>
        <scheme val="minor"/>
      </rPr>
      <t>IPv4 ou IPv6</t>
    </r>
    <r>
      <rPr>
        <sz val="11"/>
        <rFont val="Calibri"/>
        <family val="2"/>
        <scheme val="minor"/>
      </rPr>
      <t xml:space="preserve"> aux serveurs d’entreprise dans le même site (dans sa zone </t>
    </r>
    <r>
      <rPr>
        <b/>
        <sz val="11"/>
        <rFont val="Calibri"/>
        <family val="2"/>
        <scheme val="minor"/>
      </rPr>
      <t>DMZ</t>
    </r>
    <r>
      <rPr>
        <sz val="11"/>
        <rFont val="Calibri"/>
        <family val="2"/>
        <scheme val="minor"/>
      </rPr>
      <t>) ou dans un autre site (dans la zone DMZ d’un autre étudiant)</t>
    </r>
  </si>
  <si>
    <r>
      <t xml:space="preserve">Les services doivent être </t>
    </r>
    <r>
      <rPr>
        <b/>
        <sz val="11"/>
        <rFont val="Calibri"/>
        <family val="2"/>
        <scheme val="minor"/>
      </rPr>
      <t>distribués</t>
    </r>
    <r>
      <rPr>
        <sz val="11"/>
        <rFont val="Calibri"/>
        <family val="2"/>
        <scheme val="minor"/>
      </rPr>
      <t xml:space="preserve"> dans les différents sites.</t>
    </r>
  </si>
  <si>
    <r>
      <t>Chaque étudiant d’un groupe doit mettre en place dans son émulateur (</t>
    </r>
    <r>
      <rPr>
        <b/>
        <sz val="11"/>
        <rFont val="Calibri"/>
        <family val="2"/>
        <scheme val="minor"/>
      </rPr>
      <t>GNS3</t>
    </r>
    <r>
      <rPr>
        <sz val="11"/>
        <rFont val="Calibri"/>
        <family val="2"/>
        <scheme val="minor"/>
      </rPr>
      <t xml:space="preserve">) un site contenant deux zones segmentées par un firewall, et une partie du backbone IP de l’opérateur (le backbone est partagé entre les différents étudiants). </t>
    </r>
  </si>
  <si>
    <r>
      <t>Nombre d’étudiant par projet :</t>
    </r>
    <r>
      <rPr>
        <sz val="11"/>
        <rFont val="Calibri"/>
        <family val="2"/>
        <scheme val="minor"/>
      </rPr>
      <t xml:space="preserve"> entre 3 et 4 étudiants (entre 3 et 4 sites).</t>
    </r>
  </si>
  <si>
    <r>
      <t>-</t>
    </r>
    <r>
      <rPr>
        <sz val="7"/>
        <rFont val="Times New Roman"/>
        <family val="1"/>
      </rPr>
      <t xml:space="preserve">          </t>
    </r>
    <r>
      <rPr>
        <sz val="11"/>
        <rFont val="Calibri"/>
        <family val="2"/>
        <scheme val="minor"/>
      </rPr>
      <t>Semaine 1 : Lecture du cahier des charges et extraction des besoins.</t>
    </r>
  </si>
  <si>
    <r>
      <t>-</t>
    </r>
    <r>
      <rPr>
        <sz val="7"/>
        <rFont val="Times New Roman"/>
        <family val="1"/>
      </rPr>
      <t xml:space="preserve">          </t>
    </r>
    <r>
      <rPr>
        <sz val="11"/>
        <rFont val="Calibri"/>
        <family val="2"/>
        <scheme val="minor"/>
      </rPr>
      <t>Semaine 2 : Présentation ppt des technologies et des produits choisis par chaque groupe.</t>
    </r>
  </si>
  <si>
    <r>
      <t>-</t>
    </r>
    <r>
      <rPr>
        <sz val="7"/>
        <rFont val="Times New Roman"/>
        <family val="1"/>
      </rPr>
      <t xml:space="preserve">          </t>
    </r>
    <r>
      <rPr>
        <sz val="11"/>
        <rFont val="Calibri"/>
        <family val="2"/>
        <scheme val="minor"/>
      </rPr>
      <t>Semaine 3 : Présentation ppt de la maquette finale du réseau (services, sécurité,qualité).</t>
    </r>
  </si>
  <si>
    <r>
      <t>-</t>
    </r>
    <r>
      <rPr>
        <sz val="7"/>
        <rFont val="Times New Roman"/>
        <family val="1"/>
      </rPr>
      <t xml:space="preserve">          </t>
    </r>
    <r>
      <rPr>
        <sz val="11"/>
        <rFont val="Calibri"/>
        <family val="2"/>
        <scheme val="minor"/>
      </rPr>
      <t>Semaine 4 : Mise en place de la maquette réseau avec le GNS3.</t>
    </r>
  </si>
  <si>
    <r>
      <t>-</t>
    </r>
    <r>
      <rPr>
        <sz val="7"/>
        <rFont val="Times New Roman"/>
        <family val="1"/>
      </rPr>
      <t xml:space="preserve">          </t>
    </r>
    <r>
      <rPr>
        <sz val="11"/>
        <rFont val="Calibri"/>
        <family val="2"/>
        <scheme val="minor"/>
      </rPr>
      <t>Semaine 5 : Validation de la maquette réseau sous GNS3</t>
    </r>
  </si>
  <si>
    <r>
      <t>-</t>
    </r>
    <r>
      <rPr>
        <sz val="7"/>
        <rFont val="Times New Roman"/>
        <family val="1"/>
      </rPr>
      <t xml:space="preserve">          </t>
    </r>
    <r>
      <rPr>
        <sz val="11"/>
        <rFont val="Calibri"/>
        <family val="2"/>
        <scheme val="minor"/>
      </rPr>
      <t>Semaine 6 : Validation finale de la maquette réseau sous GNS3</t>
    </r>
  </si>
  <si>
    <r>
      <t>-</t>
    </r>
    <r>
      <rPr>
        <sz val="7"/>
        <rFont val="Times New Roman"/>
        <family val="1"/>
      </rPr>
      <t xml:space="preserve">          </t>
    </r>
    <r>
      <rPr>
        <sz val="11"/>
        <rFont val="Calibri"/>
        <family val="2"/>
        <scheme val="minor"/>
      </rPr>
      <t>Semaine 7 : Mise en place du pare-feu et des services de bases</t>
    </r>
  </si>
  <si>
    <r>
      <t>-</t>
    </r>
    <r>
      <rPr>
        <sz val="7"/>
        <rFont val="Times New Roman"/>
        <family val="1"/>
      </rPr>
      <t xml:space="preserve">          </t>
    </r>
    <r>
      <rPr>
        <sz val="11"/>
        <rFont val="Calibri"/>
        <family val="2"/>
        <scheme val="minor"/>
      </rPr>
      <t>Semaine 8 : Validation de la mise en place du pare-feu</t>
    </r>
  </si>
  <si>
    <r>
      <t>-</t>
    </r>
    <r>
      <rPr>
        <sz val="7"/>
        <rFont val="Times New Roman"/>
        <family val="1"/>
      </rPr>
      <t xml:space="preserve">          </t>
    </r>
    <r>
      <rPr>
        <sz val="11"/>
        <rFont val="Calibri"/>
        <family val="2"/>
        <scheme val="minor"/>
      </rPr>
      <t>Semaine 9 : Validation des services basiques</t>
    </r>
  </si>
  <si>
    <r>
      <t>-</t>
    </r>
    <r>
      <rPr>
        <sz val="7"/>
        <rFont val="Times New Roman"/>
        <family val="1"/>
      </rPr>
      <t xml:space="preserve">          </t>
    </r>
    <r>
      <rPr>
        <sz val="11"/>
        <rFont val="Calibri"/>
        <family val="2"/>
        <scheme val="minor"/>
      </rPr>
      <t>Semaine 10 : Validation finale de l’intégration des services basiques et optionnels en IPv6 et IPV4</t>
    </r>
  </si>
  <si>
    <r>
      <t>-</t>
    </r>
    <r>
      <rPr>
        <sz val="7"/>
        <rFont val="Times New Roman"/>
        <family val="1"/>
      </rPr>
      <t xml:space="preserve">          </t>
    </r>
    <r>
      <rPr>
        <sz val="11"/>
        <rFont val="Calibri"/>
        <family val="2"/>
        <scheme val="minor"/>
      </rPr>
      <t>Semaine 11: Mise en place de la partie sécurité</t>
    </r>
  </si>
  <si>
    <r>
      <t>-</t>
    </r>
    <r>
      <rPr>
        <sz val="7"/>
        <rFont val="Times New Roman"/>
        <family val="1"/>
      </rPr>
      <t xml:space="preserve">          </t>
    </r>
    <r>
      <rPr>
        <sz val="11"/>
        <rFont val="Calibri"/>
        <family val="2"/>
        <scheme val="minor"/>
      </rPr>
      <t>Semaine 12 : Validation de la partie sécurité et mise en place de la partie qualité</t>
    </r>
  </si>
  <si>
    <r>
      <t>-</t>
    </r>
    <r>
      <rPr>
        <sz val="7"/>
        <rFont val="Times New Roman"/>
        <family val="1"/>
      </rPr>
      <t xml:space="preserve">          </t>
    </r>
    <r>
      <rPr>
        <sz val="11"/>
        <rFont val="Calibri"/>
        <family val="2"/>
        <scheme val="minor"/>
      </rPr>
      <t>Semaine 13 : Validation de la partie Qualité</t>
    </r>
  </si>
  <si>
    <r>
      <t>-</t>
    </r>
    <r>
      <rPr>
        <sz val="7"/>
        <rFont val="Times New Roman"/>
        <family val="1"/>
      </rPr>
      <t xml:space="preserve">          </t>
    </r>
    <r>
      <rPr>
        <sz val="11"/>
        <rFont val="Calibri"/>
        <family val="2"/>
        <scheme val="minor"/>
      </rPr>
      <t>Semaine 14 : Validation finale du PPP (maquette GNS3 + rapport)</t>
    </r>
  </si>
  <si>
    <r>
      <t>-</t>
    </r>
    <r>
      <rPr>
        <sz val="7"/>
        <rFont val="Times New Roman"/>
        <family val="1"/>
      </rPr>
      <t xml:space="preserve">          </t>
    </r>
    <r>
      <rPr>
        <sz val="11"/>
        <rFont val="Calibri"/>
        <family val="2"/>
        <scheme val="minor"/>
      </rPr>
      <t>L’évaluation se fait chaque semaine suivant le travail demandé.</t>
    </r>
  </si>
  <si>
    <r>
      <t>-</t>
    </r>
    <r>
      <rPr>
        <sz val="7"/>
        <rFont val="Times New Roman"/>
        <family val="1"/>
      </rPr>
      <t xml:space="preserve">          </t>
    </r>
    <r>
      <rPr>
        <sz val="11"/>
        <rFont val="Calibri"/>
        <family val="2"/>
        <scheme val="minor"/>
      </rPr>
      <t>Des ppt sont demandées avec des rapports techniques et un rapport final le jour de la validation finale.</t>
    </r>
  </si>
  <si>
    <r>
      <t>-</t>
    </r>
    <r>
      <rPr>
        <sz val="7"/>
        <rFont val="Times New Roman"/>
        <family val="1"/>
      </rPr>
      <t xml:space="preserve">          </t>
    </r>
    <r>
      <rPr>
        <sz val="11"/>
        <rFont val="Calibri"/>
        <family val="2"/>
        <scheme val="minor"/>
      </rPr>
      <t xml:space="preserve">La maquette GNS3 sera validée à partir de la semaine 5. </t>
    </r>
  </si>
  <si>
    <r>
      <t>-</t>
    </r>
    <r>
      <rPr>
        <sz val="7"/>
        <rFont val="Times New Roman"/>
        <family val="1"/>
      </rPr>
      <t xml:space="preserve">          </t>
    </r>
    <r>
      <rPr>
        <sz val="11"/>
        <rFont val="Calibri"/>
        <family val="2"/>
        <scheme val="minor"/>
      </rPr>
      <t>Chaque étudiant sera validé séparément et sera noté sur son travail fourni.</t>
    </r>
  </si>
  <si>
    <r>
      <t>-</t>
    </r>
    <r>
      <rPr>
        <sz val="7"/>
        <rFont val="Times New Roman"/>
        <family val="1"/>
      </rPr>
      <t xml:space="preserve">  </t>
    </r>
    <r>
      <rPr>
        <sz val="11"/>
        <rFont val="Calibri"/>
        <family val="2"/>
        <scheme val="minor"/>
      </rPr>
      <t>Les projets doivent être du même degré de complexité</t>
    </r>
  </si>
  <si>
    <r>
      <t> </t>
    </r>
    <r>
      <rPr>
        <sz val="11"/>
        <rFont val="Calibri"/>
        <family val="2"/>
        <scheme val="minor"/>
      </rPr>
      <t>Routage statique et dynamique, sécurité réseaux, WAN , frame-relay, ligne spécialisé, firewall, Messagerie, Transfert de fichier, partage de fichiers, supervision infrastructure réseaux et services, NAT, PAT, service WEB, IDS/IPS, ACL, service de stockage, service de sauvegarde, service de haute disponibilité et équilibrage de charge, QoS, service de synchronisation, scénario d’attaque, domaine, DNS, DHCP, IPv4, IPv6, DualStack, segmentation, zone LAN, zone DMZ, redistribution de routes, accès SSH, communication unifiée (VoIP, messagerie instantannée, Vidéo conférence…)</t>
    </r>
  </si>
  <si>
    <r>
      <t>-</t>
    </r>
    <r>
      <rPr>
        <sz val="7"/>
        <rFont val="Times New Roman"/>
        <family val="1"/>
      </rPr>
      <t xml:space="preserve">       </t>
    </r>
    <r>
      <rPr>
        <sz val="11"/>
        <rFont val="Calibri"/>
        <family val="2"/>
        <scheme val="minor"/>
      </rPr>
      <t>- Intégrer les compétences que l’étudiant a appris dans les différents modules réseaux et systèmes (Routage, sécurité, WAN, services systèmes et services réseaux) dans un projet</t>
    </r>
  </si>
  <si>
    <r>
      <rPr>
        <b/>
        <sz val="11"/>
        <rFont val="Calibri"/>
        <family val="2"/>
        <scheme val="minor"/>
      </rPr>
      <t>N.B</t>
    </r>
    <r>
      <rPr>
        <sz val="11"/>
        <rFont val="Calibri"/>
        <family val="2"/>
        <scheme val="minor"/>
      </rPr>
      <t xml:space="preserve"> : Les matières optionnelles sont proposées dans le présent plan d'études à titre indicatif, chaque ISET aura le soin de choisir les matières optionnelles selon ses besoins et priorités. Certaines matières listées ci-dessous disposent de propositions de fiches matières dans le présent plan</t>
    </r>
  </si>
  <si>
    <t>Matières optionnelles</t>
  </si>
  <si>
    <t>Fiche matière proposée</t>
  </si>
  <si>
    <t>Technologies de l'Informatique</t>
  </si>
  <si>
    <t>Unité optionnelle</t>
  </si>
  <si>
    <t>Historique des mise à jour</t>
  </si>
  <si>
    <t>Liste de dernière validatation</t>
  </si>
  <si>
    <t>Prénom et Nom</t>
  </si>
  <si>
    <t>Mots clés académiques</t>
  </si>
  <si>
    <t>Mots clés en lien avec les débouchés professionnelles</t>
  </si>
  <si>
    <t>Métiers cibles du REM REC TIC Tunisien (utiliser les appellations possibles d'un même métier)</t>
  </si>
  <si>
    <t>Appellation REM REC</t>
  </si>
  <si>
    <t>Autres appellations</t>
  </si>
  <si>
    <t>Compétences cibles du REM REC TIC Tunisien</t>
  </si>
  <si>
    <t>Métier</t>
  </si>
  <si>
    <t>Compétences du métier</t>
  </si>
  <si>
    <t>Veille technologique</t>
  </si>
  <si>
    <t>Compléments requis (spécifier les formations, certifications, etc. qui complèterait cette formation)</t>
  </si>
  <si>
    <t>Compléments</t>
  </si>
  <si>
    <t>Nature</t>
  </si>
  <si>
    <t>Détail</t>
  </si>
  <si>
    <t>Projet d'intégration Infrastructure, Réseaux et Système</t>
  </si>
  <si>
    <t>Oui</t>
  </si>
  <si>
    <t>Fiche élément constitutif - Projet d'intégration Infrastructure, Réseaux et Système</t>
  </si>
  <si>
    <t>Réseaux et Services Informatique</t>
  </si>
  <si>
    <t xml:space="preserve">Unité optionnelle </t>
  </si>
  <si>
    <t>11/07/2017</t>
  </si>
  <si>
    <t>Présentation de l'objectif de cette formation, des compétences techniques et des soft skills visés ainsi que le contenu de la formation.</t>
  </si>
  <si>
    <t xml:space="preserve">Intervenants dans la mise à jour </t>
  </si>
  <si>
    <t xml:space="preserve">Intervenants dans la validation </t>
  </si>
  <si>
    <t>Oussama Idriss</t>
  </si>
  <si>
    <t>Aymen Bouzid / Elies Jebri</t>
  </si>
  <si>
    <t>Aymen Bouzid</t>
  </si>
  <si>
    <t>Elies Jebri</t>
  </si>
  <si>
    <t xml:space="preserve">- Savoir extraire les besoins d’un cahier des charges technique.
- Savoir Concevoir une maquette d’une architecture réseaux distribuée
- Savoir  travailler en groupe et respecter les délais de livraison.
- Savoir présenter son travail (présentations, communications, rédaction….)
- Avoir de l’autonomie et savoir faire le dépannage
- Se confronter à des problèmes de configuration et de mise en œuvre (Dépannage réseau)
- Intégrer les compétences que l’étudiant a appris dans les différents modules réseaux et systèmes (Routage, sécurité, WAN, services systèmes et services réseaux) dans un projet 
</t>
  </si>
  <si>
    <t xml:space="preserve">Routage statique et dynamique, sécurité réseaux, WAN , frame-relay, ligne spécialisé, firewall, Messagerie, Transfert de fichier, partage de fichiers, supervision infrastructure réseaux et services, NAT, PAT, service WEB, IDS/IPS, ACL, service de stockage, service de sauvegarde, service de haute disponibilité et équilibrage de charge, QoS, service de synchronisation, scénario d’attaque, domaine, DNS, DHCP, IPv4, IPv6, DualStack, segmentation, zone LAN, zone DMZ, redistribution de routes, accès SSH, communication unifiée (VoIP, messagerie instantannée, Vidéo conférence…) </t>
  </si>
  <si>
    <t xml:space="preserve">A compléter </t>
  </si>
  <si>
    <t>Administrateur système</t>
  </si>
  <si>
    <t>Administrateur système informatique</t>
  </si>
  <si>
    <t>Technicien support utilisateur</t>
  </si>
  <si>
    <t>Technicien de configuration client
Technicien support
Conseiller Helpdesk
Téléconseiller / Téléopérateur call center IT</t>
  </si>
  <si>
    <t>Conception de
l’architecture</t>
  </si>
  <si>
    <t>Support utilisateur</t>
  </si>
  <si>
    <t>Gestion de la relation client</t>
  </si>
  <si>
    <t xml:space="preserve">UE : interconnexion des réseaux, UE : Technologies des réseaux étendus 
UE : Administration systèmes  UE : Administration des services réseaux et UE : Sécurité systèmes et réseaux
</t>
  </si>
  <si>
    <t xml:space="preserve">Projet d'intégration </t>
  </si>
  <si>
    <t xml:space="preserve">- Réseaux locaux d'entreprises.
- Administration système.
- Bases de données.
- Introduction au cloud computing et virtualisation
</t>
  </si>
  <si>
    <t>- Semaine 8 : Validation de l'approvisionnement manuel d'un service de calcul / stockage.
- Semaine 9, 10 : Configuration des services réseaux.
- Semaine 11 : Déploiement des container (LXC).
- Semaine 12,13 : Développement des scripts d'automatisation.
- Semaine 14 : Validation finale du Projet (maquette + rapport)</t>
  </si>
  <si>
    <t xml:space="preserve">- Cloud computing, IaaS
- Hyperviseur de virtualisation : KVM, XEN, VMWARE ESXi, HYPER-V, ORACLE VM
- Emulateur de MV: QEMU, VirtualBox, VirtualPC, VMWARE Workstation
- Système : Linux, windows server
- Isolateur de virtualisation : LXC
- Système Cloud : OpenStack, OpenNebula, vCloud de VMWare
- Base de données : Mysql, PostgreSql, MongoDB
- Réseaux : SDN, Iptables, OpenVswitch, VxLan, ML2, LinuxBridge, Cisco Nexus, Juniper opencontrail
</t>
  </si>
  <si>
    <t xml:space="preserve">- Rédiger un cahier des charges techniques à partir d'une situation de besoins.
- Planifier et déployer les services d'un cloud privé de type IaaS.
- Configurer des services réseaux sur un système cloud IaaS.
- Utiliser et développer des scripts pour administrer/automatiser des services (système).
- Résoudre des problèmes lié à la configuration et à l'administration système et réseau (Dépannage système et réseau)
- Mettre en pratique les techniques de communication orales et écrites, pour documenter le projet.
</t>
  </si>
  <si>
    <t xml:space="preserve">Mettre en pratique les connaissances théoriques pour la mise en place d'une solution IaaS multi-nœuds, pour l'approvisionnement. L'étudiant est amené à concevoir sa propre solution à partir d'un cahier des charges présenté.
Développer les compétences liées au travail collaboratif et au savoir-faire communicatif autour du projet.
</t>
  </si>
  <si>
    <t>Projet d'intégration</t>
  </si>
  <si>
    <t>Fiche élément constitutif - Projet d'intégration</t>
  </si>
  <si>
    <r>
      <rPr>
        <sz val="12"/>
        <rFont val="Calibri"/>
        <family val="2"/>
      </rPr>
      <t>La finalité du projet est le déploiement d'une solution IaaS multi-nœuds, multi-tenants, offrant des services de calcul, de stockage, et des services basiques de réseaux, avec un approvisionnement automatique.
La solution doit prévoir la configuration des capacités de calculs ou de stockages, accessibles depuis un pool d'adresses publiques (zone DMZ) ou privées (réseaux local à adressage privé).
Sont à prévoir également des mécanismes d'interconnexion via des équipements virtuels (routeur, switch, …), implémentant des processus de sécurité (selon les besoins du cahier des charges).
Mise en place d’un mécanisme de haute disponibilité et de load-balancing au niveau des services critiques.
Développement de scripts, d'approvisionnement automatique.</t>
    </r>
    <r>
      <rPr>
        <b/>
        <sz val="12"/>
        <rFont val="Calibri"/>
        <family val="2"/>
      </rPr>
      <t xml:space="preserve">
Nombre d’étudiants par projet : entre 3 et 4 étudiants (entre 3 et 4 types de nœuds).
Chronogramme :
</t>
    </r>
    <r>
      <rPr>
        <sz val="12"/>
        <rFont val="Calibri"/>
        <family val="2"/>
      </rPr>
      <t xml:space="preserve">
- Semaine1: Présentation des projets / documentation / lectures / modalités d'évaluation.
- Semaine 2 : Elaboration des cahiers des charges techniques.
- Semaine 3 : Présentation / validation des modèles des maquettes.
- Semaines 4, 5, 6 : Déploiement de la maquette (modèle de services), sur les différent nœuds.
- Semaine 7 : Validation de la maquette - modèle des services multi-nœuds.</t>
    </r>
    <r>
      <rPr>
        <b/>
        <sz val="12"/>
        <rFont val="Calibri"/>
        <family val="2"/>
      </rPr>
      <t xml:space="preserve">
</t>
    </r>
  </si>
  <si>
    <r>
      <rPr>
        <b/>
        <sz val="12"/>
        <rFont val="Calibri"/>
        <family val="2"/>
      </rPr>
      <t>Evaluation :</t>
    </r>
    <r>
      <rPr>
        <sz val="12"/>
        <rFont val="Calibri"/>
        <family val="2"/>
      </rPr>
      <t xml:space="preserve">
Moyenne PI = Note Individuelle *coef1 + NoteEquipe *coef2
- Coef1 et coef2 : à définir par l’enseignant
- Une évaluation hebdomadaire notera l'état d'avancement des différents projets.
- Des présentations seront demandées avec des rapports techniques et un rapport final le jour de la validation finale.
- La validation de la maquette finale débute à partir de la semaine 7. 
- Chaque étudiant sera validé séparément et sera noté sur son travail fourni.
- Les projets doivent être du même degré de complexité
</t>
    </r>
    <r>
      <rPr>
        <b/>
        <sz val="12"/>
        <rFont val="Calibri"/>
        <family val="2"/>
      </rPr>
      <t>Moyens et outils pédagogiques :</t>
    </r>
    <r>
      <rPr>
        <sz val="12"/>
        <rFont val="Calibri"/>
        <family val="2"/>
      </rPr>
      <t xml:space="preserve">
- L’émulateur GNS3
- VirtualBox, VMware Workstation
-Commutateur physique
-La documentation dépend du produit et de la technologie choisie par le groupe
</t>
    </r>
  </si>
  <si>
    <t>Participation aux ateliers</t>
  </si>
  <si>
    <t xml:space="preserve">Élaboration des fiches matières techniques </t>
  </si>
  <si>
    <t xml:space="preserve">Élaboration des fiches matières transversales </t>
  </si>
  <si>
    <t xml:space="preserve">à choisir par l'ISET </t>
  </si>
  <si>
    <r>
      <rPr>
        <b/>
        <sz val="11"/>
        <rFont val="Calibri"/>
        <family val="2"/>
        <scheme val="minor"/>
      </rPr>
      <t xml:space="preserve">TP 11 : </t>
    </r>
    <r>
      <rPr>
        <sz val="11"/>
        <rFont val="Calibri"/>
        <family val="2"/>
        <scheme val="minor"/>
      </rPr>
      <t>Mise en place d’une architecture client serveur (web, messagerie, DHCP, ftp , DNS, VoIP) et analyse de la  pile protocolaire TCP/IP pour chaque communication</t>
    </r>
  </si>
  <si>
    <r>
      <rPr>
        <sz val="12"/>
        <rFont val="Calibri"/>
        <family val="2"/>
      </rPr>
      <t>L’objectif technique du projet d’intégration infrastructure réseaux et système est la mise en œuvre et le déploiement d’une architecture réseaux multi-site d’une société interconnectée à un  backbone IPv4 à travers deux technologies WAN (une liaison principale et une liaison de backup).
Chaque site est segmenté en deux zones par un firewall : une zone DMZ fonctionnant en ipv4 et ipv6 (DualStack) contenant les serveurs d’entreprise, et une zone Lan contenant les stations des employés .
Chaque étudiant doit se connecter à partir d’une station dans sa zone LAN en IPv4 ou IPv6 aux serveurs d’entreprise dans le même site (dans sa zone DMZ) ou dans un autre site (dans la zone DMZ d’un autre étudiant)
Les services doivent être distribués dans les différents sites.
Chaque étudiant d’un groupe doit mettre en place dans son émulateur (GNS3) un site contenant deux zones segmentées par un firewall, et une partie du backbone IP de l’opérateur (le backbone est partagé entre les différents étudiants). 
Les sites sont interconnectés à l’opérateur à travers deux technologies WAN différentes.
Les différentes stations des étudiants sont interconnectées à travers un commutateur réel afin de mettre en œuvre la maquette complète du projet.
Mise en place d’un mécanisme de haute disponibilité et de load balancing au niveau des sites (redondance de lien et de ressources).
Mise en place d’un mécanisme ou service de haute disponibilité pour les services.
Mise en place d’un système d’authentification des machines.</t>
    </r>
    <r>
      <rPr>
        <b/>
        <sz val="12"/>
        <rFont val="Calibri"/>
        <family val="2"/>
      </rPr>
      <t xml:space="preserve">
</t>
    </r>
  </si>
  <si>
    <r>
      <t xml:space="preserve">Nombre d’étudiant par projet : entre 3 et 4 étudiants (entre 3 et 4 sites).
Chronogramme :
</t>
    </r>
    <r>
      <rPr>
        <sz val="12"/>
        <rFont val="Calibri"/>
        <family val="2"/>
      </rPr>
      <t>- Semaine 1 : Lecture du cahier des charges et extraction des besoins.
- Semaine 2 : Présentation ppt des technologies et des produits choisis par chaque groupe.
- Semaine 3 : Présentation ppt de la maquette finale du réseau (services, sécurité,qualité).
- Semaine 4 : Mise en place de la maquette réseau avec le GNS3.
- Semaine 5 : Validation de la maquette réseau sous GNS3
- Semaine 6 : Validation finale de la maquette réseau sous GNS3
- Semaine 7 : Mise en place du pare-feu et des services de bases
- Semaine 8 : Validation de la mise en place du pare-feu
- Semaine 9 : Validation des services basiques
- Semaine 10 : Validation finale de l’intégration des services basiques et optionnels en IPv6 et IPV4
- Semaine 11: Mise en place de la partie sécurité
- Semaine 12 : Validation de la partie sécurité et mise en place de la partie qualité
- Semaine 13 : Validation de la partie Qualité
- Semaine 14 : Validation finale du PPP (maquette GNS3 + rapport)</t>
    </r>
    <r>
      <rPr>
        <b/>
        <sz val="12"/>
        <rFont val="Calibri"/>
        <family val="2"/>
      </rPr>
      <t xml:space="preserve">
</t>
    </r>
  </si>
  <si>
    <r>
      <rPr>
        <b/>
        <sz val="12"/>
        <rFont val="Calibri"/>
        <family val="2"/>
      </rPr>
      <t>Evaluation :</t>
    </r>
    <r>
      <rPr>
        <sz val="12"/>
        <rFont val="Calibri"/>
        <family val="2"/>
      </rPr>
      <t xml:space="preserve">
Moyenne PI = Note Individuelle *coef1 + NoteEquipe *coef2
- L’évaluation se fait chaque semaine suivant le travail demandé.
- Des ppt sont demandées avec des rapports techniques et un rapport final le jour de la validation finale.
- La maquette GNS3 sera validée à partir de la semaine 5. 
- Chaque étudiant sera validé séparément et sera noté sur son travail fourni.
- Les projets doivent être du même degré de complexité
</t>
    </r>
    <r>
      <rPr>
        <b/>
        <sz val="12"/>
        <rFont val="Calibri"/>
        <family val="2"/>
      </rPr>
      <t>Moyens et outils pédagogiques :</t>
    </r>
    <r>
      <rPr>
        <sz val="12"/>
        <rFont val="Calibri"/>
        <family val="2"/>
      </rPr>
      <t xml:space="preserve">
- L’émulateur GNS3
-Outils de conception des maquettes réseaux (Microsoft Visio….)
-Commutateur physique
</t>
    </r>
  </si>
  <si>
    <r>
      <t>Sciences et Technologies</t>
    </r>
    <r>
      <rPr>
        <sz val="11"/>
        <color theme="1"/>
        <rFont val="Calibri"/>
        <family val="2"/>
        <scheme val="minor"/>
      </rPr>
      <t> </t>
    </r>
  </si>
  <si>
    <r>
      <t>Technologies de l’Informatique (TI)</t>
    </r>
    <r>
      <rPr>
        <sz val="11"/>
        <color theme="1"/>
        <rFont val="Calibri"/>
        <family val="2"/>
        <scheme val="minor"/>
      </rPr>
      <t> </t>
    </r>
  </si>
  <si>
    <r>
      <t>3</t>
    </r>
    <r>
      <rPr>
        <sz val="11"/>
        <color theme="1"/>
        <rFont val="Calibri"/>
        <family val="2"/>
        <scheme val="minor"/>
      </rPr>
      <t> </t>
    </r>
  </si>
  <si>
    <t> A l’issue de cet atelier, l’étudiant doit maitriser la configuration et l’installation d’un réseau local d’entreprise convergent et redondant ainsi que l’encapsulation de la pile protocolaire TCP/IP et les échanges entre protocoles</t>
  </si>
  <si>
    <r>
      <t xml:space="preserve">-       </t>
    </r>
    <r>
      <rPr>
        <sz val="11"/>
        <rFont val="Calibri"/>
        <family val="2"/>
      </rPr>
      <t xml:space="preserve">Configurer et installer un réseau local </t>
    </r>
  </si>
  <si>
    <r>
      <t xml:space="preserve">-       </t>
    </r>
    <r>
      <rPr>
        <sz val="11"/>
        <rFont val="Calibri"/>
        <family val="2"/>
      </rPr>
      <t>Configuration des paramètres de base des périphériques réseau LAN</t>
    </r>
  </si>
  <si>
    <r>
      <t xml:space="preserve">-       </t>
    </r>
    <r>
      <rPr>
        <sz val="11"/>
        <rFont val="Calibri"/>
        <family val="2"/>
      </rPr>
      <t>Gestion de la table des adresses MAC</t>
    </r>
  </si>
  <si>
    <r>
      <t xml:space="preserve">-       </t>
    </r>
    <r>
      <rPr>
        <sz val="11"/>
        <rFont val="Calibri"/>
        <family val="2"/>
      </rPr>
      <t>Configuration des paramètres de sécurité des commutateurs.</t>
    </r>
  </si>
  <si>
    <r>
      <t xml:space="preserve">-       </t>
    </r>
    <r>
      <rPr>
        <sz val="11"/>
        <rFont val="Calibri"/>
        <family val="2"/>
      </rPr>
      <t>Configuration et sécurisation des vlans</t>
    </r>
  </si>
  <si>
    <r>
      <t xml:space="preserve">-       </t>
    </r>
    <r>
      <rPr>
        <sz val="11"/>
        <rFont val="Calibri"/>
        <family val="2"/>
      </rPr>
      <t>Routage inter-vlan</t>
    </r>
  </si>
  <si>
    <r>
      <t xml:space="preserve">-       </t>
    </r>
    <r>
      <rPr>
        <sz val="11"/>
        <rFont val="Calibri"/>
        <family val="2"/>
      </rPr>
      <t>Assurer la redondance et la haute disponibilité de l’architecture</t>
    </r>
  </si>
  <si>
    <r>
      <t xml:space="preserve">-       </t>
    </r>
    <r>
      <rPr>
        <sz val="11"/>
        <rFont val="Calibri"/>
        <family val="2"/>
      </rPr>
      <t>Configurer une solution Wifi</t>
    </r>
  </si>
  <si>
    <r>
      <t xml:space="preserve">-       </t>
    </r>
    <r>
      <rPr>
        <sz val="11"/>
        <rFont val="Calibri"/>
        <family val="2"/>
      </rPr>
      <t>Comprendre l’encapsulation : capture des trames avec Wireshark et avec packet tracer (mode simulation)</t>
    </r>
  </si>
  <si>
    <r>
      <t xml:space="preserve">-       </t>
    </r>
    <r>
      <rPr>
        <sz val="11"/>
        <rFont val="Calibri"/>
        <family val="2"/>
      </rPr>
      <t>Comprendre le principe de fonctionnement du protocole ARP</t>
    </r>
  </si>
  <si>
    <r>
      <t xml:space="preserve">-      </t>
    </r>
    <r>
      <rPr>
        <sz val="11"/>
        <rFont val="Calibri"/>
        <family val="2"/>
      </rPr>
      <t>Effectuer une capture de trafic réseau : reconnaitre les champs des protocoles IPv4, EthernetII, Ethernet 802.3,LLC, ARP, ICMP, TCP, UDP,DNS, DHCP,http, POP3,SMTP,ftp, telnet/ssh</t>
    </r>
  </si>
  <si>
    <t> Câblage, VLAN, commutation, sécurité,  routage inter-vlans router on stick, SVI, port routé, VTP, PVST+, WIFI, Etherchannel, Vlan voice, encapsulation,décapsulation, capture(sniffing), ARP, IPv4,  ICMP, TCP, UDP, Ethernet II, Ethernet 802.3, LLC, DNS, DHCP, HTTP, POP3, SMTP, ftp, telnet/ssh</t>
  </si>
  <si>
    <r>
      <t xml:space="preserve">-       </t>
    </r>
    <r>
      <rPr>
        <b/>
        <sz val="11"/>
        <rFont val="Calibri"/>
        <family val="2"/>
        <scheme val="minor"/>
      </rPr>
      <t xml:space="preserve">TP 1 : </t>
    </r>
    <r>
      <rPr>
        <sz val="11"/>
        <rFont val="Calibri"/>
        <family val="2"/>
        <scheme val="minor"/>
      </rPr>
      <t xml:space="preserve">Mise en place et interconnexion d’une architecture LAN modulaire et hiérarchique </t>
    </r>
  </si>
  <si>
    <r>
      <t>§</t>
    </r>
    <r>
      <rPr>
        <sz val="11"/>
        <rFont val="Times New Roman"/>
        <family val="1"/>
      </rPr>
      <t xml:space="preserve">  </t>
    </r>
    <r>
      <rPr>
        <sz val="11"/>
        <rFont val="Calibri"/>
        <family val="2"/>
        <scheme val="minor"/>
      </rPr>
      <t>Extraction des besoins du cahier des charges en terme d’équipements lan  (Commutateur, hub, point d’accès…) et de type de câbles  (paire torsadée, coaxial, fibre optique) selon la problématique et les besoins énoncés dans le TP. </t>
    </r>
  </si>
  <si>
    <r>
      <t xml:space="preserve">-       </t>
    </r>
    <r>
      <rPr>
        <b/>
        <sz val="11"/>
        <rFont val="Calibri"/>
        <family val="2"/>
        <scheme val="minor"/>
      </rPr>
      <t xml:space="preserve">TP 2 : </t>
    </r>
    <r>
      <rPr>
        <sz val="11"/>
        <rFont val="Calibri"/>
        <family val="2"/>
        <scheme val="minor"/>
      </rPr>
      <t>Configuration de base d’un commutateur, sécurité des ports d’un commutateur, accès distant sécurisé à un commutateur</t>
    </r>
  </si>
  <si>
    <r>
      <t xml:space="preserve">-       </t>
    </r>
    <r>
      <rPr>
        <b/>
        <sz val="11"/>
        <rFont val="Calibri"/>
        <family val="2"/>
        <scheme val="minor"/>
      </rPr>
      <t xml:space="preserve">TP 3 : </t>
    </r>
    <r>
      <rPr>
        <sz val="11"/>
        <rFont val="Calibri"/>
        <family val="2"/>
        <scheme val="minor"/>
      </rPr>
      <t>Configuration et diagnostic de VLANs et des agrégations.</t>
    </r>
  </si>
  <si>
    <r>
      <t xml:space="preserve">-       </t>
    </r>
    <r>
      <rPr>
        <b/>
        <sz val="11"/>
        <rFont val="Calibri"/>
        <family val="2"/>
        <scheme val="minor"/>
      </rPr>
      <t xml:space="preserve">TP 4 : </t>
    </r>
    <r>
      <rPr>
        <sz val="11"/>
        <rFont val="Calibri"/>
        <family val="2"/>
        <scheme val="minor"/>
      </rPr>
      <t>Configuration et diagnostic VTP</t>
    </r>
  </si>
  <si>
    <r>
      <t xml:space="preserve">-       </t>
    </r>
    <r>
      <rPr>
        <b/>
        <sz val="11"/>
        <rFont val="Calibri"/>
        <family val="2"/>
        <scheme val="minor"/>
      </rPr>
      <t xml:space="preserve">TP 5 : </t>
    </r>
    <r>
      <rPr>
        <sz val="11"/>
        <rFont val="Calibri"/>
        <family val="2"/>
        <scheme val="minor"/>
      </rPr>
      <t>Implémentation de la sécurité des VLANs</t>
    </r>
  </si>
  <si>
    <r>
      <t xml:space="preserve">-       </t>
    </r>
    <r>
      <rPr>
        <b/>
        <sz val="11"/>
        <rFont val="Calibri"/>
        <family val="2"/>
        <scheme val="minor"/>
      </rPr>
      <t xml:space="preserve">TP 6 : </t>
    </r>
    <r>
      <rPr>
        <sz val="11"/>
        <rFont val="Calibri"/>
        <family val="2"/>
        <scheme val="minor"/>
      </rPr>
      <t>Configuration et diagnostic du routage inter-VLANs au niveau du routeur « router on a stick ».</t>
    </r>
  </si>
  <si>
    <r>
      <t xml:space="preserve">-       </t>
    </r>
    <r>
      <rPr>
        <b/>
        <sz val="11"/>
        <rFont val="Calibri"/>
        <family val="2"/>
        <scheme val="minor"/>
      </rPr>
      <t xml:space="preserve">TP 7 : </t>
    </r>
    <r>
      <rPr>
        <sz val="11"/>
        <rFont val="Calibri"/>
        <family val="2"/>
        <scheme val="minor"/>
      </rPr>
      <t>Configuration et diagnostic du routage inter-VLANs au niveau du commutateur niveau 3 et agrégation de liens entre la couche accès et la couche distribution.</t>
    </r>
  </si>
  <si>
    <r>
      <t xml:space="preserve">         -       </t>
    </r>
    <r>
      <rPr>
        <b/>
        <sz val="11"/>
        <rFont val="Calibri"/>
        <family val="2"/>
        <scheme val="minor"/>
      </rPr>
      <t xml:space="preserve">TP 8 : </t>
    </r>
    <r>
      <rPr>
        <sz val="11"/>
        <rFont val="Calibri"/>
        <family val="2"/>
        <scheme val="minor"/>
      </rPr>
      <t>Configuration et diagnostic STP/VLAN (PVST+ et RPVST+)</t>
    </r>
  </si>
  <si>
    <r>
      <t xml:space="preserve">        -       </t>
    </r>
    <r>
      <rPr>
        <b/>
        <sz val="11"/>
        <rFont val="Calibri"/>
        <family val="2"/>
        <scheme val="minor"/>
      </rPr>
      <t xml:space="preserve">TP 9 : </t>
    </r>
    <r>
      <rPr>
        <sz val="11"/>
        <rFont val="Calibri"/>
        <family val="2"/>
        <scheme val="minor"/>
      </rPr>
      <t>Configuration et mise en place d’une solution WIFI</t>
    </r>
  </si>
  <si>
    <r>
      <t xml:space="preserve">-       </t>
    </r>
    <r>
      <rPr>
        <b/>
        <sz val="11"/>
        <rFont val="Calibri"/>
        <family val="2"/>
        <scheme val="minor"/>
      </rPr>
      <t>TP 10 : Analyse des protocoles TCP/IP </t>
    </r>
    <r>
      <rPr>
        <sz val="11"/>
        <rFont val="Calibri"/>
        <family val="2"/>
        <scheme val="minor"/>
      </rPr>
      <t>: analyse des paquets ARP et ICMP, manipulation de la cache ARP (apprentissage, timeout, reprise sur panne, …).</t>
    </r>
    <r>
      <rPr>
        <b/>
        <sz val="11"/>
        <rFont val="Calibri"/>
        <family val="2"/>
        <scheme val="minor"/>
      </rPr>
      <t xml:space="preserve"> Mise en évidence de l’encapsulation</t>
    </r>
    <r>
      <rPr>
        <sz val="11"/>
        <rFont val="Calibri"/>
        <family val="2"/>
        <scheme val="minor"/>
      </rPr>
      <t> : découverte des outils Wireshark, Packet Tracer, gns3, capture, format de la trame, adresse physique, filtre….</t>
    </r>
  </si>
  <si>
    <r>
      <t>-</t>
    </r>
    <r>
      <rPr>
        <sz val="11"/>
        <rFont val="Times New Roman"/>
        <family val="1"/>
      </rPr>
      <t xml:space="preserve">          </t>
    </r>
    <r>
      <rPr>
        <sz val="11"/>
        <rFont val="Calibri"/>
        <family val="2"/>
        <scheme val="minor"/>
      </rPr>
      <t xml:space="preserve">A.Tanenbaum, David J. Wetherall : "Computer Networks", 5th ed., Pearson Education, 2011. </t>
    </r>
  </si>
  <si>
    <r>
      <t>-</t>
    </r>
    <r>
      <rPr>
        <sz val="11"/>
        <rFont val="Times New Roman"/>
        <family val="1"/>
      </rPr>
      <t xml:space="preserve">          </t>
    </r>
    <r>
      <rPr>
        <sz val="11"/>
        <rFont val="Calibri"/>
        <family val="2"/>
        <scheme val="minor"/>
      </rPr>
      <t>D. Dromard, D. Seret : "Architecture des réseaux", Pearson Education, 2006.</t>
    </r>
  </si>
  <si>
    <r>
      <t>-</t>
    </r>
    <r>
      <rPr>
        <sz val="11"/>
        <rFont val="Times New Roman"/>
        <family val="1"/>
      </rPr>
      <t xml:space="preserve">          </t>
    </r>
    <r>
      <rPr>
        <sz val="11"/>
        <rFont val="Calibri"/>
        <family val="2"/>
        <scheme val="minor"/>
      </rPr>
      <t>Jean-Luc Montagnier, Réseaux d'entreprise par la pratique, Eyrolles, EAN13 : 9782212112580</t>
    </r>
  </si>
  <si>
    <r>
      <t>-</t>
    </r>
    <r>
      <rPr>
        <sz val="11"/>
        <rFont val="Times New Roman"/>
        <family val="1"/>
      </rPr>
      <t xml:space="preserve">          </t>
    </r>
    <r>
      <rPr>
        <sz val="11"/>
        <rFont val="Calibri"/>
        <family val="2"/>
        <scheme val="minor"/>
      </rPr>
      <t xml:space="preserve">A.Tanenbaum : "Computer Networks", 4th ed., Prentice-Hall, 2002 et "Réseaux", 4è ed, Pearson Education, 2003. </t>
    </r>
  </si>
  <si>
    <r>
      <t>-</t>
    </r>
    <r>
      <rPr>
        <sz val="11"/>
        <rFont val="Times New Roman"/>
        <family val="1"/>
      </rPr>
      <t xml:space="preserve">          </t>
    </r>
    <r>
      <rPr>
        <sz val="11"/>
        <rFont val="Calibri"/>
        <family val="2"/>
        <scheme val="minor"/>
      </rPr>
      <t>Sylvain Caicoya, Jean-Georges Saury : « TCP/IP - Le guide complet », Micro Application, EAN13 : 9782822401517</t>
    </r>
  </si>
  <si>
    <r>
      <t>-</t>
    </r>
    <r>
      <rPr>
        <sz val="11"/>
        <rFont val="Times New Roman"/>
        <family val="1"/>
      </rPr>
      <t xml:space="preserve">          </t>
    </r>
    <r>
      <rPr>
        <sz val="11"/>
        <rFont val="Calibri"/>
        <family val="2"/>
        <scheme val="minor"/>
      </rPr>
      <t>Eric Lalitte : « Apprenez le fonctionnement des réseaux TCP/IP »,  OpenClassrooms, EAN13 : 9791090085930</t>
    </r>
  </si>
  <si>
    <r>
      <t>-</t>
    </r>
    <r>
      <rPr>
        <sz val="11"/>
        <rFont val="Times New Roman"/>
        <family val="1"/>
      </rPr>
      <t xml:space="preserve">          </t>
    </r>
    <r>
      <rPr>
        <sz val="11"/>
        <rFont val="Calibri"/>
        <family val="2"/>
        <scheme val="minor"/>
      </rPr>
      <t>Laurent SCHALKWIJK, « CISCO - Routage et commutation 1er module de préparation à la certification CCNA 200-120 (Nouvelle édition) »</t>
    </r>
  </si>
  <si>
    <r>
      <rPr>
        <b/>
        <sz val="11"/>
        <rFont val="Calibri"/>
        <family val="2"/>
        <scheme val="minor"/>
      </rPr>
      <t xml:space="preserve">          -   TP d'initiation</t>
    </r>
    <r>
      <rPr>
        <sz val="11"/>
        <rFont val="Calibri"/>
        <family val="2"/>
        <scheme val="minor"/>
      </rPr>
      <t xml:space="preserve"> : Câblage, Normes de câblage, câble droit, câble croisé, manipulation des testeurs de câbles, fibre optique</t>
    </r>
  </si>
  <si>
    <t>Chiraz Elayed</t>
  </si>
  <si>
    <t>Walid Zaouali</t>
  </si>
  <si>
    <t>Enseignant</t>
  </si>
  <si>
    <t>ISET Kssar Hlel</t>
  </si>
  <si>
    <t>Conseillère 4c</t>
  </si>
  <si>
    <t xml:space="preserve">Développement durable </t>
  </si>
  <si>
    <t>tests de pénétration</t>
  </si>
  <si>
    <t xml:space="preserve">Déploiement de la solution </t>
  </si>
  <si>
    <t xml:space="preserve">développement de la stratégie relative à la qualité informatique </t>
  </si>
  <si>
    <t>Ce pack contient les sections suivantes :</t>
  </si>
  <si>
    <t>Matière fondamentale</t>
  </si>
  <si>
    <t>Matière transversale</t>
  </si>
  <si>
    <t>Matière optionelle</t>
  </si>
  <si>
    <r>
      <rPr>
        <b/>
        <sz val="12"/>
        <color theme="1"/>
        <rFont val="Calibri"/>
        <family val="2"/>
        <scheme val="minor"/>
      </rPr>
      <t xml:space="preserve">Animation d’ateliers d’assistance entre le secteur privé TIC et les ISETs pour l’élaboration 
du nouveau plan d’études TIC des ISETs
</t>
    </r>
    <r>
      <rPr>
        <b/>
        <sz val="12"/>
        <color rgb="FF009999"/>
        <rFont val="Calibri"/>
        <family val="2"/>
        <scheme val="minor"/>
      </rPr>
      <t>Pack plan d'études parcours RSI</t>
    </r>
    <r>
      <rPr>
        <sz val="12"/>
        <color rgb="FF009999"/>
        <rFont val="Calibri"/>
        <family val="2"/>
        <scheme val="minor"/>
      </rPr>
      <t xml:space="preserve">
</t>
    </r>
    <r>
      <rPr>
        <sz val="12"/>
        <color theme="1"/>
        <rFont val="Calibri"/>
        <family val="2"/>
        <scheme val="minor"/>
      </rPr>
      <t xml:space="preserve">
</t>
    </r>
  </si>
  <si>
    <r>
      <rPr>
        <b/>
        <sz val="11"/>
        <rFont val="Calibri"/>
        <family val="2"/>
        <scheme val="minor"/>
      </rPr>
      <t xml:space="preserve">Contributeurs : </t>
    </r>
    <r>
      <rPr>
        <sz val="11"/>
        <rFont val="Calibri"/>
        <family val="2"/>
        <scheme val="minor"/>
      </rPr>
      <t>représente l'ensemble des intervenants qui ont contribué à l'élaboration des fiches matières</t>
    </r>
  </si>
  <si>
    <r>
      <rPr>
        <b/>
        <sz val="11"/>
        <rFont val="Calibri"/>
        <family val="2"/>
        <scheme val="minor"/>
      </rPr>
      <t>Métiers visés :</t>
    </r>
    <r>
      <rPr>
        <sz val="11"/>
        <rFont val="Calibri"/>
        <family val="2"/>
        <scheme val="minor"/>
      </rPr>
      <t xml:space="preserve"> représente les métiers auxquels les parcours prépare (couverture totale ou partielle)</t>
    </r>
  </si>
  <si>
    <r>
      <rPr>
        <b/>
        <sz val="11"/>
        <rFont val="Calibri"/>
        <family val="2"/>
        <scheme val="minor"/>
      </rPr>
      <t xml:space="preserve">Compétences adressées : </t>
    </r>
    <r>
      <rPr>
        <sz val="11"/>
        <rFont val="Calibri"/>
        <family val="2"/>
        <scheme val="minor"/>
      </rPr>
      <t>représente les compétences que le parcours couvre</t>
    </r>
  </si>
  <si>
    <r>
      <rPr>
        <b/>
        <sz val="11"/>
        <rFont val="Calibri"/>
        <family val="2"/>
        <scheme val="minor"/>
      </rPr>
      <t>Schéma d'enseignement :</t>
    </r>
    <r>
      <rPr>
        <sz val="11"/>
        <rFont val="Calibri"/>
        <family val="2"/>
        <scheme val="minor"/>
      </rPr>
      <t xml:space="preserve"> représente les matières du parcours, leur nature (fondamentale, transversale, optionelle) et le volume horaire pour les différents semestres</t>
    </r>
  </si>
  <si>
    <r>
      <rPr>
        <b/>
        <sz val="11"/>
        <rFont val="Calibri"/>
        <family val="2"/>
        <scheme val="minor"/>
      </rPr>
      <t xml:space="preserve">Cohérence : </t>
    </r>
    <r>
      <rPr>
        <sz val="11"/>
        <rFont val="Calibri"/>
        <family val="2"/>
        <scheme val="minor"/>
      </rPr>
      <t>représente les prérequis demandés par le parcours (par matière) et leur couverture (par le parcours lui meme ou par le tronc commun)</t>
    </r>
  </si>
  <si>
    <r>
      <rPr>
        <b/>
        <sz val="11"/>
        <rFont val="Calibri"/>
        <family val="2"/>
        <scheme val="minor"/>
      </rPr>
      <t>Matières optionnelles :</t>
    </r>
    <r>
      <rPr>
        <sz val="11"/>
        <rFont val="Calibri"/>
        <family val="2"/>
        <scheme val="minor"/>
      </rPr>
      <t xml:space="preserve"> représente les différentes matières optionnelles à sélectionner par l'ISET pour chaque semestre</t>
    </r>
  </si>
  <si>
    <r>
      <rPr>
        <b/>
        <sz val="11"/>
        <rFont val="Calibri"/>
        <family val="2"/>
        <scheme val="minor"/>
      </rPr>
      <t xml:space="preserve">Semestre : </t>
    </r>
    <r>
      <rPr>
        <sz val="11"/>
        <rFont val="Calibri"/>
        <family val="2"/>
        <scheme val="minor"/>
      </rPr>
      <t xml:space="preserve">regroupe les différentes matières pour chaque semestre </t>
    </r>
  </si>
  <si>
    <t>Safia Jallouli</t>
  </si>
  <si>
    <t>Business english</t>
  </si>
  <si>
    <t xml:space="preserve">Preparing TOEIC </t>
  </si>
  <si>
    <t>High tech english</t>
  </si>
  <si>
    <t>Preparing Toiec</t>
  </si>
  <si>
    <t>High Tech English</t>
  </si>
  <si>
    <t>DSI/MDW/RSI</t>
  </si>
  <si>
    <t>High Tech  English</t>
  </si>
  <si>
    <t>to improve students English communication skills in computing</t>
  </si>
  <si>
    <t>to understand English of Computing for study and work</t>
  </si>
  <si>
    <t>ICT-computers-network-web design</t>
  </si>
  <si>
    <t>Reading</t>
  </si>
  <si>
    <t>Listening</t>
  </si>
  <si>
    <t>Speaking and Writing</t>
  </si>
  <si>
    <t>Unit  1 : Toeic listening part 1 : Photographs
Focus: Using the photo to predict what you will hear
Unit 2: Listening test part 2: Questions-response
Focus: Thinking about the meaning of factual questions
Unit 3: Listening test part 3: Conversations
Focus: Skimming to predict the context before listening
Unit 4: Listening part 4: Talks
Focus: Skimming to predict the context before listening
Unit 5: Reading test part 5: Incomplete sentences 
Focus : Identifying the parts of speech+ Using your time wisely
Unit 6: Reading test Part 6: Text completion
Focus: Using context to choose the correct verb form and meaning
Unit 7: Reading Test part 7: Reading comprehension
Focus: Scanning the questions to decide which ones to answer first.
Unit 8: Listening test part1: Photographs
Focus: Listening for the correct verb
Unit 9: Listening test part 2: Question-response
Focus: Becoming familiar with different ways of answering direct questions.
Unit 10: Listening test part 3: Conversations
Focus: Be aware of same word distracters.</t>
  </si>
  <si>
    <t>Business English</t>
  </si>
  <si>
    <t>to be able to get a job</t>
  </si>
  <si>
    <t>to be able to find a job- to write a CV in English -  to write a covering letter in English- to prepare for a job interview</t>
  </si>
  <si>
    <t>graduation-job-CV-covering letter-Job interview</t>
  </si>
  <si>
    <t>preparation for TOEIC</t>
  </si>
  <si>
    <t>to be ready to take the toeic exam</t>
  </si>
  <si>
    <t>toeic- listening- reading-incomplete sentences</t>
  </si>
  <si>
    <t>Speaking + Writing</t>
  </si>
  <si>
    <t>Unit 11: Listening test part 4: Talks
Focus: Becoming familiar with different kinds of ‘what’ questions
Unit 12: Reading test part5: Incomplete sentences
Focus: Choosing gerunds and infinitives correctly + improving your knowledge of phrasal verbs.
Unit 13: Reading test part6: Text completion
Focus: Choosing the correct part of speech: adjectives and adverbs.
Unit 14: Reading test Part 7: Reading comprehension
Focus: Using context to answer vocabulary questions + using what you have learnt to help infer meaning.
Unit 15: Listening test part1: Photographs
Focus: Listening carefully to every detail.
Unit 16: Listening part 2: Questions response.
Focus: Becoming familiar with time and location structures.
Unit 17: Listening test part 3: Conversations
Focus: Using vocabulary clues to infer meaning
Unit 18: Listening test part4: Talks
Focus: Becoming familiar with re-statements+ being aware of questions involving numbers and quantities.
Unit 19: Reading Test part 5: Incomplete sentences 
Focus: Improving your knowledge of suffixes and prefixes
Unit 20: Reading test part 6: Text completion
Focus: Using clues in the question to help you choose the correct verb form: future perfect
Unit 21: Reading test Part 6: Reading comprehension
Focus: Learning how to answer ‘NOT’ questions, and questions with names, numbers, dates or times.
Unit 22: Listening test part 1: Photographs
Focus: Listening for the correct prepositions +being aware of similar sounding words.
Unit 23: Listening Test part 3: Question-response
Focus: Becoming familiar with language used in offers, requests and opinions.
Unit 24: Listening Part 3: Conversations
Focus: Becoming familiar with polite ways of saying ‘no’ + listening carefully to the first exchange
Unit 25: Listening Test Part 4: Talks
Focus: Becoming familiar with re-statements involving ‘how’ and ‘why’ questions.
Unit 26: Reading test part 5: Incomplete sentences
Focus: Improving your knowledge of pronouns.
Unit 27: Reading Part 6: Text completion 
Focus: Choosing the correct word prepositions and conjunctions
Unit 28: Reading Test Part 7: Reading comprehension
Focus: Learning how to answer questions dealing with charts, tables, forms and double passages.</t>
  </si>
  <si>
    <t>labo</t>
  </si>
  <si>
    <t>Volume horaire semestriel</t>
  </si>
  <si>
    <t>Crédits</t>
  </si>
  <si>
    <t>Coefficients</t>
  </si>
  <si>
    <t xml:space="preserve">Régime d'Examen </t>
  </si>
  <si>
    <t>Volume</t>
  </si>
  <si>
    <t>ECUE</t>
  </si>
  <si>
    <t>UE</t>
  </si>
  <si>
    <t>Contrôle</t>
  </si>
  <si>
    <t>Global</t>
  </si>
  <si>
    <t>Cours</t>
  </si>
  <si>
    <t>TD</t>
  </si>
  <si>
    <t>le cas échéant</t>
  </si>
  <si>
    <t>Continu</t>
  </si>
  <si>
    <t>*</t>
  </si>
  <si>
    <t>Volume horaire par semaine S3</t>
  </si>
  <si>
    <t>Volume horaire par semaine S4</t>
  </si>
  <si>
    <t>Volume horaire par semaine S5</t>
  </si>
  <si>
    <t>Schéma d'enseignement</t>
  </si>
  <si>
    <t>Shéma d'enseignement</t>
  </si>
  <si>
    <t xml:space="preserve">La Commission Nationale Sectorielle des Études Technologiques </t>
  </si>
  <si>
    <t>Contrôle Continu</t>
  </si>
  <si>
    <t>%Charge Totale</t>
  </si>
  <si>
    <t>%Charge par semaine</t>
  </si>
  <si>
    <t xml:space="preserve">Réseaux locaux d'entreprises </t>
  </si>
  <si>
    <t>Réseaux locaux d’Entreprise</t>
  </si>
  <si>
    <t>Unité Fondamentale</t>
  </si>
  <si>
    <t>Administration base de données</t>
  </si>
  <si>
    <t>Atelier Administration base de données</t>
  </si>
  <si>
    <t>to develop independent study and exam skills; to improve their English level and confidence with using English</t>
  </si>
  <si>
    <t>Préparing Toeic</t>
  </si>
  <si>
    <t xml:space="preserve">Techniques de Recherche d'Emploi  et marketing de soi </t>
  </si>
  <si>
    <t>Version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</si>
</sst>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mmm\-yyyy"/>
  </numFmts>
  <fonts count="8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name val="Calibri"/>
      <family val="2"/>
      <scheme val="minor"/>
    </font>
    <font>
      <sz val="11"/>
      <name val="Calibri"/>
      <family val="2"/>
      <scheme val="minor"/>
    </font>
    <font>
      <b/>
      <sz val="11"/>
      <name val="Calibri"/>
      <family val="2"/>
      <scheme val="minor"/>
    </font>
    <font>
      <b/>
      <sz val="12"/>
      <color theme="0"/>
      <name val="Calibri"/>
      <family val="2"/>
      <scheme val="minor"/>
    </font>
    <font>
      <b/>
      <sz val="11"/>
      <color rgb="FFFF0000"/>
      <name val="Calibri"/>
      <family val="2"/>
      <scheme val="minor"/>
    </font>
    <font>
      <b/>
      <sz val="12"/>
      <name val="Calibri"/>
      <family val="2"/>
      <scheme val="minor"/>
    </font>
    <font>
      <i/>
      <sz val="11"/>
      <color theme="1"/>
      <name val="Calibri"/>
      <family val="2"/>
      <scheme val="minor"/>
    </font>
    <font>
      <b/>
      <sz val="12"/>
      <color rgb="FFFFFFFF"/>
      <name val="Calibri"/>
      <family val="2"/>
      <scheme val="minor"/>
    </font>
    <font>
      <sz val="12"/>
      <color rgb="FF008080"/>
      <name val="Calibri"/>
      <family val="2"/>
      <scheme val="minor"/>
    </font>
    <font>
      <b/>
      <sz val="12"/>
      <color rgb="FF008080"/>
      <name val="Calibri"/>
      <family val="2"/>
      <scheme val="minor"/>
    </font>
    <font>
      <b/>
      <sz val="11"/>
      <color rgb="FF0000FF"/>
      <name val="Calibri"/>
      <family val="2"/>
      <scheme val="minor"/>
    </font>
    <font>
      <sz val="12"/>
      <color rgb="FFFF0000"/>
      <name val="Calibri"/>
      <family val="2"/>
      <scheme val="minor"/>
    </font>
    <font>
      <sz val="11"/>
      <color theme="1"/>
      <name val="Times New Roman"/>
      <family val="1"/>
    </font>
    <font>
      <sz val="7"/>
      <color theme="1"/>
      <name val="Times New Roman"/>
      <family val="1"/>
    </font>
    <font>
      <sz val="11"/>
      <color theme="1"/>
      <name val="Calibri"/>
      <family val="2"/>
    </font>
    <font>
      <sz val="11"/>
      <color rgb="FF000000"/>
      <name val="Times New Roman"/>
      <family val="1"/>
    </font>
    <font>
      <sz val="7"/>
      <color rgb="FF000000"/>
      <name val="Times New Roman"/>
      <family val="1"/>
    </font>
    <font>
      <sz val="11"/>
      <color rgb="FF000000"/>
      <name val="Calibri"/>
      <family val="2"/>
      <scheme val="minor"/>
    </font>
    <font>
      <u/>
      <sz val="11"/>
      <color theme="10"/>
      <name val="Calibri"/>
      <family val="2"/>
      <scheme val="minor"/>
    </font>
    <font>
      <sz val="11"/>
      <color rgb="FF000000"/>
      <name val="Calibri"/>
      <family val="2"/>
    </font>
    <font>
      <b/>
      <sz val="11"/>
      <color rgb="FF4472C4"/>
      <name val="Calibri"/>
      <family val="2"/>
      <scheme val="minor"/>
    </font>
    <font>
      <b/>
      <sz val="10"/>
      <color rgb="FF0000FF"/>
      <name val="Calibri"/>
      <family val="2"/>
      <scheme val="minor"/>
    </font>
    <font>
      <b/>
      <sz val="13"/>
      <color theme="1"/>
      <name val="Calibri"/>
      <family val="2"/>
      <scheme val="minor"/>
    </font>
    <font>
      <b/>
      <sz val="9"/>
      <color rgb="FF0000FF"/>
      <name val="Calibri"/>
      <family val="2"/>
      <scheme val="minor"/>
    </font>
    <font>
      <b/>
      <sz val="13"/>
      <color rgb="FF0000FF"/>
      <name val="Calibri"/>
      <family val="2"/>
      <scheme val="minor"/>
    </font>
    <font>
      <b/>
      <sz val="10"/>
      <color rgb="FF0070C0"/>
      <name val="Calibri"/>
      <family val="2"/>
      <scheme val="minor"/>
    </font>
    <font>
      <b/>
      <sz val="10"/>
      <color rgb="FFFF0000"/>
      <name val="Calibri"/>
      <family val="2"/>
      <scheme val="minor"/>
    </font>
    <font>
      <sz val="10"/>
      <color theme="1"/>
      <name val="Calibri"/>
      <family val="2"/>
      <scheme val="minor"/>
    </font>
    <font>
      <b/>
      <sz val="10"/>
      <color rgb="FF4472C4"/>
      <name val="Calibri"/>
      <family val="2"/>
      <scheme val="minor"/>
    </font>
    <font>
      <sz val="10"/>
      <name val="Calibri"/>
      <family val="2"/>
      <scheme val="minor"/>
    </font>
    <font>
      <b/>
      <sz val="10"/>
      <name val="Calibri"/>
      <family val="2"/>
      <scheme val="minor"/>
    </font>
    <font>
      <sz val="11"/>
      <name val="Times New Roman"/>
      <family val="1"/>
    </font>
    <font>
      <sz val="7"/>
      <name val="Times New Roman"/>
      <family val="1"/>
    </font>
    <font>
      <sz val="11"/>
      <name val="Calibri"/>
      <family val="2"/>
    </font>
    <font>
      <sz val="12"/>
      <name val="Times New Roman"/>
      <family val="1"/>
    </font>
    <font>
      <sz val="12"/>
      <name val="Calibri"/>
      <family val="2"/>
    </font>
    <font>
      <b/>
      <sz val="11"/>
      <name val="Calibri"/>
      <family val="2"/>
    </font>
    <font>
      <sz val="12"/>
      <name val="Arial"/>
      <family val="2"/>
    </font>
    <font>
      <sz val="11"/>
      <name val="Arial"/>
      <family val="2"/>
    </font>
    <font>
      <sz val="10"/>
      <name val="Arial"/>
      <family val="2"/>
    </font>
    <font>
      <b/>
      <sz val="12"/>
      <color theme="1"/>
      <name val="Calibri"/>
      <family val="2"/>
      <scheme val="minor"/>
    </font>
    <font>
      <sz val="12"/>
      <color rgb="FF00B050"/>
      <name val="Calibri"/>
      <family val="2"/>
      <scheme val="minor"/>
    </font>
    <font>
      <b/>
      <sz val="12"/>
      <name val="Calibri"/>
      <family val="2"/>
    </font>
    <font>
      <sz val="14"/>
      <name val="Calibri"/>
      <family val="2"/>
      <scheme val="minor"/>
    </font>
    <font>
      <sz val="10"/>
      <name val="Calibri"/>
      <family val="2"/>
    </font>
    <font>
      <b/>
      <sz val="10"/>
      <name val="Calibri"/>
      <family val="2"/>
    </font>
    <font>
      <sz val="11"/>
      <name val="Wingdings"/>
      <charset val="2"/>
    </font>
    <font>
      <u/>
      <sz val="11"/>
      <name val="Calibri"/>
      <family val="2"/>
      <scheme val="minor"/>
    </font>
    <font>
      <b/>
      <i/>
      <sz val="11"/>
      <name val="Calibri"/>
      <family val="2"/>
    </font>
    <font>
      <b/>
      <i/>
      <sz val="11"/>
      <name val="Calibri"/>
      <family val="2"/>
      <scheme val="minor"/>
    </font>
    <font>
      <sz val="7"/>
      <name val="Calibri"/>
      <family val="2"/>
      <scheme val="minor"/>
    </font>
    <font>
      <sz val="13"/>
      <name val="Calibri"/>
      <family val="2"/>
      <scheme val="minor"/>
    </font>
    <font>
      <b/>
      <sz val="13"/>
      <name val="Calibri"/>
      <family val="2"/>
      <scheme val="minor"/>
    </font>
    <font>
      <sz val="10"/>
      <name val="Times New Roman"/>
      <family val="1"/>
    </font>
    <font>
      <sz val="13"/>
      <name val="Times New Roman"/>
      <family val="1"/>
    </font>
    <font>
      <sz val="11"/>
      <name val="Symbol"/>
      <family val="1"/>
      <charset val="2"/>
    </font>
    <font>
      <sz val="12"/>
      <name val="Symbol"/>
      <family val="1"/>
      <charset val="2"/>
    </font>
    <font>
      <u/>
      <sz val="12"/>
      <name val="Calibri"/>
      <family val="2"/>
      <scheme val="minor"/>
    </font>
    <font>
      <sz val="10"/>
      <name val="Symbol"/>
      <family val="1"/>
      <charset val="2"/>
    </font>
    <font>
      <i/>
      <sz val="10"/>
      <name val="Calibri"/>
      <family val="2"/>
      <scheme val="minor"/>
    </font>
    <font>
      <sz val="10"/>
      <name val="Calibri"/>
      <family val="1"/>
      <scheme val="minor"/>
    </font>
    <font>
      <sz val="11"/>
      <name val="Courier New"/>
      <family val="3"/>
    </font>
    <font>
      <sz val="12"/>
      <name val="Wingdings"/>
      <charset val="2"/>
    </font>
    <font>
      <sz val="10"/>
      <name val="Wingdings"/>
      <charset val="2"/>
    </font>
    <font>
      <sz val="10"/>
      <name val="Courier New"/>
      <family val="3"/>
    </font>
    <font>
      <sz val="11"/>
      <color rgb="FF000000"/>
      <name val="Calibri"/>
      <family val="2"/>
      <charset val="1"/>
    </font>
    <font>
      <sz val="12"/>
      <color rgb="FF000000"/>
      <name val="Calibri"/>
      <family val="2"/>
      <charset val="1"/>
    </font>
    <font>
      <b/>
      <sz val="12"/>
      <color rgb="FFFFFFFF"/>
      <name val="Calibri"/>
      <family val="2"/>
      <charset val="1"/>
    </font>
    <font>
      <b/>
      <sz val="11"/>
      <color rgb="FFFFFFFF"/>
      <name val="Calibri"/>
      <family val="2"/>
      <scheme val="minor"/>
    </font>
    <font>
      <sz val="11"/>
      <color rgb="FF008080"/>
      <name val="Calibri"/>
      <family val="2"/>
      <scheme val="minor"/>
    </font>
    <font>
      <b/>
      <sz val="11"/>
      <color rgb="FF008080"/>
      <name val="Calibri"/>
      <family val="2"/>
      <scheme val="minor"/>
    </font>
    <font>
      <b/>
      <sz val="12"/>
      <color theme="3"/>
      <name val="Calibri"/>
      <family val="2"/>
      <scheme val="minor"/>
    </font>
    <font>
      <b/>
      <sz val="12"/>
      <color rgb="FF009999"/>
      <name val="Calibri"/>
      <family val="2"/>
      <scheme val="minor"/>
    </font>
    <font>
      <sz val="12"/>
      <color rgb="FF009999"/>
      <name val="Calibri"/>
      <family val="2"/>
      <scheme val="minor"/>
    </font>
    <font>
      <b/>
      <sz val="10"/>
      <color theme="0"/>
      <name val="Times New Roman"/>
      <family val="1"/>
    </font>
    <font>
      <b/>
      <sz val="11"/>
      <color theme="0"/>
      <name val="Times New Roman"/>
      <family val="1"/>
    </font>
    <font>
      <b/>
      <sz val="14"/>
      <color rgb="FFC00000"/>
      <name val="Calibri"/>
      <family val="2"/>
      <scheme val="minor"/>
    </font>
    <font>
      <sz val="14"/>
      <color rgb="FFC00000"/>
      <name val="Calibri"/>
      <family val="2"/>
      <scheme val="minor"/>
    </font>
    <font>
      <sz val="11"/>
      <color rgb="FFC00000"/>
      <name val="Calibri"/>
      <family val="2"/>
      <scheme val="minor"/>
    </font>
    <font>
      <b/>
      <sz val="12"/>
      <color rgb="FFC00000"/>
      <name val="Calibri"/>
      <family val="2"/>
      <scheme val="minor"/>
    </font>
  </fonts>
  <fills count="34">
    <fill>
      <patternFill patternType="none"/>
    </fill>
    <fill>
      <patternFill patternType="gray125"/>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8080"/>
        <bgColor indexed="64"/>
      </patternFill>
    </fill>
    <fill>
      <patternFill patternType="solid">
        <fgColor theme="7" tint="0.79998168889431442"/>
        <bgColor indexed="64"/>
      </patternFill>
    </fill>
    <fill>
      <patternFill patternType="solid">
        <fgColor theme="7"/>
        <bgColor indexed="64"/>
      </patternFill>
    </fill>
    <fill>
      <patternFill patternType="solid">
        <fgColor theme="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1"/>
        <bgColor indexed="64"/>
      </patternFill>
    </fill>
    <fill>
      <patternFill patternType="solid">
        <fgColor rgb="FFFF808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FFFF"/>
        <bgColor indexed="64"/>
      </patternFill>
    </fill>
    <fill>
      <patternFill patternType="solid">
        <fgColor rgb="FFF2F2F2"/>
        <bgColor indexed="64"/>
      </patternFill>
    </fill>
    <fill>
      <patternFill patternType="gray125">
        <fgColor rgb="FFFFFF00"/>
        <bgColor rgb="FFFFFFF7"/>
      </patternFill>
    </fill>
    <fill>
      <patternFill patternType="solid">
        <fgColor rgb="FFFFFFFF"/>
        <bgColor rgb="FFF2F2F2"/>
      </patternFill>
    </fill>
    <fill>
      <patternFill patternType="solid">
        <fgColor rgb="FF008080"/>
        <bgColor rgb="FF008080"/>
      </patternFill>
    </fill>
    <fill>
      <patternFill patternType="solid">
        <fgColor rgb="FFF2F2F2"/>
        <bgColor rgb="FFFFFFFF"/>
      </patternFill>
    </fill>
    <fill>
      <patternFill patternType="solid">
        <fgColor theme="0"/>
        <bgColor rgb="FFF2F2F2"/>
      </patternFill>
    </fill>
    <fill>
      <patternFill patternType="solid">
        <fgColor rgb="FF339933"/>
        <bgColor indexed="64"/>
      </patternFill>
    </fill>
    <fill>
      <patternFill patternType="solid">
        <fgColor theme="3"/>
        <bgColor indexed="64"/>
      </patternFill>
    </fill>
    <fill>
      <patternFill patternType="solid">
        <fgColor theme="5"/>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rgb="FF000000"/>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rgb="FF000000"/>
      </right>
      <top/>
      <bottom/>
      <diagonal/>
    </border>
    <border>
      <left/>
      <right style="medium">
        <color rgb="FF000000"/>
      </right>
      <top/>
      <bottom style="medium">
        <color indexed="64"/>
      </bottom>
      <diagonal/>
    </border>
    <border>
      <left/>
      <right style="medium">
        <color rgb="FF000000"/>
      </right>
      <top style="medium">
        <color indexed="64"/>
      </top>
      <bottom/>
      <diagonal/>
    </border>
    <border>
      <left/>
      <right style="medium">
        <color rgb="FF000000"/>
      </right>
      <top style="medium">
        <color indexed="64"/>
      </top>
      <bottom style="medium">
        <color indexed="64"/>
      </bottom>
      <diagonal/>
    </border>
    <border>
      <left/>
      <right/>
      <top/>
      <bottom style="medium">
        <color rgb="FF7F7F7F"/>
      </bottom>
      <diagonal/>
    </border>
    <border>
      <left/>
      <right style="medium">
        <color rgb="FF7F7F7F"/>
      </right>
      <top style="medium">
        <color indexed="64"/>
      </top>
      <bottom style="medium">
        <color indexed="64"/>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7F7F7F"/>
      </left>
      <right/>
      <top/>
      <bottom style="medium">
        <color indexed="64"/>
      </bottom>
      <diagonal/>
    </border>
    <border>
      <left/>
      <right style="medium">
        <color rgb="FF7F7F7F"/>
      </right>
      <top/>
      <bottom style="medium">
        <color indexed="64"/>
      </bottom>
      <diagonal/>
    </border>
    <border>
      <left style="medium">
        <color rgb="FF7F7F7F"/>
      </left>
      <right/>
      <top style="medium">
        <color indexed="64"/>
      </top>
      <bottom style="medium">
        <color indexed="64"/>
      </bottom>
      <diagonal/>
    </border>
    <border>
      <left style="medium">
        <color rgb="FF7F7F7F"/>
      </left>
      <right style="medium">
        <color indexed="64"/>
      </right>
      <top/>
      <bottom style="medium">
        <color indexed="64"/>
      </bottom>
      <diagonal/>
    </border>
    <border>
      <left style="medium">
        <color rgb="FF7F7F7F"/>
      </left>
      <right/>
      <top/>
      <bottom style="medium">
        <color rgb="FF7F7F7F"/>
      </bottom>
      <diagonal/>
    </border>
    <border>
      <left/>
      <right style="medium">
        <color rgb="FF7F7F7F"/>
      </right>
      <top/>
      <bottom style="medium">
        <color rgb="FF7F7F7F"/>
      </bottom>
      <diagonal/>
    </border>
    <border>
      <left style="medium">
        <color indexed="64"/>
      </left>
      <right/>
      <top style="medium">
        <color rgb="FF7F7F7F"/>
      </top>
      <bottom style="medium">
        <color indexed="64"/>
      </bottom>
      <diagonal/>
    </border>
    <border>
      <left/>
      <right/>
      <top style="medium">
        <color rgb="FF7F7F7F"/>
      </top>
      <bottom style="medium">
        <color indexed="64"/>
      </bottom>
      <diagonal/>
    </border>
    <border>
      <left/>
      <right style="medium">
        <color rgb="FF000000"/>
      </right>
      <top style="medium">
        <color rgb="FF7F7F7F"/>
      </top>
      <bottom style="medium">
        <color indexed="64"/>
      </bottom>
      <diagonal/>
    </border>
    <border>
      <left/>
      <right style="medium">
        <color rgb="FF7F7F7F"/>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right style="medium">
        <color indexed="64"/>
      </right>
      <top/>
      <bottom/>
      <diagonal/>
    </border>
  </borders>
  <cellStyleXfs count="11">
    <xf numFmtId="0" fontId="0" fillId="0" borderId="0"/>
    <xf numFmtId="0" fontId="4"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24" fillId="0" borderId="0" applyNumberFormat="0" applyFill="0" applyBorder="0" applyAlignment="0" applyProtection="0"/>
    <xf numFmtId="0" fontId="71" fillId="0" borderId="0"/>
    <xf numFmtId="0" fontId="4" fillId="33" borderId="0" applyNumberFormat="0" applyBorder="0" applyAlignment="0" applyProtection="0"/>
  </cellStyleXfs>
  <cellXfs count="1044">
    <xf numFmtId="0" fontId="0" fillId="0" borderId="0" xfId="0"/>
    <xf numFmtId="0" fontId="0" fillId="9" borderId="0" xfId="0" applyFill="1"/>
    <xf numFmtId="0" fontId="0" fillId="9" borderId="1" xfId="0" applyFill="1" applyBorder="1"/>
    <xf numFmtId="0" fontId="2" fillId="12" borderId="1" xfId="0" applyFont="1" applyFill="1" applyBorder="1" applyAlignment="1">
      <alignment horizontal="center"/>
    </xf>
    <xf numFmtId="0" fontId="6" fillId="9" borderId="1" xfId="0" applyFont="1" applyFill="1" applyBorder="1" applyAlignment="1">
      <alignment vertical="center"/>
    </xf>
    <xf numFmtId="0" fontId="6" fillId="0" borderId="1" xfId="0" applyFont="1" applyBorder="1" applyAlignment="1">
      <alignment vertical="center" wrapText="1"/>
    </xf>
    <xf numFmtId="0" fontId="3" fillId="9" borderId="1" xfId="0" applyFont="1" applyFill="1" applyBorder="1" applyAlignment="1">
      <alignment horizontal="center"/>
    </xf>
    <xf numFmtId="0" fontId="7" fillId="9" borderId="1" xfId="0" applyFont="1" applyFill="1" applyBorder="1" applyAlignment="1">
      <alignment horizontal="center"/>
    </xf>
    <xf numFmtId="0" fontId="7" fillId="9" borderId="1" xfId="0" applyFont="1" applyFill="1" applyBorder="1"/>
    <xf numFmtId="0" fontId="8" fillId="16" borderId="2" xfId="0" applyFont="1" applyFill="1" applyBorder="1" applyAlignment="1">
      <alignment horizontal="centerContinuous" vertical="center"/>
    </xf>
    <xf numFmtId="0" fontId="2" fillId="15" borderId="1" xfId="0" applyFont="1" applyFill="1" applyBorder="1" applyAlignment="1">
      <alignment horizontal="centerContinuous" vertical="center"/>
    </xf>
    <xf numFmtId="0" fontId="7" fillId="0" borderId="4" xfId="2" applyFont="1" applyFill="1" applyBorder="1" applyAlignment="1" applyProtection="1">
      <alignment horizontal="left" vertical="center" wrapText="1"/>
      <protection locked="0"/>
    </xf>
    <xf numFmtId="0" fontId="7" fillId="0" borderId="4" xfId="3" applyFont="1" applyFill="1" applyBorder="1" applyAlignment="1" applyProtection="1">
      <alignment horizontal="left" vertical="center" wrapText="1"/>
      <protection locked="0"/>
    </xf>
    <xf numFmtId="0" fontId="7" fillId="0" borderId="4" xfId="0" applyFont="1" applyFill="1" applyBorder="1" applyAlignment="1" applyProtection="1">
      <alignment horizontal="left" vertical="center" wrapText="1"/>
      <protection locked="0"/>
    </xf>
    <xf numFmtId="0" fontId="7" fillId="0" borderId="4" xfId="4" applyFont="1" applyFill="1" applyBorder="1" applyAlignment="1" applyProtection="1">
      <alignment horizontal="left" vertical="center" wrapText="1"/>
      <protection locked="0"/>
    </xf>
    <xf numFmtId="0" fontId="7" fillId="0" borderId="4" xfId="7" applyFont="1" applyFill="1" applyBorder="1" applyAlignment="1" applyProtection="1">
      <alignment horizontal="left" vertical="center" wrapText="1"/>
      <protection locked="0"/>
    </xf>
    <xf numFmtId="0" fontId="7" fillId="9" borderId="4" xfId="0" applyFont="1" applyFill="1" applyBorder="1" applyAlignment="1">
      <alignment horizontal="left" vertical="center" wrapText="1"/>
    </xf>
    <xf numFmtId="0" fontId="3" fillId="9" borderId="1" xfId="0" applyFont="1" applyFill="1" applyBorder="1" applyAlignment="1">
      <alignment horizontal="center" vertical="center"/>
    </xf>
    <xf numFmtId="0" fontId="8" fillId="18" borderId="1" xfId="4" applyFont="1" applyFill="1" applyBorder="1" applyAlignment="1" applyProtection="1">
      <alignment horizontal="center" vertical="center" wrapText="1"/>
      <protection locked="0"/>
    </xf>
    <xf numFmtId="0" fontId="8" fillId="18" borderId="1" xfId="0" applyFont="1" applyFill="1" applyBorder="1" applyAlignment="1">
      <alignment horizontal="center"/>
    </xf>
    <xf numFmtId="0" fontId="2" fillId="14" borderId="1" xfId="0" applyFont="1" applyFill="1" applyBorder="1" applyAlignment="1" applyProtection="1">
      <alignment horizontal="center" vertical="center" wrapText="1"/>
      <protection locked="0"/>
    </xf>
    <xf numFmtId="1" fontId="2" fillId="20" borderId="1" xfId="0" applyNumberFormat="1" applyFont="1" applyFill="1" applyBorder="1" applyAlignment="1" applyProtection="1">
      <alignment horizontal="center"/>
      <protection locked="0"/>
    </xf>
    <xf numFmtId="0" fontId="2" fillId="20" borderId="11" xfId="0" applyFont="1" applyFill="1" applyBorder="1" applyAlignment="1" applyProtection="1">
      <alignment horizontal="center"/>
      <protection locked="0"/>
    </xf>
    <xf numFmtId="0" fontId="2" fillId="15" borderId="1" xfId="0" applyFont="1" applyFill="1" applyBorder="1" applyAlignment="1" applyProtection="1">
      <alignment horizontal="centerContinuous"/>
      <protection locked="0"/>
    </xf>
    <xf numFmtId="0" fontId="2" fillId="19" borderId="1" xfId="0" applyFont="1" applyFill="1" applyBorder="1" applyAlignment="1" applyProtection="1">
      <alignment horizontal="center" vertical="center" wrapText="1"/>
      <protection locked="0"/>
    </xf>
    <xf numFmtId="0" fontId="0" fillId="18" borderId="1" xfId="0" applyFill="1" applyBorder="1"/>
    <xf numFmtId="0" fontId="8" fillId="18" borderId="1" xfId="0" applyFont="1" applyFill="1" applyBorder="1" applyAlignment="1" applyProtection="1">
      <alignment horizontal="center" vertical="center"/>
      <protection locked="0"/>
    </xf>
    <xf numFmtId="0" fontId="8" fillId="18" borderId="1" xfId="0" applyFont="1" applyFill="1" applyBorder="1" applyAlignment="1" applyProtection="1">
      <alignment vertical="center" wrapText="1"/>
      <protection locked="0"/>
    </xf>
    <xf numFmtId="0" fontId="8" fillId="18" borderId="2" xfId="0" applyFont="1" applyFill="1" applyBorder="1" applyAlignment="1" applyProtection="1">
      <alignment horizontal="center" vertical="center"/>
      <protection locked="0"/>
    </xf>
    <xf numFmtId="1" fontId="8" fillId="18" borderId="1" xfId="0" applyNumberFormat="1" applyFont="1" applyFill="1" applyBorder="1" applyAlignment="1" applyProtection="1">
      <alignment horizontal="center" vertical="center"/>
      <protection locked="0"/>
    </xf>
    <xf numFmtId="1" fontId="8" fillId="18" borderId="2" xfId="0" applyNumberFormat="1" applyFont="1" applyFill="1" applyBorder="1" applyAlignment="1" applyProtection="1">
      <alignment horizontal="center" vertical="center" wrapText="1"/>
      <protection locked="0"/>
    </xf>
    <xf numFmtId="0" fontId="7" fillId="9" borderId="1" xfId="0" applyFont="1" applyFill="1" applyBorder="1" applyAlignment="1" applyProtection="1">
      <alignment vertical="center" wrapText="1"/>
    </xf>
    <xf numFmtId="0" fontId="7" fillId="9" borderId="13" xfId="0" applyFont="1" applyFill="1" applyBorder="1" applyAlignment="1" applyProtection="1">
      <alignment vertical="center"/>
      <protection locked="0"/>
    </xf>
    <xf numFmtId="0" fontId="7" fillId="9" borderId="15" xfId="0" applyFont="1" applyFill="1" applyBorder="1" applyAlignment="1" applyProtection="1">
      <alignment vertical="center"/>
      <protection locked="0"/>
    </xf>
    <xf numFmtId="0" fontId="7" fillId="9" borderId="1" xfId="0" applyFont="1" applyFill="1" applyBorder="1" applyAlignment="1" applyProtection="1">
      <alignment vertical="center"/>
      <protection locked="0"/>
    </xf>
    <xf numFmtId="0" fontId="7" fillId="9" borderId="16" xfId="0" applyFont="1" applyFill="1" applyBorder="1" applyAlignment="1" applyProtection="1">
      <alignment vertical="center" wrapText="1"/>
    </xf>
    <xf numFmtId="0" fontId="7" fillId="9" borderId="12" xfId="0" applyFont="1" applyFill="1" applyBorder="1" applyAlignment="1" applyProtection="1">
      <alignment vertical="center" wrapText="1"/>
    </xf>
    <xf numFmtId="0" fontId="7" fillId="9" borderId="0" xfId="0" applyFont="1" applyFill="1" applyAlignment="1" applyProtection="1">
      <alignment vertical="center"/>
    </xf>
    <xf numFmtId="0" fontId="7" fillId="9" borderId="17" xfId="0" applyFont="1" applyFill="1" applyBorder="1" applyAlignment="1" applyProtection="1">
      <alignment vertical="center" wrapText="1"/>
    </xf>
    <xf numFmtId="0" fontId="7" fillId="9" borderId="0" xfId="0" applyFont="1" applyFill="1" applyBorder="1" applyAlignment="1" applyProtection="1">
      <alignment vertical="center" wrapText="1"/>
    </xf>
    <xf numFmtId="0" fontId="7" fillId="9" borderId="13" xfId="0" applyFont="1" applyFill="1" applyBorder="1" applyAlignment="1" applyProtection="1">
      <alignment vertical="center" wrapText="1"/>
    </xf>
    <xf numFmtId="0" fontId="7" fillId="9" borderId="1" xfId="0" applyFont="1" applyFill="1" applyBorder="1" applyAlignment="1" applyProtection="1">
      <alignment vertical="center" wrapText="1"/>
      <protection locked="0"/>
    </xf>
    <xf numFmtId="0" fontId="2" fillId="16" borderId="3" xfId="0" applyFont="1" applyFill="1" applyBorder="1" applyAlignment="1">
      <alignment horizontal="centerContinuous" vertical="center"/>
    </xf>
    <xf numFmtId="0" fontId="3" fillId="21" borderId="1" xfId="0" applyFont="1" applyFill="1" applyBorder="1" applyAlignment="1">
      <alignment horizontal="center" vertical="center"/>
    </xf>
    <xf numFmtId="0" fontId="3" fillId="18" borderId="1" xfId="0" applyFont="1" applyFill="1" applyBorder="1" applyAlignment="1">
      <alignment horizontal="left" vertical="center"/>
    </xf>
    <xf numFmtId="0" fontId="6" fillId="9" borderId="1" xfId="0" applyFont="1" applyFill="1" applyBorder="1" applyAlignment="1">
      <alignment vertical="center" wrapText="1"/>
    </xf>
    <xf numFmtId="0" fontId="6" fillId="9" borderId="1" xfId="0" applyFont="1" applyFill="1" applyBorder="1" applyAlignment="1">
      <alignment horizontal="center" vertical="center"/>
    </xf>
    <xf numFmtId="0" fontId="8" fillId="16" borderId="1" xfId="0" applyFont="1" applyFill="1" applyBorder="1" applyAlignment="1">
      <alignment horizontal="centerContinuous"/>
    </xf>
    <xf numFmtId="0" fontId="9" fillId="19"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9" borderId="0" xfId="0" applyFont="1" applyFill="1"/>
    <xf numFmtId="0" fontId="3" fillId="18" borderId="1" xfId="0" applyFont="1" applyFill="1" applyBorder="1" applyAlignment="1">
      <alignment vertical="center"/>
    </xf>
    <xf numFmtId="0" fontId="8" fillId="18" borderId="4" xfId="0" applyFont="1" applyFill="1" applyBorder="1" applyAlignment="1" applyProtection="1">
      <alignment horizontal="centerContinuous" vertical="center" wrapText="1"/>
      <protection locked="0"/>
    </xf>
    <xf numFmtId="0" fontId="2" fillId="20" borderId="4" xfId="0" applyFont="1" applyFill="1" applyBorder="1" applyAlignment="1" applyProtection="1">
      <alignment horizontal="centerContinuous" vertical="center" wrapText="1"/>
    </xf>
    <xf numFmtId="0" fontId="0" fillId="20" borderId="1" xfId="0" applyFill="1" applyBorder="1"/>
    <xf numFmtId="0" fontId="3" fillId="16" borderId="13" xfId="0" applyFont="1" applyFill="1" applyBorder="1" applyAlignment="1">
      <alignment horizontal="left" vertical="center"/>
    </xf>
    <xf numFmtId="0" fontId="3" fillId="16" borderId="14" xfId="0" applyFont="1" applyFill="1" applyBorder="1" applyAlignment="1">
      <alignment horizontal="left" vertical="center"/>
    </xf>
    <xf numFmtId="0" fontId="3" fillId="16" borderId="15" xfId="0" applyFont="1" applyFill="1" applyBorder="1" applyAlignment="1">
      <alignment horizontal="left" vertical="center"/>
    </xf>
    <xf numFmtId="0" fontId="3" fillId="16" borderId="15" xfId="0" applyFont="1" applyFill="1" applyBorder="1" applyAlignment="1">
      <alignment horizontal="center" vertical="center"/>
    </xf>
    <xf numFmtId="0" fontId="7" fillId="10" borderId="5" xfId="0" applyFont="1" applyFill="1" applyBorder="1" applyAlignment="1" applyProtection="1">
      <alignment horizontal="center" vertical="center"/>
      <protection locked="0"/>
    </xf>
    <xf numFmtId="0" fontId="7" fillId="10" borderId="8" xfId="0" applyFont="1" applyFill="1" applyBorder="1" applyAlignment="1" applyProtection="1">
      <alignment horizontal="center" vertical="center"/>
      <protection locked="0"/>
    </xf>
    <xf numFmtId="0" fontId="7" fillId="10" borderId="6" xfId="0" applyFont="1" applyFill="1" applyBorder="1" applyAlignment="1" applyProtection="1">
      <alignment horizontal="center" vertical="center"/>
      <protection locked="0"/>
    </xf>
    <xf numFmtId="1" fontId="7" fillId="10" borderId="5" xfId="0" applyNumberFormat="1" applyFont="1" applyFill="1" applyBorder="1" applyAlignment="1" applyProtection="1">
      <alignment horizontal="center" vertical="center"/>
      <protection locked="0"/>
    </xf>
    <xf numFmtId="0" fontId="7" fillId="10" borderId="2" xfId="0" applyFont="1" applyFill="1" applyBorder="1" applyAlignment="1" applyProtection="1">
      <alignment horizontal="center" vertical="center"/>
    </xf>
    <xf numFmtId="1" fontId="7" fillId="10" borderId="2" xfId="0" applyNumberFormat="1" applyFont="1" applyFill="1" applyBorder="1" applyAlignment="1" applyProtection="1">
      <alignment horizontal="center" vertical="center" shrinkToFit="1"/>
    </xf>
    <xf numFmtId="1" fontId="7" fillId="10" borderId="7" xfId="0" applyNumberFormat="1" applyFont="1" applyFill="1" applyBorder="1" applyAlignment="1" applyProtection="1">
      <alignment horizontal="center" vertical="center"/>
      <protection locked="0"/>
    </xf>
    <xf numFmtId="0" fontId="7" fillId="10" borderId="9" xfId="0" applyFont="1" applyFill="1" applyBorder="1" applyAlignment="1" applyProtection="1">
      <alignment horizontal="center" vertical="center"/>
      <protection locked="0"/>
    </xf>
    <xf numFmtId="1" fontId="7" fillId="10" borderId="2" xfId="0" applyNumberFormat="1" applyFont="1" applyFill="1" applyBorder="1" applyAlignment="1" applyProtection="1">
      <alignment horizontal="center" vertical="center"/>
    </xf>
    <xf numFmtId="0" fontId="7" fillId="10" borderId="2" xfId="0" applyFont="1" applyFill="1" applyBorder="1" applyAlignment="1" applyProtection="1">
      <alignment horizontal="center" vertical="center"/>
      <protection locked="0"/>
    </xf>
    <xf numFmtId="0" fontId="15" fillId="25" borderId="25" xfId="0" applyFont="1" applyFill="1" applyBorder="1" applyAlignment="1">
      <alignment horizontal="center" vertical="center"/>
    </xf>
    <xf numFmtId="0" fontId="15" fillId="25" borderId="27" xfId="0" applyFont="1" applyFill="1" applyBorder="1" applyAlignment="1">
      <alignment horizontal="center" vertical="center"/>
    </xf>
    <xf numFmtId="0" fontId="0" fillId="24" borderId="27" xfId="0" applyFill="1" applyBorder="1" applyAlignment="1">
      <alignment horizontal="center" vertical="center"/>
    </xf>
    <xf numFmtId="0" fontId="3" fillId="16" borderId="1" xfId="0" applyFont="1" applyFill="1" applyBorder="1" applyAlignment="1">
      <alignment horizontal="center"/>
    </xf>
    <xf numFmtId="0" fontId="3" fillId="21" borderId="1" xfId="0" applyFont="1" applyFill="1" applyBorder="1" applyAlignment="1">
      <alignment horizontal="center" vertical="center"/>
    </xf>
    <xf numFmtId="0" fontId="0" fillId="9" borderId="0" xfId="0" applyFill="1" applyAlignment="1">
      <alignment vertical="center" wrapText="1"/>
    </xf>
    <xf numFmtId="0" fontId="0" fillId="9" borderId="0" xfId="0" applyFill="1" applyAlignment="1">
      <alignment vertical="center"/>
    </xf>
    <xf numFmtId="0" fontId="0" fillId="9" borderId="0" xfId="0" applyFont="1" applyFill="1"/>
    <xf numFmtId="0" fontId="14" fillId="24" borderId="0" xfId="0" applyFont="1" applyFill="1" applyAlignment="1">
      <alignment vertical="center"/>
    </xf>
    <xf numFmtId="0" fontId="0" fillId="0" borderId="0" xfId="0" applyAlignment="1">
      <alignment vertical="center" wrapText="1"/>
    </xf>
    <xf numFmtId="0" fontId="15" fillId="25" borderId="43" xfId="0" applyFont="1" applyFill="1" applyBorder="1" applyAlignment="1">
      <alignment horizontal="center" vertical="center"/>
    </xf>
    <xf numFmtId="0" fontId="15" fillId="25" borderId="41" xfId="0" applyFont="1" applyFill="1" applyBorder="1" applyAlignment="1">
      <alignment horizontal="center" vertical="center"/>
    </xf>
    <xf numFmtId="0" fontId="30" fillId="24" borderId="43" xfId="0" applyFont="1" applyFill="1" applyBorder="1" applyAlignment="1">
      <alignment horizontal="center" vertical="center" wrapText="1"/>
    </xf>
    <xf numFmtId="0" fontId="0" fillId="24" borderId="41" xfId="0" applyFill="1" applyBorder="1" applyAlignment="1">
      <alignment horizontal="center" vertical="center"/>
    </xf>
    <xf numFmtId="0" fontId="0" fillId="25" borderId="44" xfId="0" applyFill="1" applyBorder="1" applyAlignment="1">
      <alignment vertical="center" wrapText="1"/>
    </xf>
    <xf numFmtId="0" fontId="0" fillId="25" borderId="33" xfId="0" applyFill="1" applyBorder="1" applyAlignment="1">
      <alignment vertical="center" wrapText="1"/>
    </xf>
    <xf numFmtId="0" fontId="0" fillId="25" borderId="45" xfId="0" applyFill="1" applyBorder="1" applyAlignment="1">
      <alignment vertical="center" wrapText="1"/>
    </xf>
    <xf numFmtId="0" fontId="0" fillId="0" borderId="0" xfId="0" applyAlignment="1">
      <alignment vertical="center"/>
    </xf>
    <xf numFmtId="0" fontId="16" fillId="24" borderId="43" xfId="0" applyFont="1" applyFill="1" applyBorder="1" applyAlignment="1">
      <alignment horizontal="center" vertical="center" wrapText="1"/>
    </xf>
    <xf numFmtId="0" fontId="27" fillId="24" borderId="43" xfId="0" applyFont="1" applyFill="1" applyBorder="1" applyAlignment="1">
      <alignment horizontal="center" vertical="center" wrapText="1"/>
    </xf>
    <xf numFmtId="0" fontId="0" fillId="0" borderId="49" xfId="0" applyBorder="1"/>
    <xf numFmtId="0" fontId="33" fillId="25" borderId="44" xfId="0" applyFont="1" applyFill="1" applyBorder="1" applyAlignment="1">
      <alignment vertical="center" wrapText="1"/>
    </xf>
    <xf numFmtId="0" fontId="33" fillId="25" borderId="33" xfId="0" applyFont="1" applyFill="1" applyBorder="1" applyAlignment="1">
      <alignment vertical="center" wrapText="1"/>
    </xf>
    <xf numFmtId="0" fontId="0" fillId="0" borderId="45" xfId="0" applyBorder="1"/>
    <xf numFmtId="0" fontId="1" fillId="9" borderId="0" xfId="0" applyFont="1" applyFill="1" applyAlignment="1">
      <alignment vertical="center" wrapText="1"/>
    </xf>
    <xf numFmtId="0" fontId="14" fillId="9" borderId="0" xfId="0" applyFont="1" applyFill="1" applyAlignment="1">
      <alignment vertical="center"/>
    </xf>
    <xf numFmtId="0" fontId="33" fillId="25" borderId="45" xfId="0" applyFont="1" applyFill="1" applyBorder="1" applyAlignment="1">
      <alignment vertical="center" wrapText="1"/>
    </xf>
    <xf numFmtId="0" fontId="33" fillId="0" borderId="0" xfId="0" applyFont="1" applyAlignment="1">
      <alignment vertical="center" wrapText="1"/>
    </xf>
    <xf numFmtId="0" fontId="28" fillId="24" borderId="43" xfId="0" applyFont="1" applyFill="1" applyBorder="1" applyAlignment="1">
      <alignment horizontal="center" vertical="center" wrapText="1"/>
    </xf>
    <xf numFmtId="0" fontId="5" fillId="24" borderId="24" xfId="0" applyFont="1" applyFill="1" applyBorder="1" applyAlignment="1">
      <alignment vertical="center"/>
    </xf>
    <xf numFmtId="0" fontId="5" fillId="24" borderId="30" xfId="0" applyFont="1" applyFill="1" applyBorder="1" applyAlignment="1">
      <alignment vertical="center"/>
    </xf>
    <xf numFmtId="0" fontId="0" fillId="9" borderId="0" xfId="0" applyFill="1" applyAlignment="1">
      <alignment wrapText="1"/>
    </xf>
    <xf numFmtId="0" fontId="0" fillId="9" borderId="1" xfId="0" applyFont="1" applyFill="1" applyBorder="1" applyAlignment="1">
      <alignment horizontal="center" vertical="center"/>
    </xf>
    <xf numFmtId="0" fontId="0" fillId="9" borderId="1" xfId="0" applyFill="1" applyBorder="1" applyAlignment="1">
      <alignment horizontal="center" vertical="center"/>
    </xf>
    <xf numFmtId="0" fontId="3" fillId="11" borderId="1" xfId="0" applyFont="1" applyFill="1" applyBorder="1" applyAlignment="1">
      <alignment horizontal="center" vertical="center" wrapText="1"/>
    </xf>
    <xf numFmtId="0" fontId="3" fillId="11" borderId="1" xfId="0" applyFont="1" applyFill="1" applyBorder="1" applyAlignment="1">
      <alignment horizontal="center" vertical="center"/>
    </xf>
    <xf numFmtId="0" fontId="8" fillId="21" borderId="1" xfId="0" applyFont="1" applyFill="1" applyBorder="1" applyAlignment="1">
      <alignment vertical="center" wrapText="1"/>
    </xf>
    <xf numFmtId="0" fontId="7" fillId="9" borderId="0" xfId="0" applyFont="1" applyFill="1"/>
    <xf numFmtId="0" fontId="2" fillId="9" borderId="0" xfId="0" applyFont="1" applyFill="1" applyBorder="1" applyAlignment="1">
      <alignment horizontal="center"/>
    </xf>
    <xf numFmtId="0" fontId="0" fillId="9" borderId="0" xfId="0" applyFill="1" applyBorder="1"/>
    <xf numFmtId="0" fontId="8" fillId="9" borderId="0" xfId="0" applyFont="1" applyFill="1" applyBorder="1" applyAlignment="1">
      <alignment horizontal="centerContinuous"/>
    </xf>
    <xf numFmtId="0" fontId="0" fillId="16" borderId="1" xfId="0" applyFill="1" applyBorder="1" applyAlignment="1">
      <alignment horizontal="centerContinuous"/>
    </xf>
    <xf numFmtId="0" fontId="8" fillId="9" borderId="0" xfId="0" applyFont="1" applyFill="1"/>
    <xf numFmtId="0" fontId="11" fillId="11" borderId="1" xfId="0" applyFont="1" applyFill="1" applyBorder="1" applyAlignment="1">
      <alignment horizontal="centerContinuous" vertical="center" wrapText="1"/>
    </xf>
    <xf numFmtId="0" fontId="3" fillId="17"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8" fillId="13" borderId="1" xfId="0" applyFont="1" applyFill="1" applyBorder="1" applyAlignment="1">
      <alignment horizontal="center" vertical="center" wrapText="1"/>
    </xf>
    <xf numFmtId="0" fontId="7" fillId="11" borderId="1" xfId="0" applyFont="1" applyFill="1" applyBorder="1" applyAlignment="1" applyProtection="1">
      <alignment horizontal="center" vertical="center" textRotation="90" wrapText="1"/>
    </xf>
    <xf numFmtId="0" fontId="7" fillId="13" borderId="1" xfId="0" applyFont="1" applyFill="1" applyBorder="1" applyAlignment="1">
      <alignment horizontal="center" vertical="center" textRotation="90" wrapText="1"/>
    </xf>
    <xf numFmtId="0" fontId="7" fillId="17" borderId="1" xfId="0" applyFont="1" applyFill="1" applyBorder="1" applyAlignment="1">
      <alignment horizontal="center" vertical="center" textRotation="90" wrapText="1"/>
    </xf>
    <xf numFmtId="0" fontId="7" fillId="24" borderId="25" xfId="0" applyFont="1" applyFill="1" applyBorder="1" applyAlignment="1">
      <alignment horizontal="center" vertical="center" wrapText="1"/>
    </xf>
    <xf numFmtId="0" fontId="7" fillId="24" borderId="27" xfId="0" applyFont="1" applyFill="1" applyBorder="1" applyAlignment="1">
      <alignment horizontal="center" vertical="center"/>
    </xf>
    <xf numFmtId="0" fontId="7" fillId="24" borderId="22" xfId="0" applyFont="1" applyFill="1" applyBorder="1" applyAlignment="1">
      <alignment vertical="center"/>
    </xf>
    <xf numFmtId="0" fontId="7" fillId="24" borderId="21" xfId="0" applyFont="1" applyFill="1" applyBorder="1" applyAlignment="1">
      <alignment vertical="center"/>
    </xf>
    <xf numFmtId="0" fontId="7" fillId="24" borderId="32" xfId="0" applyFont="1" applyFill="1" applyBorder="1" applyAlignment="1">
      <alignment vertical="center"/>
    </xf>
    <xf numFmtId="0" fontId="7" fillId="26" borderId="26" xfId="0" applyFont="1" applyFill="1" applyBorder="1" applyAlignment="1">
      <alignment vertical="center"/>
    </xf>
    <xf numFmtId="0" fontId="7" fillId="26" borderId="24" xfId="0" applyFont="1" applyFill="1" applyBorder="1" applyAlignment="1">
      <alignment vertical="center"/>
    </xf>
    <xf numFmtId="0" fontId="7" fillId="26" borderId="30" xfId="0" applyFont="1" applyFill="1" applyBorder="1" applyAlignment="1">
      <alignment vertical="center"/>
    </xf>
    <xf numFmtId="0" fontId="8" fillId="24" borderId="38" xfId="0" applyFont="1" applyFill="1" applyBorder="1" applyAlignment="1">
      <alignment horizontal="center" vertical="center" wrapText="1"/>
    </xf>
    <xf numFmtId="0" fontId="7" fillId="24" borderId="39" xfId="0" applyFont="1" applyFill="1" applyBorder="1" applyAlignment="1">
      <alignment horizontal="center" vertical="center"/>
    </xf>
    <xf numFmtId="0" fontId="7" fillId="26" borderId="22" xfId="0" applyFont="1" applyFill="1" applyBorder="1" applyAlignment="1">
      <alignment vertical="center"/>
    </xf>
    <xf numFmtId="0" fontId="7" fillId="26" borderId="21" xfId="0" applyFont="1" applyFill="1" applyBorder="1" applyAlignment="1">
      <alignment vertical="center" wrapText="1"/>
    </xf>
    <xf numFmtId="0" fontId="7" fillId="26" borderId="32" xfId="0" applyFont="1" applyFill="1" applyBorder="1" applyAlignment="1">
      <alignment vertical="center" wrapText="1"/>
    </xf>
    <xf numFmtId="0" fontId="39" fillId="24" borderId="1" xfId="0" applyFont="1" applyFill="1" applyBorder="1" applyAlignment="1">
      <alignment vertical="center"/>
    </xf>
    <xf numFmtId="0" fontId="8" fillId="9" borderId="0" xfId="0" applyFont="1" applyFill="1" applyBorder="1" applyAlignment="1" applyProtection="1">
      <alignment vertical="center"/>
    </xf>
    <xf numFmtId="0" fontId="5" fillId="9" borderId="0" xfId="0" applyFont="1" applyFill="1"/>
    <xf numFmtId="0" fontId="9" fillId="12" borderId="0" xfId="0" applyFont="1" applyFill="1" applyAlignment="1">
      <alignment horizontal="centerContinuous" vertical="center"/>
    </xf>
    <xf numFmtId="0" fontId="5" fillId="12" borderId="0" xfId="0" applyFont="1" applyFill="1" applyAlignment="1">
      <alignment horizontal="centerContinuous"/>
    </xf>
    <xf numFmtId="0" fontId="5" fillId="9" borderId="0" xfId="0" applyFont="1" applyFill="1" applyAlignment="1">
      <alignment horizontal="centerContinuous"/>
    </xf>
    <xf numFmtId="0" fontId="5" fillId="9" borderId="0" xfId="0" applyFont="1" applyFill="1" applyAlignment="1">
      <alignment vertical="top"/>
    </xf>
    <xf numFmtId="0" fontId="46" fillId="10" borderId="2" xfId="0" applyFont="1" applyFill="1" applyBorder="1" applyAlignment="1">
      <alignment vertical="top"/>
    </xf>
    <xf numFmtId="0" fontId="6" fillId="9" borderId="0" xfId="0" applyFont="1" applyFill="1" applyBorder="1" applyAlignment="1">
      <alignment horizontal="center" vertical="top"/>
    </xf>
    <xf numFmtId="0" fontId="46" fillId="10" borderId="2" xfId="0" applyFont="1" applyFill="1" applyBorder="1" applyAlignment="1">
      <alignment vertical="top" wrapText="1"/>
    </xf>
    <xf numFmtId="0" fontId="6" fillId="9" borderId="0" xfId="0" applyFont="1" applyFill="1" applyBorder="1" applyAlignment="1">
      <alignment horizontal="center" vertical="center"/>
    </xf>
    <xf numFmtId="0" fontId="46" fillId="9" borderId="0" xfId="0" applyFont="1" applyFill="1" applyBorder="1" applyAlignment="1">
      <alignment horizontal="center" vertical="top"/>
    </xf>
    <xf numFmtId="0" fontId="46" fillId="10" borderId="1" xfId="0" applyFont="1" applyFill="1" applyBorder="1" applyAlignment="1">
      <alignment horizontal="center" vertical="top"/>
    </xf>
    <xf numFmtId="0" fontId="6" fillId="9" borderId="1" xfId="0" applyFont="1" applyFill="1" applyBorder="1" applyAlignment="1">
      <alignment horizontal="center" vertical="center" wrapText="1"/>
    </xf>
    <xf numFmtId="0" fontId="6" fillId="9" borderId="0" xfId="0" applyFont="1" applyFill="1" applyBorder="1" applyAlignment="1">
      <alignment horizontal="center" vertical="center" wrapText="1"/>
    </xf>
    <xf numFmtId="0" fontId="46" fillId="9" borderId="0" xfId="0" applyFont="1" applyFill="1" applyBorder="1" applyAlignment="1">
      <alignment horizontal="left" vertical="top"/>
    </xf>
    <xf numFmtId="0" fontId="17" fillId="9" borderId="0" xfId="0" applyFont="1" applyFill="1" applyBorder="1" applyAlignment="1">
      <alignment horizontal="left" vertical="top"/>
    </xf>
    <xf numFmtId="0" fontId="6" fillId="9" borderId="0" xfId="0" applyFont="1" applyFill="1" applyBorder="1" applyAlignment="1">
      <alignment horizontal="left" vertical="top"/>
    </xf>
    <xf numFmtId="0" fontId="47" fillId="9" borderId="0" xfId="0" applyFont="1" applyFill="1" applyBorder="1" applyAlignment="1">
      <alignment horizontal="left" vertical="top"/>
    </xf>
    <xf numFmtId="0" fontId="5" fillId="9" borderId="0" xfId="0" applyFont="1" applyFill="1" applyBorder="1" applyAlignment="1">
      <alignment horizontal="left" vertical="top" wrapText="1"/>
    </xf>
    <xf numFmtId="0" fontId="5" fillId="9" borderId="0" xfId="0" applyFont="1" applyFill="1" applyBorder="1" applyAlignment="1">
      <alignment horizontal="left" vertical="top"/>
    </xf>
    <xf numFmtId="0" fontId="6" fillId="9" borderId="1" xfId="0" applyFont="1" applyFill="1" applyBorder="1" applyAlignment="1">
      <alignment vertical="top"/>
    </xf>
    <xf numFmtId="0" fontId="46" fillId="10" borderId="1" xfId="0" applyFont="1" applyFill="1" applyBorder="1" applyAlignment="1">
      <alignment vertical="top"/>
    </xf>
    <xf numFmtId="0" fontId="6" fillId="9" borderId="0" xfId="0" applyFont="1" applyFill="1" applyAlignment="1">
      <alignment vertical="top"/>
    </xf>
    <xf numFmtId="0" fontId="5" fillId="9" borderId="0" xfId="0" applyFont="1" applyFill="1" applyBorder="1" applyAlignment="1">
      <alignment horizontal="center" vertical="top"/>
    </xf>
    <xf numFmtId="0" fontId="17" fillId="9" borderId="1" xfId="0" applyFont="1" applyFill="1" applyBorder="1" applyAlignment="1">
      <alignment vertical="top"/>
    </xf>
    <xf numFmtId="0" fontId="5" fillId="9" borderId="1" xfId="0" applyFont="1" applyFill="1" applyBorder="1" applyAlignment="1">
      <alignment vertical="top"/>
    </xf>
    <xf numFmtId="0" fontId="5" fillId="9" borderId="0" xfId="0" applyFont="1" applyFill="1" applyAlignment="1">
      <alignment wrapText="1"/>
    </xf>
    <xf numFmtId="0" fontId="9" fillId="12" borderId="0" xfId="0" applyFont="1" applyFill="1" applyAlignment="1">
      <alignment horizontal="centerContinuous" vertical="center" wrapText="1"/>
    </xf>
    <xf numFmtId="0" fontId="5" fillId="12" borderId="0" xfId="0" applyFont="1" applyFill="1" applyAlignment="1">
      <alignment horizontal="centerContinuous" wrapText="1"/>
    </xf>
    <xf numFmtId="0" fontId="5" fillId="9" borderId="0" xfId="0" applyFont="1" applyFill="1" applyAlignment="1">
      <alignment horizontal="centerContinuous" wrapText="1"/>
    </xf>
    <xf numFmtId="0" fontId="5" fillId="9" borderId="0" xfId="0" applyFont="1" applyFill="1" applyAlignment="1">
      <alignment vertical="top" wrapText="1"/>
    </xf>
    <xf numFmtId="0" fontId="6" fillId="9" borderId="0" xfId="0" applyFont="1" applyFill="1" applyBorder="1" applyAlignment="1">
      <alignment horizontal="center" vertical="top" wrapText="1"/>
    </xf>
    <xf numFmtId="0" fontId="46" fillId="9" borderId="0" xfId="0" applyFont="1" applyFill="1" applyBorder="1" applyAlignment="1">
      <alignment horizontal="center" vertical="top" wrapText="1"/>
    </xf>
    <xf numFmtId="0" fontId="46" fillId="10" borderId="1" xfId="0" applyFont="1" applyFill="1" applyBorder="1" applyAlignment="1">
      <alignment horizontal="center" vertical="top" wrapText="1"/>
    </xf>
    <xf numFmtId="0" fontId="46" fillId="9" borderId="0" xfId="0" applyFont="1" applyFill="1" applyBorder="1" applyAlignment="1">
      <alignment horizontal="left" vertical="top" wrapText="1"/>
    </xf>
    <xf numFmtId="0" fontId="17" fillId="9" borderId="0" xfId="0" applyFont="1" applyFill="1" applyBorder="1" applyAlignment="1">
      <alignment horizontal="left" vertical="top" wrapText="1"/>
    </xf>
    <xf numFmtId="0" fontId="6" fillId="9" borderId="0" xfId="0" applyFont="1" applyFill="1" applyBorder="1" applyAlignment="1">
      <alignment horizontal="left" vertical="top" wrapText="1"/>
    </xf>
    <xf numFmtId="0" fontId="6" fillId="9" borderId="2" xfId="0" applyFont="1" applyFill="1" applyBorder="1" applyAlignment="1">
      <alignment horizontal="left" vertical="top" wrapText="1"/>
    </xf>
    <xf numFmtId="0" fontId="17" fillId="9" borderId="3" xfId="0" applyFont="1" applyFill="1" applyBorder="1" applyAlignment="1">
      <alignment horizontal="left" vertical="top" wrapText="1"/>
    </xf>
    <xf numFmtId="0" fontId="17" fillId="9" borderId="4" xfId="0" applyFont="1" applyFill="1" applyBorder="1" applyAlignment="1">
      <alignment horizontal="left" vertical="top" wrapText="1"/>
    </xf>
    <xf numFmtId="0" fontId="47" fillId="9" borderId="0" xfId="0" applyFont="1" applyFill="1" applyBorder="1" applyAlignment="1">
      <alignment horizontal="left" vertical="top" wrapText="1"/>
    </xf>
    <xf numFmtId="0" fontId="6" fillId="9" borderId="1" xfId="0" applyFont="1" applyFill="1" applyBorder="1" applyAlignment="1">
      <alignment vertical="top" wrapText="1"/>
    </xf>
    <xf numFmtId="0" fontId="46" fillId="10" borderId="1" xfId="0" applyFont="1" applyFill="1" applyBorder="1" applyAlignment="1">
      <alignment vertical="top" wrapText="1"/>
    </xf>
    <xf numFmtId="0" fontId="5" fillId="9" borderId="0" xfId="0" applyFont="1" applyFill="1" applyBorder="1" applyAlignment="1">
      <alignment horizontal="center" vertical="top" wrapText="1"/>
    </xf>
    <xf numFmtId="0" fontId="46" fillId="10" borderId="2" xfId="0" applyFont="1" applyFill="1" applyBorder="1" applyAlignment="1">
      <alignment horizontal="left" vertical="top"/>
    </xf>
    <xf numFmtId="0" fontId="46" fillId="10" borderId="3" xfId="0" applyFont="1" applyFill="1" applyBorder="1" applyAlignment="1">
      <alignment horizontal="left" vertical="top"/>
    </xf>
    <xf numFmtId="0" fontId="46" fillId="10" borderId="4" xfId="0" applyFont="1" applyFill="1" applyBorder="1" applyAlignment="1">
      <alignment horizontal="left" vertical="top"/>
    </xf>
    <xf numFmtId="0" fontId="6" fillId="9" borderId="1" xfId="0" applyFont="1" applyFill="1" applyBorder="1" applyAlignment="1">
      <alignment horizontal="left" vertical="top"/>
    </xf>
    <xf numFmtId="0" fontId="7" fillId="24" borderId="26" xfId="0" applyFont="1" applyFill="1" applyBorder="1" applyAlignment="1">
      <alignment vertical="center"/>
    </xf>
    <xf numFmtId="0" fontId="7" fillId="24" borderId="24" xfId="0" applyFont="1" applyFill="1" applyBorder="1" applyAlignment="1">
      <alignment vertical="center" wrapText="1"/>
    </xf>
    <xf numFmtId="0" fontId="7" fillId="24" borderId="30" xfId="0" applyFont="1" applyFill="1" applyBorder="1" applyAlignment="1">
      <alignment vertical="center" wrapText="1"/>
    </xf>
    <xf numFmtId="0" fontId="7" fillId="24" borderId="0" xfId="0" applyFont="1" applyFill="1" applyBorder="1" applyAlignment="1">
      <alignment vertical="center"/>
    </xf>
    <xf numFmtId="0" fontId="7" fillId="24" borderId="29" xfId="0" applyFont="1" applyFill="1" applyBorder="1" applyAlignment="1">
      <alignment vertical="center"/>
    </xf>
    <xf numFmtId="0" fontId="7" fillId="24" borderId="24" xfId="0" applyFont="1" applyFill="1" applyBorder="1" applyAlignment="1">
      <alignment vertical="center"/>
    </xf>
    <xf numFmtId="0" fontId="7" fillId="24" borderId="30" xfId="0" applyFont="1" applyFill="1" applyBorder="1" applyAlignment="1">
      <alignment vertical="center"/>
    </xf>
    <xf numFmtId="0" fontId="6" fillId="24" borderId="26" xfId="0" applyFont="1" applyFill="1" applyBorder="1" applyAlignment="1">
      <alignment vertical="center"/>
    </xf>
    <xf numFmtId="0" fontId="6" fillId="24" borderId="24" xfId="0" applyFont="1" applyFill="1" applyBorder="1" applyAlignment="1">
      <alignment vertical="center" wrapText="1"/>
    </xf>
    <xf numFmtId="0" fontId="6" fillId="24" borderId="30" xfId="0" applyFont="1" applyFill="1" applyBorder="1" applyAlignment="1">
      <alignment vertical="center" wrapText="1"/>
    </xf>
    <xf numFmtId="0" fontId="7" fillId="24" borderId="41" xfId="0" applyFont="1" applyFill="1" applyBorder="1" applyAlignment="1">
      <alignment horizontal="center" vertical="center"/>
    </xf>
    <xf numFmtId="0" fontId="41" fillId="24" borderId="26" xfId="0" applyFont="1" applyFill="1" applyBorder="1" applyAlignment="1">
      <alignment vertical="center"/>
    </xf>
    <xf numFmtId="0" fontId="41" fillId="24" borderId="24" xfId="0" applyFont="1" applyFill="1" applyBorder="1" applyAlignment="1">
      <alignment vertical="center"/>
    </xf>
    <xf numFmtId="0" fontId="41" fillId="24" borderId="30" xfId="0" applyFont="1" applyFill="1" applyBorder="1" applyAlignment="1">
      <alignment vertical="center"/>
    </xf>
    <xf numFmtId="0" fontId="63" fillId="24" borderId="24" xfId="0" applyFont="1" applyFill="1" applyBorder="1" applyAlignment="1">
      <alignment vertical="center"/>
    </xf>
    <xf numFmtId="0" fontId="63" fillId="24" borderId="30" xfId="0" applyFont="1" applyFill="1" applyBorder="1" applyAlignment="1">
      <alignment vertical="center"/>
    </xf>
    <xf numFmtId="0" fontId="6" fillId="24" borderId="24" xfId="0" applyFont="1" applyFill="1" applyBorder="1" applyAlignment="1">
      <alignment vertical="center"/>
    </xf>
    <xf numFmtId="0" fontId="6" fillId="24" borderId="30" xfId="0" applyFont="1" applyFill="1" applyBorder="1" applyAlignment="1">
      <alignment vertical="center"/>
    </xf>
    <xf numFmtId="0" fontId="6" fillId="24" borderId="43" xfId="0" applyFont="1" applyFill="1" applyBorder="1" applyAlignment="1">
      <alignment horizontal="center" vertical="center" wrapText="1"/>
    </xf>
    <xf numFmtId="0" fontId="6" fillId="24" borderId="28" xfId="0" applyFont="1" applyFill="1" applyBorder="1" applyAlignment="1">
      <alignment vertical="center"/>
    </xf>
    <xf numFmtId="0" fontId="6" fillId="24" borderId="0" xfId="0" applyFont="1" applyFill="1" applyBorder="1" applyAlignment="1">
      <alignment vertical="center"/>
    </xf>
    <xf numFmtId="0" fontId="6" fillId="24" borderId="29" xfId="0" applyFont="1" applyFill="1" applyBorder="1" applyAlignment="1">
      <alignment vertical="center"/>
    </xf>
    <xf numFmtId="0" fontId="58" fillId="24" borderId="43" xfId="0" applyFont="1" applyFill="1" applyBorder="1" applyAlignment="1">
      <alignment horizontal="center" vertical="center" wrapText="1"/>
    </xf>
    <xf numFmtId="0" fontId="8" fillId="16" borderId="1" xfId="0" applyFont="1" applyFill="1" applyBorder="1" applyAlignment="1">
      <alignment horizontal="center" vertical="center"/>
    </xf>
    <xf numFmtId="0" fontId="7" fillId="24" borderId="22" xfId="0" applyFont="1" applyFill="1" applyBorder="1" applyAlignment="1">
      <alignment vertical="center"/>
    </xf>
    <xf numFmtId="0" fontId="7" fillId="24" borderId="21" xfId="0" applyFont="1" applyFill="1" applyBorder="1" applyAlignment="1">
      <alignment vertical="center"/>
    </xf>
    <xf numFmtId="0" fontId="7" fillId="24" borderId="32" xfId="0" applyFont="1" applyFill="1" applyBorder="1" applyAlignment="1">
      <alignment vertical="center"/>
    </xf>
    <xf numFmtId="0" fontId="6" fillId="24" borderId="22" xfId="0" applyFont="1" applyFill="1" applyBorder="1" applyAlignment="1">
      <alignment vertical="center"/>
    </xf>
    <xf numFmtId="0" fontId="6" fillId="24" borderId="21" xfId="0" applyFont="1" applyFill="1" applyBorder="1" applyAlignment="1">
      <alignment vertical="center"/>
    </xf>
    <xf numFmtId="0" fontId="6" fillId="24" borderId="32" xfId="0" applyFont="1" applyFill="1" applyBorder="1" applyAlignment="1">
      <alignment vertical="center"/>
    </xf>
    <xf numFmtId="0" fontId="37" fillId="24" borderId="0" xfId="0" applyFont="1" applyFill="1" applyBorder="1" applyAlignment="1">
      <alignment horizontal="left" vertical="center" wrapText="1" indent="4"/>
    </xf>
    <xf numFmtId="0" fontId="71" fillId="0" borderId="0" xfId="9"/>
    <xf numFmtId="0" fontId="72" fillId="27" borderId="0" xfId="9" applyFont="1" applyFill="1"/>
    <xf numFmtId="0" fontId="72" fillId="27" borderId="0" xfId="9" applyFont="1" applyFill="1" applyAlignment="1">
      <alignment vertical="top"/>
    </xf>
    <xf numFmtId="0" fontId="39" fillId="0" borderId="0" xfId="9" applyFont="1"/>
    <xf numFmtId="0" fontId="41" fillId="27" borderId="0" xfId="9" applyFont="1" applyFill="1"/>
    <xf numFmtId="0" fontId="41" fillId="27" borderId="0" xfId="9" applyFont="1" applyFill="1" applyAlignment="1">
      <alignment vertical="top"/>
    </xf>
    <xf numFmtId="0" fontId="48" fillId="29" borderId="54" xfId="9" applyFont="1" applyFill="1" applyBorder="1" applyAlignment="1">
      <alignment horizontal="center" vertical="center" wrapText="1"/>
    </xf>
    <xf numFmtId="0" fontId="39" fillId="9" borderId="0" xfId="9" applyFont="1" applyFill="1"/>
    <xf numFmtId="0" fontId="39" fillId="9" borderId="0" xfId="9" applyFont="1" applyFill="1" applyBorder="1"/>
    <xf numFmtId="0" fontId="41" fillId="30" borderId="0" xfId="9" applyFont="1" applyFill="1" applyBorder="1" applyAlignment="1">
      <alignment horizontal="center" vertical="top"/>
    </xf>
    <xf numFmtId="14" fontId="41" fillId="30" borderId="0" xfId="9" applyNumberFormat="1" applyFont="1" applyFill="1" applyBorder="1" applyAlignment="1">
      <alignment horizontal="center" vertical="top"/>
    </xf>
    <xf numFmtId="0" fontId="48" fillId="29" borderId="1" xfId="9" applyFont="1" applyFill="1" applyBorder="1" applyAlignment="1">
      <alignment horizontal="center" vertical="center" wrapText="1"/>
    </xf>
    <xf numFmtId="0" fontId="48" fillId="29" borderId="1" xfId="9" applyFont="1" applyFill="1" applyBorder="1" applyAlignment="1">
      <alignment horizontal="center" vertical="center"/>
    </xf>
    <xf numFmtId="0" fontId="41" fillId="27" borderId="1" xfId="9" applyFont="1" applyFill="1" applyBorder="1" applyAlignment="1">
      <alignment horizontal="center" vertical="center" wrapText="1"/>
    </xf>
    <xf numFmtId="0" fontId="41" fillId="27" borderId="1" xfId="9" applyFont="1" applyFill="1" applyBorder="1" applyAlignment="1">
      <alignment horizontal="center" vertical="center"/>
    </xf>
    <xf numFmtId="0" fontId="41" fillId="27" borderId="0" xfId="9" applyFont="1" applyFill="1" applyBorder="1" applyAlignment="1">
      <alignment horizontal="left" vertical="top" wrapText="1"/>
    </xf>
    <xf numFmtId="0" fontId="41" fillId="27" borderId="0" xfId="9" applyFont="1" applyFill="1" applyBorder="1" applyAlignment="1">
      <alignment vertical="top"/>
    </xf>
    <xf numFmtId="0" fontId="48" fillId="29" borderId="1" xfId="9" applyFont="1" applyFill="1" applyBorder="1" applyAlignment="1">
      <alignment horizontal="center" vertical="center" wrapText="1"/>
    </xf>
    <xf numFmtId="0" fontId="48" fillId="29" borderId="1" xfId="9" applyFont="1" applyFill="1" applyBorder="1" applyAlignment="1">
      <alignment vertical="top" wrapText="1"/>
    </xf>
    <xf numFmtId="0" fontId="41" fillId="27" borderId="1" xfId="9" applyFont="1" applyFill="1" applyBorder="1" applyAlignment="1">
      <alignment vertical="center" wrapText="1"/>
    </xf>
    <xf numFmtId="0" fontId="41" fillId="27" borderId="0" xfId="9" applyFont="1" applyFill="1" applyBorder="1" applyAlignment="1">
      <alignment vertical="top" wrapText="1"/>
    </xf>
    <xf numFmtId="0" fontId="41" fillId="27" borderId="0" xfId="9" applyFont="1" applyFill="1" applyBorder="1" applyAlignment="1">
      <alignment horizontal="left" vertical="top"/>
    </xf>
    <xf numFmtId="0" fontId="48" fillId="29" borderId="1" xfId="9" applyFont="1" applyFill="1" applyBorder="1" applyAlignment="1">
      <alignment vertical="top"/>
    </xf>
    <xf numFmtId="0" fontId="48" fillId="27" borderId="0" xfId="9" applyFont="1" applyFill="1" applyBorder="1" applyAlignment="1">
      <alignment horizontal="left" vertical="top" wrapText="1"/>
    </xf>
    <xf numFmtId="0" fontId="41" fillId="27" borderId="1" xfId="9" applyFont="1" applyFill="1" applyBorder="1" applyAlignment="1">
      <alignment vertical="top" wrapText="1"/>
    </xf>
    <xf numFmtId="0" fontId="41" fillId="27" borderId="1" xfId="9" applyFont="1" applyFill="1" applyBorder="1" applyAlignment="1">
      <alignment vertical="top"/>
    </xf>
    <xf numFmtId="0" fontId="7" fillId="9" borderId="1" xfId="0" applyFont="1" applyFill="1" applyBorder="1" applyAlignment="1" applyProtection="1">
      <alignment vertical="top" wrapText="1"/>
    </xf>
    <xf numFmtId="0" fontId="7" fillId="10" borderId="1" xfId="0" applyFont="1" applyFill="1" applyBorder="1" applyAlignment="1" applyProtection="1">
      <alignment horizontal="center" vertical="center"/>
    </xf>
    <xf numFmtId="1" fontId="7" fillId="10" borderId="1" xfId="0" applyNumberFormat="1" applyFont="1" applyFill="1" applyBorder="1" applyAlignment="1" applyProtection="1">
      <alignment horizontal="center" vertical="center" shrinkToFit="1"/>
    </xf>
    <xf numFmtId="1" fontId="7" fillId="10" borderId="1" xfId="0" applyNumberFormat="1" applyFont="1" applyFill="1" applyBorder="1" applyAlignment="1" applyProtection="1">
      <alignment horizontal="center" vertical="center"/>
    </xf>
    <xf numFmtId="0" fontId="7" fillId="10" borderId="1" xfId="0" applyFont="1" applyFill="1" applyBorder="1" applyAlignment="1" applyProtection="1">
      <alignment horizontal="center" vertical="center"/>
      <protection locked="0"/>
    </xf>
    <xf numFmtId="1" fontId="8" fillId="18" borderId="1" xfId="0" applyNumberFormat="1" applyFont="1" applyFill="1" applyBorder="1" applyAlignment="1" applyProtection="1">
      <alignment horizontal="center" vertical="center" wrapText="1"/>
      <protection locked="0"/>
    </xf>
    <xf numFmtId="1" fontId="7" fillId="10" borderId="5" xfId="0" applyNumberFormat="1" applyFont="1" applyFill="1" applyBorder="1" applyAlignment="1" applyProtection="1">
      <alignment horizontal="center" vertical="center" shrinkToFit="1"/>
    </xf>
    <xf numFmtId="0" fontId="8" fillId="18" borderId="6" xfId="0" applyFont="1" applyFill="1" applyBorder="1" applyAlignment="1" applyProtection="1">
      <alignment horizontal="center" vertical="center"/>
      <protection locked="0"/>
    </xf>
    <xf numFmtId="1" fontId="7" fillId="10" borderId="6" xfId="0" applyNumberFormat="1" applyFont="1" applyFill="1" applyBorder="1" applyAlignment="1" applyProtection="1">
      <alignment horizontal="center" vertical="center" shrinkToFit="1"/>
    </xf>
    <xf numFmtId="0" fontId="0" fillId="0" borderId="0" xfId="0" applyFill="1"/>
    <xf numFmtId="0" fontId="7" fillId="0" borderId="1" xfId="6" applyFont="1" applyFill="1" applyBorder="1" applyAlignment="1" applyProtection="1">
      <alignment horizontal="left" vertical="center" wrapText="1"/>
      <protection locked="0"/>
    </xf>
    <xf numFmtId="0" fontId="7" fillId="0" borderId="1" xfId="7" applyFont="1" applyFill="1" applyBorder="1" applyAlignment="1" applyProtection="1">
      <alignment horizontal="left" vertical="center" wrapText="1"/>
      <protection locked="0"/>
    </xf>
    <xf numFmtId="0" fontId="7" fillId="0" borderId="1" xfId="5" applyFont="1" applyFill="1" applyBorder="1" applyAlignment="1" applyProtection="1">
      <alignment horizontal="left" vertical="center" wrapText="1"/>
      <protection locked="0"/>
    </xf>
    <xf numFmtId="0" fontId="7" fillId="0" borderId="1" xfId="1" applyFont="1" applyFill="1" applyBorder="1" applyAlignment="1" applyProtection="1">
      <alignment horizontal="left" vertical="center" wrapText="1"/>
      <protection locked="0"/>
    </xf>
    <xf numFmtId="0" fontId="7" fillId="0" borderId="1" xfId="2" applyFont="1" applyFill="1" applyBorder="1" applyAlignment="1" applyProtection="1">
      <alignment horizontal="left" vertical="center" wrapText="1"/>
      <protection locked="0"/>
    </xf>
    <xf numFmtId="0" fontId="76" fillId="25" borderId="25" xfId="0" applyFont="1" applyFill="1" applyBorder="1" applyAlignment="1">
      <alignment horizontal="center" vertical="center"/>
    </xf>
    <xf numFmtId="0" fontId="76" fillId="25" borderId="27" xfId="0" applyFont="1" applyFill="1" applyBorder="1" applyAlignment="1">
      <alignment horizontal="center" vertical="center"/>
    </xf>
    <xf numFmtId="0" fontId="37" fillId="24" borderId="53" xfId="0" applyFont="1" applyFill="1" applyBorder="1" applyAlignment="1">
      <alignment horizontal="left" vertical="center" wrapText="1" indent="4"/>
    </xf>
    <xf numFmtId="0" fontId="37" fillId="24" borderId="14" xfId="0" applyFont="1" applyFill="1" applyBorder="1" applyAlignment="1">
      <alignment horizontal="left" vertical="center" wrapText="1" indent="4"/>
    </xf>
    <xf numFmtId="0" fontId="0" fillId="9" borderId="0" xfId="0" applyFill="1"/>
    <xf numFmtId="0" fontId="0" fillId="9" borderId="0" xfId="0" applyFill="1"/>
    <xf numFmtId="0" fontId="0" fillId="9" borderId="0" xfId="0" applyFill="1"/>
    <xf numFmtId="0" fontId="0" fillId="9" borderId="0" xfId="0" applyFill="1"/>
    <xf numFmtId="0" fontId="0" fillId="9" borderId="0" xfId="0" applyFill="1"/>
    <xf numFmtId="0" fontId="0" fillId="9" borderId="0" xfId="0" applyFill="1"/>
    <xf numFmtId="0" fontId="0" fillId="9" borderId="18" xfId="0" applyFill="1" applyBorder="1"/>
    <xf numFmtId="0" fontId="0" fillId="9" borderId="19" xfId="0" applyFill="1" applyBorder="1"/>
    <xf numFmtId="0" fontId="0" fillId="9" borderId="20" xfId="0" applyFill="1" applyBorder="1"/>
    <xf numFmtId="0" fontId="0" fillId="9" borderId="28" xfId="0" applyFill="1" applyBorder="1"/>
    <xf numFmtId="0" fontId="0" fillId="9" borderId="57" xfId="0" applyFill="1" applyBorder="1"/>
    <xf numFmtId="0" fontId="0" fillId="9" borderId="28" xfId="0" applyFill="1" applyBorder="1" applyAlignment="1">
      <alignment vertical="center"/>
    </xf>
    <xf numFmtId="0" fontId="0" fillId="9" borderId="0" xfId="0" applyFill="1" applyBorder="1" applyAlignment="1">
      <alignment vertical="center"/>
    </xf>
    <xf numFmtId="0" fontId="0" fillId="9" borderId="57" xfId="0" applyFill="1" applyBorder="1" applyAlignment="1">
      <alignment vertical="center"/>
    </xf>
    <xf numFmtId="0" fontId="5" fillId="9" borderId="28" xfId="0" applyFont="1" applyFill="1" applyBorder="1" applyAlignment="1">
      <alignment horizontal="center" vertical="top" wrapText="1"/>
    </xf>
    <xf numFmtId="0" fontId="5" fillId="9" borderId="57" xfId="0" applyFont="1" applyFill="1" applyBorder="1" applyAlignment="1">
      <alignment horizontal="center" vertical="top" wrapText="1"/>
    </xf>
    <xf numFmtId="0" fontId="7" fillId="9" borderId="28" xfId="0" applyFont="1" applyFill="1" applyBorder="1" applyAlignment="1">
      <alignment vertical="center"/>
    </xf>
    <xf numFmtId="0" fontId="7" fillId="9" borderId="0" xfId="0" applyFont="1" applyFill="1" applyBorder="1" applyAlignment="1">
      <alignment vertical="center"/>
    </xf>
    <xf numFmtId="0" fontId="7" fillId="9" borderId="57" xfId="0" applyFont="1" applyFill="1" applyBorder="1" applyAlignment="1">
      <alignment vertical="center"/>
    </xf>
    <xf numFmtId="0" fontId="80" fillId="32" borderId="5" xfId="0" applyFont="1" applyFill="1" applyBorder="1" applyAlignment="1">
      <alignment horizontal="center" vertical="center"/>
    </xf>
    <xf numFmtId="0" fontId="80" fillId="32" borderId="6" xfId="0" applyFont="1" applyFill="1" applyBorder="1" applyAlignment="1">
      <alignment horizontal="center" vertical="center"/>
    </xf>
    <xf numFmtId="0" fontId="81" fillId="32" borderId="6" xfId="0" applyFont="1" applyFill="1" applyBorder="1" applyAlignment="1">
      <alignment horizontal="center" vertical="center" wrapText="1"/>
    </xf>
    <xf numFmtId="0" fontId="2" fillId="15" borderId="5" xfId="0" applyFont="1" applyFill="1" applyBorder="1" applyAlignment="1" applyProtection="1">
      <alignment horizontal="center"/>
      <protection locked="0"/>
    </xf>
    <xf numFmtId="0" fontId="0" fillId="9" borderId="0" xfId="0" applyFill="1" applyAlignment="1">
      <alignment horizontal="center"/>
    </xf>
    <xf numFmtId="0" fontId="7" fillId="9" borderId="1" xfId="0" applyFont="1" applyFill="1" applyBorder="1" applyAlignment="1" applyProtection="1">
      <alignment horizontal="center" vertical="center" wrapText="1"/>
    </xf>
    <xf numFmtId="0" fontId="8" fillId="18" borderId="4" xfId="0" applyFont="1" applyFill="1" applyBorder="1" applyAlignment="1" applyProtection="1">
      <alignment horizontal="center" vertical="center" wrapText="1"/>
      <protection locked="0"/>
    </xf>
    <xf numFmtId="0" fontId="8" fillId="18" borderId="1" xfId="0" applyFont="1" applyFill="1" applyBorder="1" applyAlignment="1" applyProtection="1">
      <alignment horizontal="center" vertical="center" wrapText="1"/>
      <protection locked="0"/>
    </xf>
    <xf numFmtId="164" fontId="8" fillId="18" borderId="1" xfId="0" applyNumberFormat="1" applyFont="1" applyFill="1" applyBorder="1" applyAlignment="1" applyProtection="1">
      <alignment horizontal="center" vertical="center" wrapText="1"/>
      <protection locked="0"/>
    </xf>
    <xf numFmtId="2" fontId="8" fillId="18" borderId="1" xfId="0" applyNumberFormat="1" applyFont="1" applyFill="1" applyBorder="1" applyAlignment="1" applyProtection="1">
      <alignment horizontal="center" vertical="center" wrapText="1"/>
      <protection locked="0"/>
    </xf>
    <xf numFmtId="2" fontId="8" fillId="18" borderId="1" xfId="0" applyNumberFormat="1" applyFont="1" applyFill="1" applyBorder="1" applyAlignment="1" applyProtection="1">
      <alignment vertical="center" wrapText="1"/>
      <protection locked="0"/>
    </xf>
    <xf numFmtId="0" fontId="24" fillId="9" borderId="0" xfId="8" quotePrefix="1" applyFill="1"/>
    <xf numFmtId="0" fontId="8" fillId="9" borderId="1" xfId="8" applyFont="1" applyFill="1" applyBorder="1" applyAlignment="1" applyProtection="1">
      <alignment vertical="center" wrapText="1"/>
    </xf>
    <xf numFmtId="0" fontId="8" fillId="9" borderId="6" xfId="8" applyFont="1" applyFill="1" applyBorder="1" applyAlignment="1" applyProtection="1">
      <alignment vertical="center" wrapText="1"/>
    </xf>
    <xf numFmtId="0" fontId="8" fillId="9" borderId="2" xfId="0" applyFont="1" applyFill="1" applyBorder="1" applyAlignment="1" applyProtection="1">
      <alignment vertical="center"/>
      <protection locked="0"/>
    </xf>
    <xf numFmtId="0" fontId="8" fillId="9" borderId="12" xfId="8" applyFont="1" applyFill="1" applyBorder="1" applyAlignment="1" applyProtection="1">
      <alignment vertical="center" wrapText="1"/>
    </xf>
    <xf numFmtId="0" fontId="8" fillId="9" borderId="1" xfId="8" applyFont="1" applyFill="1" applyBorder="1" applyAlignment="1" applyProtection="1">
      <alignment vertical="top" wrapText="1"/>
    </xf>
    <xf numFmtId="0" fontId="8" fillId="9" borderId="1" xfId="8" applyFont="1" applyFill="1" applyBorder="1" applyAlignment="1" applyProtection="1">
      <alignment vertical="center" wrapText="1"/>
      <protection locked="0"/>
    </xf>
    <xf numFmtId="0" fontId="82" fillId="9" borderId="0" xfId="0" applyFont="1" applyFill="1"/>
    <xf numFmtId="0" fontId="83" fillId="9" borderId="0" xfId="0" applyFont="1" applyFill="1" applyBorder="1"/>
    <xf numFmtId="0" fontId="84" fillId="9" borderId="0" xfId="0" applyFont="1" applyFill="1" applyBorder="1"/>
    <xf numFmtId="0" fontId="4" fillId="33" borderId="0" xfId="10" applyAlignment="1">
      <alignment horizontal="center" vertical="center" wrapText="1"/>
    </xf>
    <xf numFmtId="0" fontId="2" fillId="9" borderId="0" xfId="0" applyFont="1" applyFill="1" applyBorder="1" applyAlignment="1" applyProtection="1">
      <alignment horizontal="centerContinuous" vertical="center" wrapText="1"/>
    </xf>
    <xf numFmtId="1" fontId="2" fillId="9" borderId="0" xfId="0" applyNumberFormat="1" applyFont="1" applyFill="1" applyBorder="1" applyAlignment="1" applyProtection="1">
      <alignment horizontal="center"/>
      <protection locked="0"/>
    </xf>
    <xf numFmtId="0" fontId="2" fillId="9" borderId="0" xfId="0" applyFont="1" applyFill="1" applyBorder="1" applyAlignment="1" applyProtection="1">
      <alignment horizontal="center"/>
      <protection locked="0"/>
    </xf>
    <xf numFmtId="165" fontId="85" fillId="9" borderId="0" xfId="0" applyNumberFormat="1" applyFont="1" applyFill="1" applyAlignment="1">
      <alignment horizontal="center"/>
    </xf>
    <xf numFmtId="0" fontId="8" fillId="15" borderId="0" xfId="0" applyFont="1" applyFill="1" applyAlignment="1">
      <alignment horizontal="left"/>
    </xf>
    <xf numFmtId="0" fontId="8" fillId="20" borderId="0" xfId="0" applyFont="1" applyFill="1" applyAlignment="1">
      <alignment horizontal="left"/>
    </xf>
    <xf numFmtId="0" fontId="8" fillId="31" borderId="0" xfId="0" applyFont="1" applyFill="1" applyAlignment="1">
      <alignment horizontal="left"/>
    </xf>
    <xf numFmtId="0" fontId="5" fillId="9" borderId="18" xfId="0" applyFont="1" applyFill="1" applyBorder="1" applyAlignment="1">
      <alignment horizontal="center" vertical="top" wrapText="1"/>
    </xf>
    <xf numFmtId="0" fontId="5" fillId="9" borderId="19" xfId="0" applyFont="1" applyFill="1" applyBorder="1" applyAlignment="1">
      <alignment horizontal="center" vertical="top" wrapText="1"/>
    </xf>
    <xf numFmtId="0" fontId="5" fillId="9" borderId="20" xfId="0" applyFont="1" applyFill="1" applyBorder="1" applyAlignment="1">
      <alignment horizontal="center" vertical="top" wrapText="1"/>
    </xf>
    <xf numFmtId="0" fontId="5" fillId="9" borderId="28" xfId="0" applyFont="1" applyFill="1" applyBorder="1" applyAlignment="1">
      <alignment horizontal="center" vertical="top" wrapText="1"/>
    </xf>
    <xf numFmtId="0" fontId="5" fillId="9" borderId="0" xfId="0" applyFont="1" applyFill="1" applyBorder="1" applyAlignment="1">
      <alignment horizontal="center" vertical="top" wrapText="1"/>
    </xf>
    <xf numFmtId="0" fontId="5" fillId="9" borderId="57" xfId="0" applyFont="1" applyFill="1" applyBorder="1" applyAlignment="1">
      <alignment horizontal="center" vertical="top" wrapText="1"/>
    </xf>
    <xf numFmtId="0" fontId="5" fillId="9" borderId="26" xfId="0" applyFont="1" applyFill="1" applyBorder="1" applyAlignment="1">
      <alignment horizontal="center" vertical="top" wrapText="1"/>
    </xf>
    <xf numFmtId="0" fontId="5" fillId="9" borderId="24" xfId="0" applyFont="1" applyFill="1" applyBorder="1" applyAlignment="1">
      <alignment horizontal="center" vertical="top" wrapText="1"/>
    </xf>
    <xf numFmtId="0" fontId="5" fillId="9" borderId="27" xfId="0" applyFont="1" applyFill="1" applyBorder="1" applyAlignment="1">
      <alignment horizontal="center" vertical="top" wrapText="1"/>
    </xf>
    <xf numFmtId="0" fontId="8" fillId="9" borderId="28" xfId="0" applyFont="1" applyFill="1" applyBorder="1" applyAlignment="1">
      <alignment horizontal="left" vertical="top" wrapText="1"/>
    </xf>
    <xf numFmtId="0" fontId="8" fillId="9" borderId="0" xfId="0" applyFont="1" applyFill="1" applyBorder="1" applyAlignment="1">
      <alignment horizontal="left" vertical="top" wrapText="1"/>
    </xf>
    <xf numFmtId="0" fontId="8" fillId="9" borderId="57" xfId="0" applyFont="1" applyFill="1" applyBorder="1" applyAlignment="1">
      <alignment horizontal="left" vertical="top" wrapText="1"/>
    </xf>
    <xf numFmtId="0" fontId="7" fillId="9" borderId="28" xfId="0" applyFont="1" applyFill="1" applyBorder="1" applyAlignment="1">
      <alignment horizontal="left" vertical="top" wrapText="1"/>
    </xf>
    <xf numFmtId="0" fontId="7" fillId="9" borderId="0" xfId="0" applyFont="1" applyFill="1" applyBorder="1" applyAlignment="1">
      <alignment horizontal="left" vertical="top" wrapText="1"/>
    </xf>
    <xf numFmtId="0" fontId="7" fillId="9" borderId="57" xfId="0" applyFont="1" applyFill="1" applyBorder="1" applyAlignment="1">
      <alignment horizontal="left" vertical="top" wrapText="1"/>
    </xf>
    <xf numFmtId="0" fontId="7" fillId="9" borderId="26" xfId="0" applyFont="1" applyFill="1" applyBorder="1" applyAlignment="1">
      <alignment horizontal="left" vertical="top" wrapText="1"/>
    </xf>
    <xf numFmtId="0" fontId="7" fillId="9" borderId="24" xfId="0" applyFont="1" applyFill="1" applyBorder="1" applyAlignment="1">
      <alignment horizontal="left" vertical="top" wrapText="1"/>
    </xf>
    <xf numFmtId="0" fontId="7" fillId="9" borderId="27" xfId="0" applyFont="1" applyFill="1" applyBorder="1" applyAlignment="1">
      <alignment horizontal="left" vertical="top" wrapText="1"/>
    </xf>
    <xf numFmtId="0" fontId="8" fillId="16" borderId="1" xfId="0" applyFont="1" applyFill="1" applyBorder="1" applyAlignment="1">
      <alignment horizontal="center" vertical="center"/>
    </xf>
    <xf numFmtId="0" fontId="8" fillId="16" borderId="5" xfId="0" applyFont="1" applyFill="1" applyBorder="1" applyAlignment="1">
      <alignment horizontal="center" vertical="center"/>
    </xf>
    <xf numFmtId="0" fontId="8" fillId="16" borderId="6" xfId="0" applyFont="1" applyFill="1" applyBorder="1" applyAlignment="1">
      <alignment horizontal="center" vertical="center"/>
    </xf>
    <xf numFmtId="0" fontId="3" fillId="21" borderId="1" xfId="0" applyFont="1" applyFill="1" applyBorder="1" applyAlignment="1">
      <alignment horizontal="center" vertical="center"/>
    </xf>
    <xf numFmtId="0" fontId="8" fillId="16" borderId="53" xfId="0" applyFont="1" applyFill="1" applyBorder="1" applyAlignment="1">
      <alignment horizontal="center"/>
    </xf>
    <xf numFmtId="0" fontId="8" fillId="16" borderId="0" xfId="0" applyFont="1" applyFill="1" applyBorder="1" applyAlignment="1">
      <alignment horizontal="center"/>
    </xf>
    <xf numFmtId="0" fontId="7" fillId="9" borderId="5" xfId="0" applyFont="1" applyFill="1" applyBorder="1" applyAlignment="1" applyProtection="1">
      <alignment horizontal="center" vertical="center" wrapText="1"/>
    </xf>
    <xf numFmtId="0" fontId="7" fillId="9" borderId="8" xfId="0" applyFont="1" applyFill="1" applyBorder="1" applyAlignment="1" applyProtection="1">
      <alignment horizontal="center" vertical="center" wrapText="1"/>
    </xf>
    <xf numFmtId="0" fontId="7" fillId="9" borderId="6" xfId="0" applyFont="1" applyFill="1" applyBorder="1" applyAlignment="1" applyProtection="1">
      <alignment horizontal="center" vertical="center" wrapText="1"/>
    </xf>
    <xf numFmtId="0" fontId="8" fillId="11" borderId="7" xfId="0" applyFont="1" applyFill="1" applyBorder="1" applyAlignment="1">
      <alignment horizontal="center" vertical="center"/>
    </xf>
    <xf numFmtId="0" fontId="8" fillId="11" borderId="53" xfId="0" applyFont="1" applyFill="1" applyBorder="1" applyAlignment="1">
      <alignment horizontal="center" vertical="center"/>
    </xf>
    <xf numFmtId="0" fontId="8" fillId="11" borderId="9" xfId="0" applyFont="1" applyFill="1" applyBorder="1" applyAlignment="1">
      <alignment horizontal="center" vertical="center"/>
    </xf>
    <xf numFmtId="0" fontId="2" fillId="14" borderId="1" xfId="0" applyFont="1" applyFill="1" applyBorder="1" applyAlignment="1" applyProtection="1">
      <alignment horizontal="center" vertical="center" wrapText="1"/>
      <protection locked="0"/>
    </xf>
    <xf numFmtId="0" fontId="80" fillId="32" borderId="1" xfId="0" applyFont="1" applyFill="1" applyBorder="1" applyAlignment="1">
      <alignment horizontal="center" vertical="center"/>
    </xf>
    <xf numFmtId="0" fontId="80" fillId="32" borderId="5" xfId="0" applyFont="1" applyFill="1" applyBorder="1" applyAlignment="1">
      <alignment horizontal="center" vertical="center"/>
    </xf>
    <xf numFmtId="0" fontId="80" fillId="32" borderId="6" xfId="0" applyFont="1" applyFill="1" applyBorder="1" applyAlignment="1">
      <alignment horizontal="center" vertical="center"/>
    </xf>
    <xf numFmtId="0" fontId="2" fillId="15" borderId="2" xfId="0" applyFont="1" applyFill="1" applyBorder="1" applyAlignment="1" applyProtection="1">
      <alignment horizontal="center"/>
      <protection locked="0"/>
    </xf>
    <xf numFmtId="0" fontId="2" fillId="15" borderId="3" xfId="0" applyFont="1" applyFill="1" applyBorder="1" applyAlignment="1" applyProtection="1">
      <alignment horizontal="center"/>
      <protection locked="0"/>
    </xf>
    <xf numFmtId="0" fontId="2" fillId="15" borderId="4" xfId="0" applyFont="1" applyFill="1" applyBorder="1" applyAlignment="1" applyProtection="1">
      <alignment horizontal="center"/>
      <protection locked="0"/>
    </xf>
    <xf numFmtId="0" fontId="8" fillId="23" borderId="1" xfId="0" applyFont="1" applyFill="1" applyBorder="1" applyAlignment="1">
      <alignment horizontal="center" vertical="center"/>
    </xf>
    <xf numFmtId="0" fontId="36" fillId="11"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3" borderId="1" xfId="0" applyFont="1" applyFill="1" applyBorder="1" applyAlignment="1">
      <alignment horizontal="center" vertical="center"/>
    </xf>
    <xf numFmtId="0" fontId="3" fillId="17" borderId="1" xfId="0" applyFont="1" applyFill="1" applyBorder="1" applyAlignment="1">
      <alignment horizontal="center" vertical="center"/>
    </xf>
    <xf numFmtId="0" fontId="8" fillId="22" borderId="1" xfId="0" applyFont="1" applyFill="1" applyBorder="1" applyAlignment="1">
      <alignment horizontal="center" vertical="center"/>
    </xf>
    <xf numFmtId="0" fontId="3" fillId="21" borderId="1" xfId="0" applyFont="1" applyFill="1" applyBorder="1" applyAlignment="1">
      <alignment horizontal="center" vertical="center" wrapText="1"/>
    </xf>
    <xf numFmtId="0" fontId="3" fillId="22"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7" fillId="9" borderId="0" xfId="0" applyFont="1" applyFill="1" applyAlignment="1">
      <alignment horizontal="left" wrapText="1"/>
    </xf>
    <xf numFmtId="0" fontId="8" fillId="11" borderId="1" xfId="0" applyFont="1" applyFill="1" applyBorder="1" applyAlignment="1">
      <alignment horizontal="center" vertical="center"/>
    </xf>
    <xf numFmtId="0" fontId="8" fillId="10" borderId="1" xfId="0" applyFont="1" applyFill="1" applyBorder="1" applyAlignment="1" applyProtection="1">
      <alignment horizontal="center" vertical="center"/>
      <protection locked="0"/>
    </xf>
    <xf numFmtId="0" fontId="3" fillId="18" borderId="1" xfId="0" applyFont="1" applyFill="1" applyBorder="1" applyAlignment="1">
      <alignment horizontal="center"/>
    </xf>
    <xf numFmtId="0" fontId="8" fillId="10" borderId="1" xfId="0" applyFont="1" applyFill="1" applyBorder="1" applyAlignment="1" applyProtection="1">
      <alignment horizontal="center" vertical="center" wrapText="1"/>
    </xf>
    <xf numFmtId="0" fontId="8" fillId="10" borderId="1" xfId="0" applyFont="1" applyFill="1" applyBorder="1" applyAlignment="1" applyProtection="1">
      <alignment horizontal="center" vertical="center" wrapText="1"/>
      <protection locked="0"/>
    </xf>
    <xf numFmtId="0" fontId="37" fillId="24" borderId="18" xfId="0" applyFont="1" applyFill="1" applyBorder="1" applyAlignment="1">
      <alignment horizontal="left" vertical="center" wrapText="1" indent="3"/>
    </xf>
    <xf numFmtId="0" fontId="37" fillId="24" borderId="19" xfId="0" applyFont="1" applyFill="1" applyBorder="1" applyAlignment="1">
      <alignment horizontal="left" vertical="center" wrapText="1" indent="3"/>
    </xf>
    <xf numFmtId="0" fontId="37" fillId="24" borderId="31" xfId="0" applyFont="1" applyFill="1" applyBorder="1" applyAlignment="1">
      <alignment horizontal="left" vertical="center" wrapText="1" indent="3"/>
    </xf>
    <xf numFmtId="0" fontId="40" fillId="24" borderId="26" xfId="0" applyFont="1" applyFill="1" applyBorder="1" applyAlignment="1">
      <alignment horizontal="left" vertical="center" wrapText="1" indent="3"/>
    </xf>
    <xf numFmtId="0" fontId="40" fillId="24" borderId="24" xfId="0" applyFont="1" applyFill="1" applyBorder="1" applyAlignment="1">
      <alignment horizontal="left" vertical="center" wrapText="1" indent="3"/>
    </xf>
    <xf numFmtId="0" fontId="40" fillId="24" borderId="30" xfId="0" applyFont="1" applyFill="1" applyBorder="1" applyAlignment="1">
      <alignment horizontal="left" vertical="center" wrapText="1" indent="3"/>
    </xf>
    <xf numFmtId="0" fontId="6" fillId="24" borderId="22" xfId="0" applyFont="1" applyFill="1" applyBorder="1" applyAlignment="1">
      <alignment vertical="center"/>
    </xf>
    <xf numFmtId="0" fontId="6" fillId="24" borderId="21" xfId="0" applyFont="1" applyFill="1" applyBorder="1" applyAlignment="1">
      <alignment vertical="center"/>
    </xf>
    <xf numFmtId="0" fontId="6" fillId="24" borderId="23" xfId="0" applyFont="1" applyFill="1" applyBorder="1" applyAlignment="1">
      <alignment vertical="center"/>
    </xf>
    <xf numFmtId="0" fontId="15" fillId="25" borderId="22" xfId="0" applyFont="1" applyFill="1" applyBorder="1" applyAlignment="1">
      <alignment vertical="center"/>
    </xf>
    <xf numFmtId="0" fontId="15" fillId="25" borderId="21" xfId="0" applyFont="1" applyFill="1" applyBorder="1" applyAlignment="1">
      <alignment vertical="center"/>
    </xf>
    <xf numFmtId="0" fontId="15" fillId="25" borderId="32" xfId="0" applyFont="1" applyFill="1" applyBorder="1" applyAlignment="1">
      <alignment vertical="center"/>
    </xf>
    <xf numFmtId="0" fontId="7" fillId="26" borderId="18" xfId="0" applyFont="1" applyFill="1" applyBorder="1" applyAlignment="1">
      <alignment vertical="center"/>
    </xf>
    <xf numFmtId="0" fontId="7" fillId="26" borderId="19" xfId="0" applyFont="1" applyFill="1" applyBorder="1" applyAlignment="1">
      <alignment vertical="center"/>
    </xf>
    <xf numFmtId="0" fontId="7" fillId="26" borderId="31" xfId="0" applyFont="1" applyFill="1" applyBorder="1" applyAlignment="1">
      <alignment vertical="center"/>
    </xf>
    <xf numFmtId="0" fontId="7" fillId="26" borderId="26" xfId="0" applyFont="1" applyFill="1" applyBorder="1" applyAlignment="1">
      <alignment vertical="center"/>
    </xf>
    <xf numFmtId="0" fontId="7" fillId="26" borderId="24" xfId="0" applyFont="1" applyFill="1" applyBorder="1" applyAlignment="1">
      <alignment vertical="center"/>
    </xf>
    <xf numFmtId="0" fontId="7" fillId="26" borderId="30" xfId="0" applyFont="1" applyFill="1" applyBorder="1" applyAlignment="1">
      <alignment vertical="center"/>
    </xf>
    <xf numFmtId="0" fontId="37" fillId="24" borderId="18" xfId="0" applyFont="1" applyFill="1" applyBorder="1" applyAlignment="1">
      <alignment horizontal="left" vertical="center" wrapText="1" indent="2"/>
    </xf>
    <xf numFmtId="0" fontId="37" fillId="24" borderId="19" xfId="0" applyFont="1" applyFill="1" applyBorder="1" applyAlignment="1">
      <alignment horizontal="left" vertical="center" wrapText="1" indent="2"/>
    </xf>
    <xf numFmtId="0" fontId="37" fillId="24" borderId="31" xfId="0" applyFont="1" applyFill="1" applyBorder="1" applyAlignment="1">
      <alignment horizontal="left" vertical="center" wrapText="1" indent="2"/>
    </xf>
    <xf numFmtId="0" fontId="37" fillId="24" borderId="28" xfId="0" applyFont="1" applyFill="1" applyBorder="1" applyAlignment="1">
      <alignment horizontal="left" vertical="center" wrapText="1" indent="2"/>
    </xf>
    <xf numFmtId="0" fontId="37" fillId="24" borderId="0" xfId="0" applyFont="1" applyFill="1" applyBorder="1" applyAlignment="1">
      <alignment horizontal="left" vertical="center" wrapText="1" indent="2"/>
    </xf>
    <xf numFmtId="0" fontId="37" fillId="24" borderId="29" xfId="0" applyFont="1" applyFill="1" applyBorder="1" applyAlignment="1">
      <alignment horizontal="left" vertical="center" wrapText="1" indent="2"/>
    </xf>
    <xf numFmtId="0" fontId="40" fillId="24" borderId="28" xfId="0" applyFont="1" applyFill="1" applyBorder="1" applyAlignment="1">
      <alignment horizontal="left" vertical="center" wrapText="1" indent="2"/>
    </xf>
    <xf numFmtId="0" fontId="40" fillId="24" borderId="0" xfId="0" applyFont="1" applyFill="1" applyBorder="1" applyAlignment="1">
      <alignment horizontal="left" vertical="center" wrapText="1" indent="2"/>
    </xf>
    <xf numFmtId="0" fontId="40" fillId="24" borderId="29" xfId="0" applyFont="1" applyFill="1" applyBorder="1" applyAlignment="1">
      <alignment horizontal="left" vertical="center" wrapText="1" indent="2"/>
    </xf>
    <xf numFmtId="0" fontId="40" fillId="24" borderId="26" xfId="0" applyFont="1" applyFill="1" applyBorder="1" applyAlignment="1">
      <alignment horizontal="left" vertical="center" wrapText="1" indent="2"/>
    </xf>
    <xf numFmtId="0" fontId="40" fillId="24" borderId="24" xfId="0" applyFont="1" applyFill="1" applyBorder="1" applyAlignment="1">
      <alignment horizontal="left" vertical="center" wrapText="1" indent="2"/>
    </xf>
    <xf numFmtId="0" fontId="40" fillId="24" borderId="30" xfId="0" applyFont="1" applyFill="1" applyBorder="1" applyAlignment="1">
      <alignment horizontal="left" vertical="center" wrapText="1" indent="2"/>
    </xf>
    <xf numFmtId="0" fontId="7" fillId="24" borderId="22" xfId="0" applyFont="1" applyFill="1" applyBorder="1" applyAlignment="1">
      <alignment vertical="center"/>
    </xf>
    <xf numFmtId="0" fontId="7" fillId="24" borderId="21" xfId="0" applyFont="1" applyFill="1" applyBorder="1" applyAlignment="1">
      <alignment vertical="center"/>
    </xf>
    <xf numFmtId="0" fontId="7" fillId="24" borderId="32" xfId="0" applyFont="1" applyFill="1" applyBorder="1" applyAlignment="1">
      <alignment vertical="center"/>
    </xf>
    <xf numFmtId="0" fontId="14" fillId="24" borderId="21" xfId="0" applyFont="1" applyFill="1" applyBorder="1" applyAlignment="1">
      <alignment vertical="center"/>
    </xf>
    <xf numFmtId="0" fontId="0" fillId="0" borderId="21" xfId="0" applyBorder="1" applyAlignment="1">
      <alignment vertical="center" wrapText="1"/>
    </xf>
    <xf numFmtId="0" fontId="39" fillId="24" borderId="28" xfId="0" applyFont="1" applyFill="1" applyBorder="1" applyAlignment="1">
      <alignment horizontal="justify" vertical="center" wrapText="1"/>
    </xf>
    <xf numFmtId="0" fontId="37" fillId="24" borderId="0" xfId="0" applyFont="1" applyFill="1" applyBorder="1" applyAlignment="1">
      <alignment horizontal="justify" vertical="center" wrapText="1"/>
    </xf>
    <xf numFmtId="0" fontId="37" fillId="24" borderId="29" xfId="0" applyFont="1" applyFill="1" applyBorder="1" applyAlignment="1">
      <alignment horizontal="justify" vertical="center" wrapText="1"/>
    </xf>
    <xf numFmtId="0" fontId="39" fillId="24" borderId="26" xfId="0" applyFont="1" applyFill="1" applyBorder="1" applyAlignment="1">
      <alignment horizontal="justify" vertical="center" wrapText="1"/>
    </xf>
    <xf numFmtId="0" fontId="40" fillId="24" borderId="24" xfId="0" applyFont="1" applyFill="1" applyBorder="1" applyAlignment="1">
      <alignment horizontal="justify" vertical="center" wrapText="1"/>
    </xf>
    <xf numFmtId="0" fontId="40" fillId="24" borderId="30" xfId="0" applyFont="1" applyFill="1" applyBorder="1" applyAlignment="1">
      <alignment horizontal="justify" vertical="center" wrapText="1"/>
    </xf>
    <xf numFmtId="0" fontId="6" fillId="24" borderId="22" xfId="0" applyFont="1" applyFill="1" applyBorder="1" applyAlignment="1">
      <alignment vertical="center" wrapText="1"/>
    </xf>
    <xf numFmtId="0" fontId="6" fillId="24" borderId="21" xfId="0" applyFont="1" applyFill="1" applyBorder="1" applyAlignment="1">
      <alignment vertical="center" wrapText="1"/>
    </xf>
    <xf numFmtId="0" fontId="6" fillId="24" borderId="32" xfId="0" applyFont="1" applyFill="1" applyBorder="1" applyAlignment="1">
      <alignment vertical="center" wrapText="1"/>
    </xf>
    <xf numFmtId="0" fontId="39" fillId="24" borderId="18" xfId="0" applyFont="1" applyFill="1" applyBorder="1" applyAlignment="1">
      <alignment horizontal="justify" vertical="center" wrapText="1"/>
    </xf>
    <xf numFmtId="0" fontId="37" fillId="24" borderId="19" xfId="0" applyFont="1" applyFill="1" applyBorder="1" applyAlignment="1">
      <alignment horizontal="justify" vertical="center" wrapText="1"/>
    </xf>
    <xf numFmtId="0" fontId="37" fillId="24" borderId="31" xfId="0" applyFont="1" applyFill="1" applyBorder="1" applyAlignment="1">
      <alignment horizontal="justify" vertical="center" wrapText="1"/>
    </xf>
    <xf numFmtId="0" fontId="15" fillId="25" borderId="22" xfId="0" applyFont="1" applyFill="1" applyBorder="1" applyAlignment="1">
      <alignment horizontal="center" vertical="center"/>
    </xf>
    <xf numFmtId="0" fontId="15" fillId="25" borderId="21" xfId="0" applyFont="1" applyFill="1" applyBorder="1" applyAlignment="1">
      <alignment horizontal="center" vertical="center"/>
    </xf>
    <xf numFmtId="0" fontId="15" fillId="25" borderId="23" xfId="0" applyFont="1" applyFill="1" applyBorder="1" applyAlignment="1">
      <alignment horizontal="center" vertical="center"/>
    </xf>
    <xf numFmtId="0" fontId="6" fillId="24" borderId="22" xfId="0" applyFont="1" applyFill="1" applyBorder="1" applyAlignment="1">
      <alignment horizontal="center" vertical="center"/>
    </xf>
    <xf numFmtId="0" fontId="6" fillId="24" borderId="21" xfId="0" applyFont="1" applyFill="1" applyBorder="1" applyAlignment="1">
      <alignment horizontal="center" vertical="center"/>
    </xf>
    <xf numFmtId="0" fontId="6" fillId="24" borderId="23" xfId="0" applyFont="1" applyFill="1" applyBorder="1" applyAlignment="1">
      <alignment horizontal="center" vertical="center"/>
    </xf>
    <xf numFmtId="0" fontId="7" fillId="24" borderId="22" xfId="0" applyFont="1" applyFill="1" applyBorder="1" applyAlignment="1">
      <alignment horizontal="center" vertical="center"/>
    </xf>
    <xf numFmtId="0" fontId="7" fillId="24" borderId="21" xfId="0" applyFont="1" applyFill="1" applyBorder="1" applyAlignment="1">
      <alignment horizontal="center" vertical="center"/>
    </xf>
    <xf numFmtId="0" fontId="7" fillId="24" borderId="23" xfId="0" applyFont="1" applyFill="1" applyBorder="1" applyAlignment="1">
      <alignment horizontal="center" vertical="center"/>
    </xf>
    <xf numFmtId="0" fontId="15" fillId="25" borderId="23" xfId="0" applyFont="1" applyFill="1" applyBorder="1" applyAlignment="1">
      <alignment vertical="center"/>
    </xf>
    <xf numFmtId="0" fontId="6" fillId="24" borderId="23" xfId="0" applyFont="1" applyFill="1" applyBorder="1" applyAlignment="1">
      <alignment vertical="center" wrapText="1"/>
    </xf>
    <xf numFmtId="0" fontId="16" fillId="24" borderId="22" xfId="0" applyFont="1" applyFill="1" applyBorder="1" applyAlignment="1">
      <alignment vertical="center"/>
    </xf>
    <xf numFmtId="0" fontId="16" fillId="24" borderId="21" xfId="0" applyFont="1" applyFill="1" applyBorder="1" applyAlignment="1">
      <alignment vertical="center"/>
    </xf>
    <xf numFmtId="0" fontId="16" fillId="24" borderId="23" xfId="0" applyFont="1" applyFill="1" applyBorder="1" applyAlignment="1">
      <alignment vertical="center"/>
    </xf>
    <xf numFmtId="0" fontId="10" fillId="24" borderId="22" xfId="0" applyFont="1" applyFill="1" applyBorder="1" applyAlignment="1">
      <alignment vertical="center"/>
    </xf>
    <xf numFmtId="0" fontId="10" fillId="24" borderId="21" xfId="0" applyFont="1" applyFill="1" applyBorder="1" applyAlignment="1">
      <alignment vertical="center"/>
    </xf>
    <xf numFmtId="0" fontId="10" fillId="24" borderId="23" xfId="0" applyFont="1" applyFill="1" applyBorder="1" applyAlignment="1">
      <alignment vertical="center"/>
    </xf>
    <xf numFmtId="0" fontId="13" fillId="12" borderId="0" xfId="0" applyFont="1" applyFill="1" applyAlignment="1">
      <alignment horizontal="center" vertical="center"/>
    </xf>
    <xf numFmtId="0" fontId="0" fillId="24" borderId="21" xfId="0" applyFill="1" applyBorder="1" applyAlignment="1">
      <alignment vertical="center"/>
    </xf>
    <xf numFmtId="0" fontId="0" fillId="24" borderId="23" xfId="0" applyFill="1" applyBorder="1" applyAlignment="1">
      <alignment vertical="center"/>
    </xf>
    <xf numFmtId="0" fontId="15" fillId="25" borderId="22" xfId="0" applyFont="1" applyFill="1" applyBorder="1" applyAlignment="1">
      <alignment vertical="center" wrapText="1"/>
    </xf>
    <xf numFmtId="0" fontId="15" fillId="25" borderId="21" xfId="0" applyFont="1" applyFill="1" applyBorder="1" applyAlignment="1">
      <alignment vertical="center" wrapText="1"/>
    </xf>
    <xf numFmtId="0" fontId="15" fillId="25" borderId="23" xfId="0" applyFont="1" applyFill="1" applyBorder="1" applyAlignment="1">
      <alignment vertical="center" wrapText="1"/>
    </xf>
    <xf numFmtId="0" fontId="7" fillId="24" borderId="26" xfId="0" applyFont="1" applyFill="1" applyBorder="1" applyAlignment="1">
      <alignment horizontal="justify" vertical="center" wrapText="1"/>
    </xf>
    <xf numFmtId="0" fontId="7" fillId="24" borderId="24" xfId="0" applyFont="1" applyFill="1" applyBorder="1" applyAlignment="1">
      <alignment horizontal="justify" vertical="center" wrapText="1"/>
    </xf>
    <xf numFmtId="0" fontId="7" fillId="24" borderId="30" xfId="0" applyFont="1" applyFill="1" applyBorder="1" applyAlignment="1">
      <alignment horizontal="justify" vertical="center" wrapText="1"/>
    </xf>
    <xf numFmtId="0" fontId="7" fillId="24" borderId="18" xfId="0" applyFont="1" applyFill="1" applyBorder="1" applyAlignment="1">
      <alignment horizontal="justify" vertical="center" wrapText="1"/>
    </xf>
    <xf numFmtId="0" fontId="7" fillId="24" borderId="19" xfId="0" applyFont="1" applyFill="1" applyBorder="1" applyAlignment="1">
      <alignment horizontal="justify" vertical="center" wrapText="1"/>
    </xf>
    <xf numFmtId="0" fontId="7" fillId="24" borderId="31" xfId="0" applyFont="1" applyFill="1" applyBorder="1" applyAlignment="1">
      <alignment horizontal="justify" vertical="center" wrapText="1"/>
    </xf>
    <xf numFmtId="0" fontId="7" fillId="24" borderId="28" xfId="0" applyFont="1" applyFill="1" applyBorder="1" applyAlignment="1">
      <alignment horizontal="justify" vertical="center" wrapText="1"/>
    </xf>
    <xf numFmtId="0" fontId="7" fillId="24" borderId="0" xfId="0" applyFont="1" applyFill="1" applyBorder="1" applyAlignment="1">
      <alignment horizontal="justify" vertical="center" wrapText="1"/>
    </xf>
    <xf numFmtId="0" fontId="7" fillId="24" borderId="29" xfId="0" applyFont="1" applyFill="1" applyBorder="1" applyAlignment="1">
      <alignment horizontal="justify" vertical="center" wrapText="1"/>
    </xf>
    <xf numFmtId="0" fontId="7" fillId="24" borderId="28" xfId="8" applyFont="1" applyFill="1" applyBorder="1" applyAlignment="1">
      <alignment horizontal="justify" vertical="center" wrapText="1"/>
    </xf>
    <xf numFmtId="0" fontId="7" fillId="24" borderId="0" xfId="8" applyFont="1" applyFill="1" applyBorder="1" applyAlignment="1">
      <alignment horizontal="justify" vertical="center" wrapText="1"/>
    </xf>
    <xf numFmtId="0" fontId="7" fillId="24" borderId="29" xfId="8" applyFont="1" applyFill="1" applyBorder="1" applyAlignment="1">
      <alignment horizontal="justify" vertical="center" wrapText="1"/>
    </xf>
    <xf numFmtId="0" fontId="7" fillId="26" borderId="22" xfId="0" applyFont="1" applyFill="1" applyBorder="1" applyAlignment="1">
      <alignment vertical="center" wrapText="1"/>
    </xf>
    <xf numFmtId="0" fontId="7" fillId="26" borderId="21" xfId="0" applyFont="1" applyFill="1" applyBorder="1" applyAlignment="1">
      <alignment vertical="center" wrapText="1"/>
    </xf>
    <xf numFmtId="0" fontId="7" fillId="26" borderId="32" xfId="0" applyFont="1" applyFill="1" applyBorder="1" applyAlignment="1">
      <alignment vertical="center" wrapText="1"/>
    </xf>
    <xf numFmtId="0" fontId="8" fillId="24" borderId="26" xfId="0" applyFont="1" applyFill="1" applyBorder="1" applyAlignment="1">
      <alignment vertical="center" wrapText="1"/>
    </xf>
    <xf numFmtId="0" fontId="8" fillId="24" borderId="24" xfId="0" applyFont="1" applyFill="1" applyBorder="1" applyAlignment="1">
      <alignment vertical="center" wrapText="1"/>
    </xf>
    <xf numFmtId="0" fontId="8" fillId="24" borderId="30" xfId="0" applyFont="1" applyFill="1" applyBorder="1" applyAlignment="1">
      <alignment vertical="center" wrapText="1"/>
    </xf>
    <xf numFmtId="0" fontId="6" fillId="24" borderId="32" xfId="0" applyFont="1" applyFill="1" applyBorder="1" applyAlignment="1">
      <alignment vertical="center"/>
    </xf>
    <xf numFmtId="0" fontId="8" fillId="24" borderId="28" xfId="0" applyFont="1" applyFill="1" applyBorder="1" applyAlignment="1">
      <alignment horizontal="justify" vertical="center" wrapText="1"/>
    </xf>
    <xf numFmtId="0" fontId="8" fillId="24" borderId="0" xfId="0" applyFont="1" applyFill="1" applyBorder="1" applyAlignment="1">
      <alignment horizontal="justify" vertical="center" wrapText="1"/>
    </xf>
    <xf numFmtId="0" fontId="8" fillId="24" borderId="29" xfId="0" applyFont="1" applyFill="1" applyBorder="1" applyAlignment="1">
      <alignment horizontal="justify" vertical="center" wrapText="1"/>
    </xf>
    <xf numFmtId="0" fontId="8" fillId="24" borderId="28" xfId="0" applyFont="1" applyFill="1" applyBorder="1" applyAlignment="1">
      <alignment vertical="center" wrapText="1"/>
    </xf>
    <xf numFmtId="0" fontId="8" fillId="24" borderId="0" xfId="0" applyFont="1" applyFill="1" applyBorder="1" applyAlignment="1">
      <alignment vertical="center" wrapText="1"/>
    </xf>
    <xf numFmtId="0" fontId="8" fillId="24" borderId="29" xfId="0" applyFont="1" applyFill="1" applyBorder="1" applyAlignment="1">
      <alignment vertical="center" wrapText="1"/>
    </xf>
    <xf numFmtId="0" fontId="45" fillId="24" borderId="18" xfId="0" applyFont="1" applyFill="1" applyBorder="1" applyAlignment="1">
      <alignment horizontal="justify" vertical="center" wrapText="1"/>
    </xf>
    <xf numFmtId="0" fontId="45" fillId="24" borderId="19" xfId="0" applyFont="1" applyFill="1" applyBorder="1" applyAlignment="1">
      <alignment horizontal="justify" vertical="center" wrapText="1"/>
    </xf>
    <xf numFmtId="0" fontId="45" fillId="24" borderId="31" xfId="0" applyFont="1" applyFill="1" applyBorder="1" applyAlignment="1">
      <alignment horizontal="justify" vertical="center" wrapText="1"/>
    </xf>
    <xf numFmtId="0" fontId="43" fillId="24" borderId="18" xfId="0" applyFont="1" applyFill="1" applyBorder="1" applyAlignment="1">
      <alignment horizontal="left" vertical="center" wrapText="1" indent="4"/>
    </xf>
    <xf numFmtId="0" fontId="43" fillId="24" borderId="19" xfId="0" applyFont="1" applyFill="1" applyBorder="1" applyAlignment="1">
      <alignment horizontal="left" vertical="center" wrapText="1" indent="4"/>
    </xf>
    <xf numFmtId="0" fontId="43" fillId="24" borderId="31" xfId="0" applyFont="1" applyFill="1" applyBorder="1" applyAlignment="1">
      <alignment horizontal="left" vertical="center" wrapText="1" indent="4"/>
    </xf>
    <xf numFmtId="0" fontId="44" fillId="24" borderId="28" xfId="0" applyFont="1" applyFill="1" applyBorder="1" applyAlignment="1">
      <alignment horizontal="left" vertical="center" wrapText="1" indent="4"/>
    </xf>
    <xf numFmtId="0" fontId="44" fillId="24" borderId="0" xfId="0" applyFont="1" applyFill="1" applyBorder="1" applyAlignment="1">
      <alignment horizontal="left" vertical="center" wrapText="1" indent="4"/>
    </xf>
    <xf numFmtId="0" fontId="44" fillId="24" borderId="29" xfId="0" applyFont="1" applyFill="1" applyBorder="1" applyAlignment="1">
      <alignment horizontal="left" vertical="center" wrapText="1" indent="4"/>
    </xf>
    <xf numFmtId="0" fontId="43" fillId="24" borderId="26" xfId="0" applyFont="1" applyFill="1" applyBorder="1" applyAlignment="1">
      <alignment horizontal="left" vertical="center" wrapText="1" indent="4"/>
    </xf>
    <xf numFmtId="0" fontId="43" fillId="24" borderId="24" xfId="0" applyFont="1" applyFill="1" applyBorder="1" applyAlignment="1">
      <alignment horizontal="left" vertical="center" wrapText="1" indent="4"/>
    </xf>
    <xf numFmtId="0" fontId="43" fillId="24" borderId="30" xfId="0" applyFont="1" applyFill="1" applyBorder="1" applyAlignment="1">
      <alignment horizontal="left" vertical="center" wrapText="1" indent="4"/>
    </xf>
    <xf numFmtId="0" fontId="15" fillId="25" borderId="34" xfId="0" applyFont="1" applyFill="1" applyBorder="1" applyAlignment="1">
      <alignment vertical="center"/>
    </xf>
    <xf numFmtId="0" fontId="10" fillId="24" borderId="35" xfId="0" applyFont="1" applyFill="1" applyBorder="1" applyAlignment="1">
      <alignment vertical="center"/>
    </xf>
    <xf numFmtId="0" fontId="10" fillId="24" borderId="36" xfId="0" applyFont="1" applyFill="1" applyBorder="1" applyAlignment="1">
      <alignment vertical="center"/>
    </xf>
    <xf numFmtId="0" fontId="10" fillId="24" borderId="37" xfId="0" applyFont="1" applyFill="1" applyBorder="1" applyAlignment="1">
      <alignment vertical="center"/>
    </xf>
    <xf numFmtId="0" fontId="16" fillId="24" borderId="35" xfId="0" applyFont="1" applyFill="1" applyBorder="1" applyAlignment="1">
      <alignment vertical="center"/>
    </xf>
    <xf numFmtId="0" fontId="16" fillId="24" borderId="36" xfId="0" applyFont="1" applyFill="1" applyBorder="1" applyAlignment="1">
      <alignment vertical="center"/>
    </xf>
    <xf numFmtId="0" fontId="16" fillId="24" borderId="37" xfId="0" applyFont="1" applyFill="1" applyBorder="1" applyAlignment="1">
      <alignment vertical="center"/>
    </xf>
    <xf numFmtId="0" fontId="15" fillId="25" borderId="26" xfId="0" applyFont="1" applyFill="1" applyBorder="1" applyAlignment="1">
      <alignment horizontal="center" vertical="center"/>
    </xf>
    <xf numFmtId="0" fontId="15" fillId="25" borderId="24" xfId="0" applyFont="1" applyFill="1" applyBorder="1" applyAlignment="1">
      <alignment horizontal="center" vertical="center"/>
    </xf>
    <xf numFmtId="0" fontId="15" fillId="25" borderId="27" xfId="0" applyFont="1" applyFill="1" applyBorder="1" applyAlignment="1">
      <alignment horizontal="center" vertical="center"/>
    </xf>
    <xf numFmtId="0" fontId="15" fillId="25" borderId="34" xfId="0" applyFont="1" applyFill="1" applyBorder="1" applyAlignment="1">
      <alignment vertical="center" wrapText="1"/>
    </xf>
    <xf numFmtId="0" fontId="14" fillId="24" borderId="24" xfId="0" applyFont="1" applyFill="1" applyBorder="1" applyAlignment="1">
      <alignment vertical="center"/>
    </xf>
    <xf numFmtId="0" fontId="14" fillId="24" borderId="33" xfId="0" applyFont="1" applyFill="1" applyBorder="1" applyAlignment="1">
      <alignment vertical="center"/>
    </xf>
    <xf numFmtId="0" fontId="0" fillId="0" borderId="33" xfId="0" applyBorder="1" applyAlignment="1">
      <alignment vertical="center" wrapText="1"/>
    </xf>
    <xf numFmtId="0" fontId="0" fillId="24" borderId="35" xfId="0" applyFill="1" applyBorder="1" applyAlignment="1">
      <alignment vertical="center"/>
    </xf>
    <xf numFmtId="0" fontId="0" fillId="24" borderId="36" xfId="0" applyFill="1" applyBorder="1" applyAlignment="1">
      <alignment vertical="center"/>
    </xf>
    <xf numFmtId="0" fontId="0" fillId="24" borderId="37" xfId="0" applyFill="1" applyBorder="1" applyAlignment="1">
      <alignment vertical="center"/>
    </xf>
    <xf numFmtId="0" fontId="37" fillId="24" borderId="53" xfId="0" applyFont="1" applyFill="1" applyBorder="1" applyAlignment="1">
      <alignment horizontal="left" vertical="center" wrapText="1" indent="4"/>
    </xf>
    <xf numFmtId="0" fontId="37" fillId="24" borderId="0" xfId="0" applyFont="1" applyFill="1" applyBorder="1" applyAlignment="1">
      <alignment horizontal="left" vertical="center" wrapText="1" indent="4"/>
    </xf>
    <xf numFmtId="0" fontId="37" fillId="24" borderId="14" xfId="0" applyFont="1" applyFill="1" applyBorder="1" applyAlignment="1">
      <alignment horizontal="left" vertical="center" wrapText="1" indent="4"/>
    </xf>
    <xf numFmtId="0" fontId="7" fillId="24" borderId="9" xfId="0" applyFont="1" applyFill="1" applyBorder="1" applyAlignment="1">
      <alignment horizontal="left" vertical="center" wrapText="1" indent="4"/>
    </xf>
    <xf numFmtId="0" fontId="37" fillId="24" borderId="11" xfId="0" applyFont="1" applyFill="1" applyBorder="1" applyAlignment="1">
      <alignment horizontal="left" vertical="center" wrapText="1" indent="4"/>
    </xf>
    <xf numFmtId="0" fontId="37" fillId="24" borderId="15" xfId="0" applyFont="1" applyFill="1" applyBorder="1" applyAlignment="1">
      <alignment horizontal="left" vertical="center" wrapText="1" indent="4"/>
    </xf>
    <xf numFmtId="0" fontId="76" fillId="25" borderId="26" xfId="0" applyFont="1" applyFill="1" applyBorder="1" applyAlignment="1">
      <alignment vertical="center"/>
    </xf>
    <xf numFmtId="0" fontId="76" fillId="25" borderId="24" xfId="0" applyFont="1" applyFill="1" applyBorder="1" applyAlignment="1">
      <alignment vertical="center"/>
    </xf>
    <xf numFmtId="0" fontId="76" fillId="25" borderId="30" xfId="0" applyFont="1" applyFill="1" applyBorder="1" applyAlignment="1">
      <alignment vertical="center"/>
    </xf>
    <xf numFmtId="0" fontId="7" fillId="24" borderId="23" xfId="0" applyFont="1" applyFill="1" applyBorder="1" applyAlignment="1">
      <alignment vertical="center"/>
    </xf>
    <xf numFmtId="0" fontId="76" fillId="25" borderId="22" xfId="0" applyFont="1" applyFill="1" applyBorder="1" applyAlignment="1">
      <alignment vertical="center"/>
    </xf>
    <xf numFmtId="0" fontId="76" fillId="25" borderId="21" xfId="0" applyFont="1" applyFill="1" applyBorder="1" applyAlignment="1">
      <alignment vertical="center"/>
    </xf>
    <xf numFmtId="0" fontId="76" fillId="25" borderId="32" xfId="0" applyFont="1" applyFill="1" applyBorder="1" applyAlignment="1">
      <alignment vertical="center"/>
    </xf>
    <xf numFmtId="0" fontId="37" fillId="24" borderId="53" xfId="0" quotePrefix="1" applyFont="1" applyFill="1" applyBorder="1" applyAlignment="1">
      <alignment horizontal="justify" vertical="center" wrapText="1"/>
    </xf>
    <xf numFmtId="0" fontId="37" fillId="24" borderId="14" xfId="0" applyFont="1" applyFill="1" applyBorder="1" applyAlignment="1">
      <alignment horizontal="justify" vertical="center" wrapText="1"/>
    </xf>
    <xf numFmtId="0" fontId="76" fillId="25" borderId="18" xfId="0" applyFont="1" applyFill="1" applyBorder="1" applyAlignment="1">
      <alignment vertical="center"/>
    </xf>
    <xf numFmtId="0" fontId="76" fillId="25" borderId="19" xfId="0" applyFont="1" applyFill="1" applyBorder="1" applyAlignment="1">
      <alignment vertical="center"/>
    </xf>
    <xf numFmtId="0" fontId="76" fillId="25" borderId="31" xfId="0" applyFont="1" applyFill="1" applyBorder="1" applyAlignment="1">
      <alignment vertical="center"/>
    </xf>
    <xf numFmtId="0" fontId="52" fillId="24" borderId="53" xfId="0" applyFont="1" applyFill="1" applyBorder="1" applyAlignment="1">
      <alignment horizontal="left" vertical="center" wrapText="1" indent="11"/>
    </xf>
    <xf numFmtId="0" fontId="52" fillId="24" borderId="0" xfId="0" applyFont="1" applyFill="1" applyBorder="1" applyAlignment="1">
      <alignment horizontal="left" vertical="center" wrapText="1" indent="11"/>
    </xf>
    <xf numFmtId="0" fontId="52" fillId="24" borderId="14" xfId="0" applyFont="1" applyFill="1" applyBorder="1" applyAlignment="1">
      <alignment horizontal="left" vertical="center" wrapText="1" indent="11"/>
    </xf>
    <xf numFmtId="0" fontId="53" fillId="24" borderId="53" xfId="0" applyFont="1" applyFill="1" applyBorder="1" applyAlignment="1">
      <alignment horizontal="left" vertical="center" wrapText="1" indent="11"/>
    </xf>
    <xf numFmtId="0" fontId="53" fillId="24" borderId="0" xfId="0" applyFont="1" applyFill="1" applyBorder="1" applyAlignment="1">
      <alignment horizontal="left" vertical="center" wrapText="1" indent="11"/>
    </xf>
    <xf numFmtId="0" fontId="53" fillId="24" borderId="14" xfId="0" applyFont="1" applyFill="1" applyBorder="1" applyAlignment="1">
      <alignment horizontal="left" vertical="center" wrapText="1" indent="11"/>
    </xf>
    <xf numFmtId="0" fontId="7" fillId="24" borderId="7" xfId="0" quotePrefix="1" applyFont="1" applyFill="1" applyBorder="1" applyAlignment="1">
      <alignment horizontal="left" vertical="center" wrapText="1"/>
    </xf>
    <xf numFmtId="0" fontId="7" fillId="24" borderId="10" xfId="0" applyFont="1" applyFill="1" applyBorder="1" applyAlignment="1">
      <alignment horizontal="left" vertical="center" wrapText="1"/>
    </xf>
    <xf numFmtId="0" fontId="7" fillId="24" borderId="13" xfId="0" applyFont="1" applyFill="1" applyBorder="1" applyAlignment="1">
      <alignment horizontal="left" vertical="center" wrapText="1"/>
    </xf>
    <xf numFmtId="0" fontId="7" fillId="0" borderId="22" xfId="0" applyFont="1" applyBorder="1" applyAlignment="1">
      <alignment vertical="center"/>
    </xf>
    <xf numFmtId="0" fontId="7" fillId="0" borderId="21" xfId="0" applyFont="1" applyBorder="1" applyAlignment="1">
      <alignment vertical="center"/>
    </xf>
    <xf numFmtId="0" fontId="7" fillId="0" borderId="23" xfId="0" applyFont="1" applyBorder="1" applyAlignment="1">
      <alignment vertical="center"/>
    </xf>
    <xf numFmtId="0" fontId="75" fillId="24" borderId="21" xfId="0" applyFont="1" applyFill="1" applyBorder="1" applyAlignment="1">
      <alignment vertical="center"/>
    </xf>
    <xf numFmtId="0" fontId="0" fillId="0" borderId="21" xfId="0" applyFont="1" applyBorder="1" applyAlignment="1">
      <alignment vertical="center" wrapText="1"/>
    </xf>
    <xf numFmtId="0" fontId="37" fillId="24" borderId="28" xfId="0" applyFont="1" applyFill="1" applyBorder="1" applyAlignment="1">
      <alignment horizontal="justify" vertical="center" wrapText="1"/>
    </xf>
    <xf numFmtId="0" fontId="37" fillId="24" borderId="26" xfId="0" applyFont="1" applyFill="1" applyBorder="1" applyAlignment="1">
      <alignment horizontal="justify" vertical="center" wrapText="1"/>
    </xf>
    <xf numFmtId="0" fontId="37" fillId="24" borderId="24" xfId="0" applyFont="1" applyFill="1" applyBorder="1" applyAlignment="1">
      <alignment horizontal="justify" vertical="center" wrapText="1"/>
    </xf>
    <xf numFmtId="0" fontId="37" fillId="24" borderId="30" xfId="0" applyFont="1" applyFill="1" applyBorder="1" applyAlignment="1">
      <alignment horizontal="justify" vertical="center" wrapText="1"/>
    </xf>
    <xf numFmtId="0" fontId="7" fillId="24" borderId="22" xfId="0" applyFont="1" applyFill="1" applyBorder="1" applyAlignment="1">
      <alignment vertical="center" wrapText="1"/>
    </xf>
    <xf numFmtId="0" fontId="7" fillId="24" borderId="21" xfId="0" applyFont="1" applyFill="1" applyBorder="1" applyAlignment="1">
      <alignment vertical="center" wrapText="1"/>
    </xf>
    <xf numFmtId="0" fontId="7" fillId="24" borderId="32" xfId="0" applyFont="1" applyFill="1" applyBorder="1" applyAlignment="1">
      <alignment vertical="center" wrapText="1"/>
    </xf>
    <xf numFmtId="0" fontId="37" fillId="24" borderId="18" xfId="0" applyFont="1" applyFill="1" applyBorder="1" applyAlignment="1">
      <alignment horizontal="justify" vertical="center" wrapText="1"/>
    </xf>
    <xf numFmtId="0" fontId="76" fillId="25" borderId="22" xfId="0" applyFont="1" applyFill="1" applyBorder="1" applyAlignment="1">
      <alignment horizontal="center" vertical="center"/>
    </xf>
    <xf numFmtId="0" fontId="76" fillId="25" borderId="21" xfId="0" applyFont="1" applyFill="1" applyBorder="1" applyAlignment="1">
      <alignment horizontal="center" vertical="center"/>
    </xf>
    <xf numFmtId="0" fontId="76" fillId="25" borderId="23" xfId="0" applyFont="1" applyFill="1" applyBorder="1" applyAlignment="1">
      <alignment horizontal="center" vertical="center"/>
    </xf>
    <xf numFmtId="0" fontId="7" fillId="24" borderId="18" xfId="0" applyFont="1" applyFill="1" applyBorder="1" applyAlignment="1">
      <alignment horizontal="center" vertical="center"/>
    </xf>
    <xf numFmtId="0" fontId="7" fillId="24" borderId="19" xfId="0" applyFont="1" applyFill="1" applyBorder="1" applyAlignment="1">
      <alignment horizontal="center" vertical="center"/>
    </xf>
    <xf numFmtId="0" fontId="7" fillId="24" borderId="20" xfId="0" applyFont="1" applyFill="1" applyBorder="1" applyAlignment="1">
      <alignment horizontal="center" vertical="center"/>
    </xf>
    <xf numFmtId="0" fontId="76" fillId="25" borderId="22" xfId="0" applyFont="1" applyFill="1" applyBorder="1" applyAlignment="1">
      <alignment vertical="center" wrapText="1"/>
    </xf>
    <xf numFmtId="0" fontId="76" fillId="25" borderId="21" xfId="0" applyFont="1" applyFill="1" applyBorder="1" applyAlignment="1">
      <alignment vertical="center" wrapText="1"/>
    </xf>
    <xf numFmtId="0" fontId="76" fillId="25" borderId="34" xfId="0" applyFont="1" applyFill="1" applyBorder="1" applyAlignment="1">
      <alignment vertical="center" wrapText="1"/>
    </xf>
    <xf numFmtId="0" fontId="76" fillId="25" borderId="34" xfId="0" applyFont="1" applyFill="1" applyBorder="1" applyAlignment="1">
      <alignment vertical="center"/>
    </xf>
    <xf numFmtId="0" fontId="76" fillId="25" borderId="26" xfId="0" applyFont="1" applyFill="1" applyBorder="1" applyAlignment="1">
      <alignment horizontal="center" vertical="center"/>
    </xf>
    <xf numFmtId="0" fontId="76" fillId="25" borderId="24" xfId="0" applyFont="1" applyFill="1" applyBorder="1" applyAlignment="1">
      <alignment horizontal="center" vertical="center"/>
    </xf>
    <xf numFmtId="0" fontId="76" fillId="25" borderId="27" xfId="0" applyFont="1" applyFill="1" applyBorder="1" applyAlignment="1">
      <alignment horizontal="center" vertical="center"/>
    </xf>
    <xf numFmtId="0" fontId="74" fillId="12" borderId="0" xfId="0" applyFont="1" applyFill="1" applyAlignment="1">
      <alignment horizontal="center" vertical="center"/>
    </xf>
    <xf numFmtId="0" fontId="75" fillId="24" borderId="24" xfId="0" applyFont="1" applyFill="1" applyBorder="1" applyAlignment="1">
      <alignment vertical="center"/>
    </xf>
    <xf numFmtId="0" fontId="75" fillId="24" borderId="33" xfId="0" applyFont="1" applyFill="1" applyBorder="1" applyAlignment="1">
      <alignment vertical="center"/>
    </xf>
    <xf numFmtId="0" fontId="0" fillId="0" borderId="33" xfId="0" applyFont="1" applyBorder="1" applyAlignment="1">
      <alignment vertical="center" wrapText="1"/>
    </xf>
    <xf numFmtId="0" fontId="0" fillId="24" borderId="35" xfId="0" applyFont="1" applyFill="1" applyBorder="1" applyAlignment="1">
      <alignment vertical="center"/>
    </xf>
    <xf numFmtId="0" fontId="0" fillId="24" borderId="36" xfId="0" applyFont="1" applyFill="1" applyBorder="1" applyAlignment="1">
      <alignment vertical="center"/>
    </xf>
    <xf numFmtId="0" fontId="0" fillId="24" borderId="37" xfId="0" applyFont="1" applyFill="1" applyBorder="1" applyAlignment="1">
      <alignment vertical="center"/>
    </xf>
    <xf numFmtId="0" fontId="7" fillId="24" borderId="26" xfId="0" applyFont="1" applyFill="1" applyBorder="1" applyAlignment="1">
      <alignment vertical="center" wrapText="1"/>
    </xf>
    <xf numFmtId="0" fontId="7" fillId="24" borderId="24" xfId="0" applyFont="1" applyFill="1" applyBorder="1" applyAlignment="1">
      <alignment vertical="center" wrapText="1"/>
    </xf>
    <xf numFmtId="0" fontId="7" fillId="24" borderId="30" xfId="0" applyFont="1" applyFill="1" applyBorder="1" applyAlignment="1">
      <alignment vertical="center" wrapText="1"/>
    </xf>
    <xf numFmtId="0" fontId="7" fillId="24" borderId="18" xfId="0" applyFont="1" applyFill="1" applyBorder="1" applyAlignment="1">
      <alignment vertical="center"/>
    </xf>
    <xf numFmtId="0" fontId="7" fillId="24" borderId="19" xfId="0" applyFont="1" applyFill="1" applyBorder="1" applyAlignment="1">
      <alignment vertical="center"/>
    </xf>
    <xf numFmtId="0" fontId="7" fillId="24" borderId="31" xfId="0" applyFont="1" applyFill="1" applyBorder="1" applyAlignment="1">
      <alignment vertical="center"/>
    </xf>
    <xf numFmtId="0" fontId="39" fillId="24" borderId="0" xfId="0" applyFont="1" applyFill="1" applyBorder="1" applyAlignment="1">
      <alignment horizontal="justify" vertical="center" wrapText="1"/>
    </xf>
    <xf numFmtId="0" fontId="39" fillId="24" borderId="29" xfId="0" applyFont="1" applyFill="1" applyBorder="1" applyAlignment="1">
      <alignment horizontal="justify" vertical="center" wrapText="1"/>
    </xf>
    <xf numFmtId="0" fontId="41" fillId="24" borderId="26" xfId="0" applyFont="1" applyFill="1" applyBorder="1" applyAlignment="1">
      <alignment horizontal="justify" vertical="center" wrapText="1"/>
    </xf>
    <xf numFmtId="0" fontId="41" fillId="24" borderId="24" xfId="0" applyFont="1" applyFill="1" applyBorder="1" applyAlignment="1">
      <alignment horizontal="justify" vertical="center" wrapText="1"/>
    </xf>
    <xf numFmtId="0" fontId="41" fillId="24" borderId="30" xfId="0" applyFont="1" applyFill="1" applyBorder="1" applyAlignment="1">
      <alignment horizontal="justify" vertical="center" wrapText="1"/>
    </xf>
    <xf numFmtId="0" fontId="39" fillId="24" borderId="19" xfId="0" applyFont="1" applyFill="1" applyBorder="1" applyAlignment="1">
      <alignment horizontal="justify" vertical="center" wrapText="1"/>
    </xf>
    <xf numFmtId="0" fontId="39" fillId="24" borderId="31" xfId="0" applyFont="1" applyFill="1" applyBorder="1" applyAlignment="1">
      <alignment horizontal="justify" vertical="center" wrapText="1"/>
    </xf>
    <xf numFmtId="0" fontId="0" fillId="0" borderId="24" xfId="0" applyBorder="1" applyAlignment="1">
      <alignment vertical="center" wrapText="1"/>
    </xf>
    <xf numFmtId="0" fontId="0" fillId="24" borderId="22" xfId="0" applyFill="1" applyBorder="1" applyAlignment="1">
      <alignment vertical="center"/>
    </xf>
    <xf numFmtId="0" fontId="21" fillId="24" borderId="28" xfId="0" applyFont="1" applyFill="1" applyBorder="1" applyAlignment="1">
      <alignment horizontal="left" vertical="center" wrapText="1" indent="4"/>
    </xf>
    <xf numFmtId="0" fontId="21" fillId="24" borderId="0" xfId="0" applyFont="1" applyFill="1" applyBorder="1" applyAlignment="1">
      <alignment horizontal="left" vertical="center" wrapText="1" indent="4"/>
    </xf>
    <xf numFmtId="0" fontId="21" fillId="24" borderId="29" xfId="0" applyFont="1" applyFill="1" applyBorder="1" applyAlignment="1">
      <alignment horizontal="left" vertical="center" wrapText="1" indent="4"/>
    </xf>
    <xf numFmtId="0" fontId="21" fillId="24" borderId="26" xfId="0" applyFont="1" applyFill="1" applyBorder="1" applyAlignment="1">
      <alignment horizontal="left" vertical="center" wrapText="1" indent="4"/>
    </xf>
    <xf numFmtId="0" fontId="21" fillId="24" borderId="24" xfId="0" applyFont="1" applyFill="1" applyBorder="1" applyAlignment="1">
      <alignment horizontal="left" vertical="center" wrapText="1" indent="4"/>
    </xf>
    <xf numFmtId="0" fontId="21" fillId="24" borderId="30" xfId="0" applyFont="1" applyFill="1" applyBorder="1" applyAlignment="1">
      <alignment horizontal="left" vertical="center" wrapText="1" indent="4"/>
    </xf>
    <xf numFmtId="0" fontId="21" fillId="24" borderId="18" xfId="0" applyFont="1" applyFill="1" applyBorder="1" applyAlignment="1">
      <alignment horizontal="left" vertical="center" wrapText="1" indent="4"/>
    </xf>
    <xf numFmtId="0" fontId="21" fillId="24" borderId="19" xfId="0" applyFont="1" applyFill="1" applyBorder="1" applyAlignment="1">
      <alignment horizontal="left" vertical="center" wrapText="1" indent="4"/>
    </xf>
    <xf numFmtId="0" fontId="21" fillId="24" borderId="31" xfId="0" applyFont="1" applyFill="1" applyBorder="1" applyAlignment="1">
      <alignment horizontal="left" vertical="center" wrapText="1" indent="4"/>
    </xf>
    <xf numFmtId="0" fontId="17" fillId="24" borderId="22" xfId="0" applyFont="1" applyFill="1" applyBorder="1" applyAlignment="1">
      <alignment vertical="center" wrapText="1"/>
    </xf>
    <xf numFmtId="0" fontId="17" fillId="24" borderId="21" xfId="0" applyFont="1" applyFill="1" applyBorder="1" applyAlignment="1">
      <alignment vertical="center" wrapText="1"/>
    </xf>
    <xf numFmtId="0" fontId="17" fillId="24" borderId="32" xfId="0" applyFont="1" applyFill="1" applyBorder="1" applyAlignment="1">
      <alignment vertical="center" wrapText="1"/>
    </xf>
    <xf numFmtId="0" fontId="18" fillId="24" borderId="26" xfId="0" applyFont="1" applyFill="1" applyBorder="1" applyAlignment="1">
      <alignment horizontal="left" vertical="center" wrapText="1" indent="4"/>
    </xf>
    <xf numFmtId="0" fontId="18" fillId="24" borderId="24" xfId="0" applyFont="1" applyFill="1" applyBorder="1" applyAlignment="1">
      <alignment horizontal="left" vertical="center" wrapText="1" indent="4"/>
    </xf>
    <xf numFmtId="0" fontId="18" fillId="24" borderId="30" xfId="0" applyFont="1" applyFill="1" applyBorder="1" applyAlignment="1">
      <alignment horizontal="left" vertical="center" wrapText="1" indent="4"/>
    </xf>
    <xf numFmtId="0" fontId="5" fillId="24" borderId="22" xfId="0" applyFont="1" applyFill="1" applyBorder="1" applyAlignment="1">
      <alignment horizontal="center" vertical="center"/>
    </xf>
    <xf numFmtId="0" fontId="5" fillId="24" borderId="21" xfId="0" applyFont="1" applyFill="1" applyBorder="1" applyAlignment="1">
      <alignment horizontal="center" vertical="center"/>
    </xf>
    <xf numFmtId="0" fontId="5" fillId="24" borderId="23" xfId="0" applyFont="1" applyFill="1" applyBorder="1" applyAlignment="1">
      <alignment horizontal="center" vertical="center"/>
    </xf>
    <xf numFmtId="0" fontId="39" fillId="24" borderId="26" xfId="0" applyFont="1" applyFill="1" applyBorder="1" applyAlignment="1">
      <alignment horizontal="left" vertical="center" wrapText="1" indent="2"/>
    </xf>
    <xf numFmtId="0" fontId="39" fillId="24" borderId="24" xfId="0" applyFont="1" applyFill="1" applyBorder="1" applyAlignment="1">
      <alignment horizontal="left" vertical="center" wrapText="1" indent="2"/>
    </xf>
    <xf numFmtId="0" fontId="39" fillId="24" borderId="30" xfId="0" applyFont="1" applyFill="1" applyBorder="1" applyAlignment="1">
      <alignment horizontal="left" vertical="center" wrapText="1" indent="2"/>
    </xf>
    <xf numFmtId="0" fontId="39" fillId="24" borderId="18" xfId="0" applyFont="1" applyFill="1" applyBorder="1" applyAlignment="1">
      <alignment horizontal="left" vertical="center" wrapText="1" indent="2"/>
    </xf>
    <xf numFmtId="0" fontId="39" fillId="24" borderId="19" xfId="0" applyFont="1" applyFill="1" applyBorder="1" applyAlignment="1">
      <alignment horizontal="left" vertical="center" wrapText="1" indent="2"/>
    </xf>
    <xf numFmtId="0" fontId="39" fillId="24" borderId="31" xfId="0" applyFont="1" applyFill="1" applyBorder="1" applyAlignment="1">
      <alignment horizontal="left" vertical="center" wrapText="1" indent="2"/>
    </xf>
    <xf numFmtId="0" fontId="39" fillId="24" borderId="28" xfId="0" applyFont="1" applyFill="1" applyBorder="1" applyAlignment="1">
      <alignment horizontal="left" vertical="center" wrapText="1" indent="2"/>
    </xf>
    <xf numFmtId="0" fontId="39" fillId="24" borderId="0" xfId="0" applyFont="1" applyFill="1" applyBorder="1" applyAlignment="1">
      <alignment horizontal="left" vertical="center" wrapText="1" indent="2"/>
    </xf>
    <xf numFmtId="0" fontId="39" fillId="24" borderId="29" xfId="0" applyFont="1" applyFill="1" applyBorder="1" applyAlignment="1">
      <alignment horizontal="left" vertical="center" wrapText="1" indent="2"/>
    </xf>
    <xf numFmtId="0" fontId="39" fillId="24" borderId="24" xfId="0" applyFont="1" applyFill="1" applyBorder="1" applyAlignment="1">
      <alignment horizontal="justify" vertical="center" wrapText="1"/>
    </xf>
    <xf numFmtId="0" fontId="39" fillId="24" borderId="30" xfId="0" applyFont="1" applyFill="1" applyBorder="1" applyAlignment="1">
      <alignment horizontal="justify" vertical="center" wrapText="1"/>
    </xf>
    <xf numFmtId="0" fontId="15" fillId="24" borderId="21" xfId="0" applyFont="1" applyFill="1" applyBorder="1" applyAlignment="1">
      <alignment vertical="center"/>
    </xf>
    <xf numFmtId="0" fontId="24" fillId="24" borderId="24" xfId="8" applyFill="1" applyBorder="1" applyAlignment="1">
      <alignment vertical="center"/>
    </xf>
    <xf numFmtId="0" fontId="55" fillId="24" borderId="28" xfId="0" applyFont="1" applyFill="1" applyBorder="1" applyAlignment="1">
      <alignment vertical="center" wrapText="1"/>
    </xf>
    <xf numFmtId="0" fontId="55" fillId="24" borderId="0" xfId="0" applyFont="1" applyFill="1" applyBorder="1" applyAlignment="1">
      <alignment vertical="center" wrapText="1"/>
    </xf>
    <xf numFmtId="0" fontId="55" fillId="24" borderId="29" xfId="0" applyFont="1" applyFill="1" applyBorder="1" applyAlignment="1">
      <alignment vertical="center" wrapText="1"/>
    </xf>
    <xf numFmtId="0" fontId="55" fillId="24" borderId="28" xfId="0" applyFont="1" applyFill="1" applyBorder="1" applyAlignment="1">
      <alignment horizontal="justify" vertical="center" wrapText="1"/>
    </xf>
    <xf numFmtId="0" fontId="55" fillId="24" borderId="0" xfId="0" applyFont="1" applyFill="1" applyBorder="1" applyAlignment="1">
      <alignment horizontal="justify" vertical="center" wrapText="1"/>
    </xf>
    <xf numFmtId="0" fontId="55" fillId="24" borderId="29" xfId="0" applyFont="1" applyFill="1" applyBorder="1" applyAlignment="1">
      <alignment horizontal="justify" vertical="center" wrapText="1"/>
    </xf>
    <xf numFmtId="0" fontId="39" fillId="24" borderId="28" xfId="0" applyFont="1" applyFill="1" applyBorder="1" applyAlignment="1">
      <alignment vertical="center" wrapText="1"/>
    </xf>
    <xf numFmtId="0" fontId="39" fillId="24" borderId="0" xfId="0" applyFont="1" applyFill="1" applyBorder="1" applyAlignment="1">
      <alignment vertical="center" wrapText="1"/>
    </xf>
    <xf numFmtId="0" fontId="39" fillId="24" borderId="29" xfId="0" applyFont="1" applyFill="1" applyBorder="1" applyAlignment="1">
      <alignment vertical="center" wrapText="1"/>
    </xf>
    <xf numFmtId="0" fontId="41" fillId="24" borderId="18" xfId="0" applyFont="1" applyFill="1" applyBorder="1" applyAlignment="1">
      <alignment vertical="center" wrapText="1"/>
    </xf>
    <xf numFmtId="0" fontId="41" fillId="24" borderId="19" xfId="0" applyFont="1" applyFill="1" applyBorder="1" applyAlignment="1">
      <alignment vertical="center" wrapText="1"/>
    </xf>
    <xf numFmtId="0" fontId="41" fillId="24" borderId="31" xfId="0" applyFont="1" applyFill="1" applyBorder="1" applyAlignment="1">
      <alignment vertical="center" wrapText="1"/>
    </xf>
    <xf numFmtId="0" fontId="39" fillId="24" borderId="28" xfId="0" applyFont="1" applyFill="1" applyBorder="1" applyAlignment="1">
      <alignment horizontal="left" vertical="center" wrapText="1" indent="1"/>
    </xf>
    <xf numFmtId="0" fontId="39" fillId="24" borderId="0" xfId="0" applyFont="1" applyFill="1" applyBorder="1" applyAlignment="1">
      <alignment horizontal="left" vertical="center" wrapText="1" indent="1"/>
    </xf>
    <xf numFmtId="0" fontId="39" fillId="24" borderId="29" xfId="0" applyFont="1" applyFill="1" applyBorder="1" applyAlignment="1">
      <alignment horizontal="left" vertical="center" wrapText="1" indent="1"/>
    </xf>
    <xf numFmtId="0" fontId="39" fillId="24" borderId="22" xfId="0" applyFont="1" applyFill="1" applyBorder="1" applyAlignment="1">
      <alignment horizontal="left" vertical="center" wrapText="1" indent="1"/>
    </xf>
    <xf numFmtId="0" fontId="39" fillId="24" borderId="21" xfId="0" applyFont="1" applyFill="1" applyBorder="1" applyAlignment="1">
      <alignment horizontal="left" vertical="center" wrapText="1" indent="1"/>
    </xf>
    <xf numFmtId="0" fontId="39" fillId="24" borderId="32" xfId="0" applyFont="1" applyFill="1" applyBorder="1" applyAlignment="1">
      <alignment horizontal="left" vertical="center" wrapText="1" indent="1"/>
    </xf>
    <xf numFmtId="0" fontId="6" fillId="9" borderId="7" xfId="0" applyFont="1" applyFill="1" applyBorder="1" applyAlignment="1">
      <alignment horizontal="left" vertical="center"/>
    </xf>
    <xf numFmtId="0" fontId="6" fillId="9" borderId="10" xfId="0" applyFont="1" applyFill="1" applyBorder="1" applyAlignment="1">
      <alignment horizontal="left" vertical="center"/>
    </xf>
    <xf numFmtId="0" fontId="6" fillId="9" borderId="13" xfId="0" applyFont="1" applyFill="1" applyBorder="1" applyAlignment="1">
      <alignment horizontal="left" vertical="center"/>
    </xf>
    <xf numFmtId="0" fontId="46" fillId="10" borderId="2" xfId="0" applyFont="1" applyFill="1" applyBorder="1" applyAlignment="1">
      <alignment horizontal="left" vertical="top"/>
    </xf>
    <xf numFmtId="0" fontId="46" fillId="10" borderId="3" xfId="0" applyFont="1" applyFill="1" applyBorder="1" applyAlignment="1">
      <alignment horizontal="left" vertical="top"/>
    </xf>
    <xf numFmtId="0" fontId="46" fillId="10" borderId="4" xfId="0" applyFont="1" applyFill="1" applyBorder="1" applyAlignment="1">
      <alignment horizontal="left" vertical="top"/>
    </xf>
    <xf numFmtId="0" fontId="6" fillId="9" borderId="50" xfId="0" applyFont="1" applyFill="1" applyBorder="1" applyAlignment="1">
      <alignment horizontal="center" vertical="top"/>
    </xf>
    <xf numFmtId="0" fontId="6" fillId="9" borderId="50" xfId="0" applyFont="1" applyFill="1" applyBorder="1" applyAlignment="1">
      <alignment horizontal="center" vertical="center"/>
    </xf>
    <xf numFmtId="0" fontId="46" fillId="10" borderId="50" xfId="0" applyFont="1" applyFill="1" applyBorder="1" applyAlignment="1">
      <alignment horizontal="center" vertical="top"/>
    </xf>
    <xf numFmtId="0" fontId="46" fillId="10" borderId="51" xfId="0" applyFont="1" applyFill="1" applyBorder="1" applyAlignment="1">
      <alignment horizontal="center" vertical="top"/>
    </xf>
    <xf numFmtId="0" fontId="46" fillId="10" borderId="52" xfId="0" applyFont="1" applyFill="1" applyBorder="1" applyAlignment="1">
      <alignment horizontal="center" vertical="top"/>
    </xf>
    <xf numFmtId="14" fontId="6" fillId="9" borderId="51" xfId="0" applyNumberFormat="1" applyFont="1" applyFill="1" applyBorder="1" applyAlignment="1">
      <alignment horizontal="center" vertical="top"/>
    </xf>
    <xf numFmtId="14" fontId="6" fillId="9" borderId="52" xfId="0" applyNumberFormat="1" applyFont="1" applyFill="1" applyBorder="1" applyAlignment="1">
      <alignment horizontal="center" vertical="top"/>
    </xf>
    <xf numFmtId="0" fontId="5" fillId="9" borderId="2" xfId="0" applyFont="1" applyFill="1" applyBorder="1" applyAlignment="1">
      <alignment horizontal="left" vertical="top" wrapText="1"/>
    </xf>
    <xf numFmtId="0" fontId="5" fillId="9" borderId="3" xfId="0" applyFont="1" applyFill="1" applyBorder="1" applyAlignment="1">
      <alignment horizontal="left" vertical="top"/>
    </xf>
    <xf numFmtId="0" fontId="5" fillId="9" borderId="4" xfId="0" applyFont="1" applyFill="1" applyBorder="1" applyAlignment="1">
      <alignment horizontal="left" vertical="top"/>
    </xf>
    <xf numFmtId="0" fontId="6" fillId="9" borderId="2" xfId="0" applyFont="1" applyFill="1" applyBorder="1" applyAlignment="1">
      <alignment horizontal="left" vertical="top"/>
    </xf>
    <xf numFmtId="0" fontId="6" fillId="9" borderId="3" xfId="0" applyFont="1" applyFill="1" applyBorder="1" applyAlignment="1">
      <alignment horizontal="left" vertical="top"/>
    </xf>
    <xf numFmtId="0" fontId="6" fillId="9" borderId="4" xfId="0" applyFont="1" applyFill="1" applyBorder="1" applyAlignment="1">
      <alignment horizontal="left" vertical="top"/>
    </xf>
    <xf numFmtId="0" fontId="50" fillId="9" borderId="2" xfId="0" applyFont="1" applyFill="1" applyBorder="1" applyAlignment="1">
      <alignment horizontal="left" vertical="top" wrapText="1"/>
    </xf>
    <xf numFmtId="0" fontId="35" fillId="9" borderId="3" xfId="0" applyFont="1" applyFill="1" applyBorder="1" applyAlignment="1">
      <alignment horizontal="left" vertical="top"/>
    </xf>
    <xf numFmtId="0" fontId="35" fillId="9" borderId="4" xfId="0" applyFont="1" applyFill="1" applyBorder="1" applyAlignment="1">
      <alignment horizontal="left" vertical="top"/>
    </xf>
    <xf numFmtId="0" fontId="6" fillId="9" borderId="1" xfId="0" applyFont="1" applyFill="1" applyBorder="1" applyAlignment="1">
      <alignment horizontal="left" vertical="top"/>
    </xf>
    <xf numFmtId="0" fontId="24" fillId="24" borderId="0" xfId="8" applyFill="1" applyBorder="1" applyAlignment="1">
      <alignment vertical="center"/>
    </xf>
    <xf numFmtId="0" fontId="5" fillId="9" borderId="2" xfId="0" applyFont="1" applyFill="1" applyBorder="1" applyAlignment="1">
      <alignment horizontal="center" vertical="top"/>
    </xf>
    <xf numFmtId="0" fontId="5" fillId="9" borderId="3" xfId="0" applyFont="1" applyFill="1" applyBorder="1" applyAlignment="1">
      <alignment horizontal="center" vertical="top"/>
    </xf>
    <xf numFmtId="0" fontId="5" fillId="9" borderId="4" xfId="0" applyFont="1" applyFill="1" applyBorder="1" applyAlignment="1">
      <alignment horizontal="center" vertical="top"/>
    </xf>
    <xf numFmtId="0" fontId="6" fillId="9" borderId="7" xfId="0" applyFont="1" applyFill="1" applyBorder="1" applyAlignment="1">
      <alignment vertical="top" wrapText="1"/>
    </xf>
    <xf numFmtId="0" fontId="6" fillId="9" borderId="10" xfId="0" applyFont="1" applyFill="1" applyBorder="1" applyAlignment="1">
      <alignment vertical="top" wrapText="1"/>
    </xf>
    <xf numFmtId="0" fontId="6" fillId="9" borderId="13" xfId="0" applyFont="1" applyFill="1" applyBorder="1" applyAlignment="1">
      <alignment vertical="top" wrapText="1"/>
    </xf>
    <xf numFmtId="0" fontId="6" fillId="9" borderId="9" xfId="0" applyFont="1" applyFill="1" applyBorder="1" applyAlignment="1">
      <alignment vertical="top" wrapText="1"/>
    </xf>
    <xf numFmtId="0" fontId="6" fillId="9" borderId="11" xfId="0" applyFont="1" applyFill="1" applyBorder="1" applyAlignment="1">
      <alignment vertical="top" wrapText="1"/>
    </xf>
    <xf numFmtId="0" fontId="6" fillId="9" borderId="15" xfId="0" applyFont="1" applyFill="1" applyBorder="1" applyAlignment="1">
      <alignment vertical="top" wrapText="1"/>
    </xf>
    <xf numFmtId="0" fontId="6" fillId="9" borderId="7" xfId="0" applyFont="1" applyFill="1" applyBorder="1" applyAlignment="1">
      <alignment horizontal="left" vertical="top" wrapText="1"/>
    </xf>
    <xf numFmtId="0" fontId="6" fillId="9" borderId="10" xfId="0" applyFont="1" applyFill="1" applyBorder="1" applyAlignment="1">
      <alignment horizontal="left" vertical="top" wrapText="1"/>
    </xf>
    <xf numFmtId="0" fontId="6" fillId="9" borderId="13" xfId="0" applyFont="1" applyFill="1" applyBorder="1" applyAlignment="1">
      <alignment horizontal="left" vertical="top" wrapText="1"/>
    </xf>
    <xf numFmtId="0" fontId="6" fillId="9" borderId="53" xfId="0" applyFont="1" applyFill="1" applyBorder="1" applyAlignment="1">
      <alignment horizontal="left" vertical="top" wrapText="1"/>
    </xf>
    <xf numFmtId="0" fontId="6" fillId="9" borderId="0" xfId="0" applyFont="1" applyFill="1" applyBorder="1" applyAlignment="1">
      <alignment horizontal="left" vertical="top" wrapText="1"/>
    </xf>
    <xf numFmtId="0" fontId="6" fillId="9" borderId="14" xfId="0" applyFont="1" applyFill="1" applyBorder="1" applyAlignment="1">
      <alignment horizontal="left" vertical="top" wrapText="1"/>
    </xf>
    <xf numFmtId="0" fontId="6" fillId="9" borderId="9" xfId="0" applyFont="1" applyFill="1" applyBorder="1" applyAlignment="1">
      <alignment horizontal="left" vertical="top" wrapText="1"/>
    </xf>
    <xf numFmtId="0" fontId="6" fillId="9" borderId="11" xfId="0" applyFont="1" applyFill="1" applyBorder="1" applyAlignment="1">
      <alignment horizontal="left" vertical="top" wrapText="1"/>
    </xf>
    <xf numFmtId="0" fontId="6" fillId="9" borderId="15" xfId="0" applyFont="1" applyFill="1" applyBorder="1" applyAlignment="1">
      <alignment horizontal="left" vertical="top" wrapText="1"/>
    </xf>
    <xf numFmtId="0" fontId="6" fillId="9" borderId="2" xfId="0" applyFont="1" applyFill="1" applyBorder="1" applyAlignment="1">
      <alignment horizontal="left" vertical="top" wrapText="1"/>
    </xf>
    <xf numFmtId="0" fontId="49" fillId="9" borderId="3" xfId="0" applyFont="1" applyFill="1" applyBorder="1" applyAlignment="1">
      <alignment horizontal="left" vertical="top"/>
    </xf>
    <xf numFmtId="0" fontId="49" fillId="9" borderId="4" xfId="0" applyFont="1" applyFill="1" applyBorder="1" applyAlignment="1">
      <alignment horizontal="left" vertical="top"/>
    </xf>
    <xf numFmtId="0" fontId="6" fillId="9" borderId="2" xfId="0" applyFont="1" applyFill="1" applyBorder="1" applyAlignment="1">
      <alignment horizontal="center" vertical="top"/>
    </xf>
    <xf numFmtId="0" fontId="6" fillId="9" borderId="7" xfId="0" applyFont="1" applyFill="1" applyBorder="1" applyAlignment="1">
      <alignment horizontal="center" vertical="center"/>
    </xf>
    <xf numFmtId="0" fontId="6" fillId="9" borderId="10" xfId="0" applyFont="1" applyFill="1" applyBorder="1" applyAlignment="1">
      <alignment horizontal="center" vertical="center"/>
    </xf>
    <xf numFmtId="0" fontId="6" fillId="9" borderId="13"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3" xfId="0" applyFont="1" applyFill="1" applyBorder="1" applyAlignment="1">
      <alignment horizontal="center" vertical="center"/>
    </xf>
    <xf numFmtId="0" fontId="6" fillId="9" borderId="4" xfId="0" applyFont="1" applyFill="1" applyBorder="1" applyAlignment="1">
      <alignment horizontal="center" vertical="center"/>
    </xf>
    <xf numFmtId="0" fontId="17" fillId="9" borderId="3" xfId="0" applyFont="1" applyFill="1" applyBorder="1" applyAlignment="1">
      <alignment horizontal="left" vertical="top"/>
    </xf>
    <xf numFmtId="0" fontId="17" fillId="9" borderId="4" xfId="0" applyFont="1" applyFill="1" applyBorder="1" applyAlignment="1">
      <alignment horizontal="left" vertical="top"/>
    </xf>
    <xf numFmtId="0" fontId="24" fillId="24" borderId="11" xfId="8" applyFill="1" applyBorder="1" applyAlignment="1">
      <alignment vertical="center"/>
    </xf>
    <xf numFmtId="0" fontId="11" fillId="9" borderId="9" xfId="0" applyFont="1" applyFill="1" applyBorder="1" applyAlignment="1" applyProtection="1">
      <alignment horizontal="center" vertical="center"/>
    </xf>
    <xf numFmtId="0" fontId="11" fillId="9" borderId="11" xfId="0" applyFont="1" applyFill="1" applyBorder="1" applyAlignment="1" applyProtection="1">
      <alignment horizontal="center" vertical="center"/>
    </xf>
    <xf numFmtId="0" fontId="11" fillId="9" borderId="3" xfId="0" applyFont="1" applyFill="1" applyBorder="1" applyAlignment="1" applyProtection="1">
      <alignment horizontal="center" vertical="center"/>
    </xf>
    <xf numFmtId="0" fontId="11" fillId="9" borderId="4" xfId="0" applyFont="1" applyFill="1" applyBorder="1" applyAlignment="1" applyProtection="1">
      <alignment horizontal="center" vertical="center"/>
    </xf>
    <xf numFmtId="0" fontId="8" fillId="9" borderId="5" xfId="0" applyFont="1" applyFill="1" applyBorder="1" applyAlignment="1" applyProtection="1">
      <alignment horizontal="center" vertical="center" wrapText="1"/>
    </xf>
    <xf numFmtId="0" fontId="8" fillId="9" borderId="6" xfId="0" applyFont="1" applyFill="1" applyBorder="1" applyAlignment="1" applyProtection="1">
      <alignment horizontal="center" vertical="center" wrapText="1"/>
    </xf>
    <xf numFmtId="0" fontId="8" fillId="9" borderId="5" xfId="0" applyFont="1" applyFill="1" applyBorder="1" applyAlignment="1" applyProtection="1">
      <alignment horizontal="center" vertical="center"/>
      <protection locked="0"/>
    </xf>
    <xf numFmtId="0" fontId="8" fillId="9" borderId="6" xfId="0" applyFont="1" applyFill="1" applyBorder="1" applyAlignment="1" applyProtection="1">
      <alignment horizontal="center" vertical="center"/>
      <protection locked="0"/>
    </xf>
    <xf numFmtId="0" fontId="8" fillId="9" borderId="1" xfId="0" applyFont="1" applyFill="1" applyBorder="1" applyAlignment="1" applyProtection="1">
      <alignment horizontal="center" vertical="center" wrapText="1"/>
    </xf>
    <xf numFmtId="0" fontId="53" fillId="24" borderId="28" xfId="8" applyFont="1" applyFill="1" applyBorder="1" applyAlignment="1">
      <alignment horizontal="justify" vertical="center" wrapText="1"/>
    </xf>
    <xf numFmtId="0" fontId="53" fillId="24" borderId="0" xfId="8" applyFont="1" applyFill="1" applyBorder="1" applyAlignment="1">
      <alignment horizontal="justify" vertical="center" wrapText="1"/>
    </xf>
    <xf numFmtId="0" fontId="53" fillId="24" borderId="29" xfId="8" applyFont="1" applyFill="1" applyBorder="1" applyAlignment="1">
      <alignment horizontal="justify" vertical="center" wrapText="1"/>
    </xf>
    <xf numFmtId="0" fontId="57" fillId="24" borderId="28" xfId="0" applyFont="1" applyFill="1" applyBorder="1" applyAlignment="1">
      <alignment horizontal="justify" vertical="center" wrapText="1"/>
    </xf>
    <xf numFmtId="0" fontId="57" fillId="24" borderId="0" xfId="0" applyFont="1" applyFill="1" applyBorder="1" applyAlignment="1">
      <alignment horizontal="justify" vertical="center" wrapText="1"/>
    </xf>
    <xf numFmtId="0" fontId="57" fillId="24" borderId="29" xfId="0" applyFont="1" applyFill="1" applyBorder="1" applyAlignment="1">
      <alignment horizontal="justify" vertical="center" wrapText="1"/>
    </xf>
    <xf numFmtId="0" fontId="58" fillId="24" borderId="28" xfId="0" applyFont="1" applyFill="1" applyBorder="1" applyAlignment="1">
      <alignment vertical="center" wrapText="1"/>
    </xf>
    <xf numFmtId="0" fontId="58" fillId="24" borderId="0" xfId="0" applyFont="1" applyFill="1" applyBorder="1" applyAlignment="1">
      <alignment vertical="center" wrapText="1"/>
    </xf>
    <xf numFmtId="0" fontId="58" fillId="24" borderId="29" xfId="0" applyFont="1" applyFill="1" applyBorder="1" applyAlignment="1">
      <alignment vertical="center" wrapText="1"/>
    </xf>
    <xf numFmtId="0" fontId="15" fillId="25" borderId="26" xfId="0" applyFont="1" applyFill="1" applyBorder="1" applyAlignment="1">
      <alignment vertical="center"/>
    </xf>
    <xf numFmtId="0" fontId="15" fillId="25" borderId="24" xfId="0" applyFont="1" applyFill="1" applyBorder="1" applyAlignment="1">
      <alignment vertical="center"/>
    </xf>
    <xf numFmtId="0" fontId="15" fillId="25" borderId="30" xfId="0" applyFont="1" applyFill="1" applyBorder="1" applyAlignment="1">
      <alignment vertical="center"/>
    </xf>
    <xf numFmtId="0" fontId="6" fillId="24" borderId="22" xfId="0" applyFont="1" applyFill="1" applyBorder="1" applyAlignment="1">
      <alignment horizontal="center" vertical="center" wrapText="1"/>
    </xf>
    <xf numFmtId="0" fontId="6" fillId="24" borderId="23" xfId="0" applyFont="1" applyFill="1" applyBorder="1" applyAlignment="1">
      <alignment horizontal="center" vertical="center" wrapText="1"/>
    </xf>
    <xf numFmtId="0" fontId="6" fillId="24" borderId="26" xfId="0" applyFont="1" applyFill="1" applyBorder="1" applyAlignment="1">
      <alignment horizontal="left" vertical="center" wrapText="1" indent="2"/>
    </xf>
    <xf numFmtId="0" fontId="6" fillId="24" borderId="24" xfId="0" applyFont="1" applyFill="1" applyBorder="1" applyAlignment="1">
      <alignment horizontal="left" vertical="center" wrapText="1" indent="2"/>
    </xf>
    <xf numFmtId="0" fontId="6" fillId="24" borderId="30" xfId="0" applyFont="1" applyFill="1" applyBorder="1" applyAlignment="1">
      <alignment horizontal="left" vertical="center" wrapText="1" indent="2"/>
    </xf>
    <xf numFmtId="0" fontId="26" fillId="24" borderId="35" xfId="0" applyFont="1" applyFill="1" applyBorder="1" applyAlignment="1">
      <alignment vertical="center"/>
    </xf>
    <xf numFmtId="0" fontId="26" fillId="24" borderId="36" xfId="0" applyFont="1" applyFill="1" applyBorder="1" applyAlignment="1">
      <alignment vertical="center"/>
    </xf>
    <xf numFmtId="0" fontId="26" fillId="24" borderId="37" xfId="0" applyFont="1" applyFill="1" applyBorder="1" applyAlignment="1">
      <alignment vertical="center"/>
    </xf>
    <xf numFmtId="0" fontId="27" fillId="24" borderId="35" xfId="0" applyFont="1" applyFill="1" applyBorder="1" applyAlignment="1">
      <alignment vertical="center"/>
    </xf>
    <xf numFmtId="0" fontId="27" fillId="24" borderId="36" xfId="0" applyFont="1" applyFill="1" applyBorder="1" applyAlignment="1">
      <alignment vertical="center"/>
    </xf>
    <xf numFmtId="0" fontId="27" fillId="24" borderId="37" xfId="0" applyFont="1" applyFill="1" applyBorder="1" applyAlignment="1">
      <alignment vertical="center"/>
    </xf>
    <xf numFmtId="0" fontId="14" fillId="24" borderId="0" xfId="0" applyFont="1" applyFill="1" applyAlignment="1">
      <alignment vertical="center"/>
    </xf>
    <xf numFmtId="0" fontId="0" fillId="0" borderId="0" xfId="0" applyFont="1" applyAlignment="1">
      <alignment vertical="center" wrapText="1"/>
    </xf>
    <xf numFmtId="0" fontId="13" fillId="12" borderId="1" xfId="0" applyFont="1" applyFill="1" applyBorder="1" applyAlignment="1">
      <alignment horizontal="center" vertical="center"/>
    </xf>
    <xf numFmtId="0" fontId="14" fillId="24" borderId="22" xfId="0" applyFont="1" applyFill="1" applyBorder="1" applyAlignment="1">
      <alignment vertical="center" wrapText="1"/>
    </xf>
    <xf numFmtId="0" fontId="14" fillId="24" borderId="21" xfId="0" applyFont="1" applyFill="1" applyBorder="1" applyAlignment="1">
      <alignment vertical="center" wrapText="1"/>
    </xf>
    <xf numFmtId="0" fontId="14" fillId="24" borderId="32" xfId="0" applyFont="1" applyFill="1" applyBorder="1" applyAlignment="1">
      <alignment vertical="center" wrapText="1"/>
    </xf>
    <xf numFmtId="0" fontId="52" fillId="24" borderId="28" xfId="0" applyFont="1" applyFill="1" applyBorder="1" applyAlignment="1">
      <alignment horizontal="justify" vertical="center" wrapText="1"/>
    </xf>
    <xf numFmtId="0" fontId="52" fillId="24" borderId="0" xfId="0" applyFont="1" applyFill="1" applyBorder="1" applyAlignment="1">
      <alignment horizontal="justify" vertical="center" wrapText="1"/>
    </xf>
    <xf numFmtId="0" fontId="52" fillId="24" borderId="29" xfId="0" applyFont="1" applyFill="1" applyBorder="1" applyAlignment="1">
      <alignment horizontal="justify" vertical="center" wrapText="1"/>
    </xf>
    <xf numFmtId="0" fontId="52" fillId="24" borderId="18" xfId="0" applyFont="1" applyFill="1" applyBorder="1" applyAlignment="1">
      <alignment horizontal="justify" vertical="center" wrapText="1"/>
    </xf>
    <xf numFmtId="0" fontId="52" fillId="24" borderId="19" xfId="0" applyFont="1" applyFill="1" applyBorder="1" applyAlignment="1">
      <alignment horizontal="justify" vertical="center" wrapText="1"/>
    </xf>
    <xf numFmtId="0" fontId="52" fillId="24" borderId="31" xfId="0" applyFont="1" applyFill="1" applyBorder="1" applyAlignment="1">
      <alignment horizontal="justify" vertical="center" wrapText="1"/>
    </xf>
    <xf numFmtId="0" fontId="29" fillId="24" borderId="35" xfId="0" applyFont="1" applyFill="1" applyBorder="1" applyAlignment="1">
      <alignment horizontal="center" vertical="center"/>
    </xf>
    <xf numFmtId="0" fontId="29" fillId="24" borderId="37" xfId="0" applyFont="1" applyFill="1" applyBorder="1" applyAlignment="1">
      <alignment horizontal="center" vertical="center"/>
    </xf>
    <xf numFmtId="0" fontId="27" fillId="24" borderId="35" xfId="0" applyFont="1" applyFill="1" applyBorder="1" applyAlignment="1">
      <alignment horizontal="center" vertical="center"/>
    </xf>
    <xf numFmtId="0" fontId="27" fillId="24" borderId="37" xfId="0" applyFont="1" applyFill="1" applyBorder="1" applyAlignment="1">
      <alignment horizontal="center" vertical="center"/>
    </xf>
    <xf numFmtId="0" fontId="15" fillId="25" borderId="40" xfId="0" applyFont="1" applyFill="1" applyBorder="1" applyAlignment="1">
      <alignment horizontal="center" vertical="center"/>
    </xf>
    <xf numFmtId="0" fontId="15" fillId="25" borderId="41" xfId="0" applyFont="1" applyFill="1" applyBorder="1" applyAlignment="1">
      <alignment horizontal="center" vertical="center"/>
    </xf>
    <xf numFmtId="0" fontId="15" fillId="25" borderId="42" xfId="0" applyFont="1" applyFill="1" applyBorder="1" applyAlignment="1">
      <alignment horizontal="center" vertical="center"/>
    </xf>
    <xf numFmtId="0" fontId="15" fillId="25" borderId="34" xfId="0" applyFont="1" applyFill="1" applyBorder="1" applyAlignment="1">
      <alignment horizontal="center" vertical="center"/>
    </xf>
    <xf numFmtId="0" fontId="5" fillId="24" borderId="42" xfId="0" applyFont="1" applyFill="1" applyBorder="1" applyAlignment="1">
      <alignment horizontal="center" vertical="center"/>
    </xf>
    <xf numFmtId="0" fontId="5" fillId="24" borderId="34" xfId="0" applyFont="1" applyFill="1" applyBorder="1" applyAlignment="1">
      <alignment horizontal="center" vertical="center"/>
    </xf>
    <xf numFmtId="0" fontId="0" fillId="24" borderId="22" xfId="0" applyFill="1" applyBorder="1" applyAlignment="1">
      <alignment horizontal="center" vertical="center"/>
    </xf>
    <xf numFmtId="0" fontId="0" fillId="24" borderId="23" xfId="0" applyFill="1" applyBorder="1" applyAlignment="1">
      <alignment horizontal="center" vertical="center"/>
    </xf>
    <xf numFmtId="0" fontId="15" fillId="25" borderId="46" xfId="0" applyFont="1" applyFill="1" applyBorder="1" applyAlignment="1">
      <alignment vertical="center"/>
    </xf>
    <xf numFmtId="0" fontId="15" fillId="25" borderId="47" xfId="0" applyFont="1" applyFill="1" applyBorder="1" applyAlignment="1">
      <alignment vertical="center"/>
    </xf>
    <xf numFmtId="0" fontId="15" fillId="25" borderId="48" xfId="0" applyFont="1" applyFill="1" applyBorder="1" applyAlignment="1">
      <alignment vertical="center"/>
    </xf>
    <xf numFmtId="0" fontId="5" fillId="24" borderId="35" xfId="0" applyFont="1" applyFill="1" applyBorder="1" applyAlignment="1">
      <alignment horizontal="center" vertical="center"/>
    </xf>
    <xf numFmtId="0" fontId="5" fillId="24" borderId="37" xfId="0" applyFont="1" applyFill="1" applyBorder="1" applyAlignment="1">
      <alignment horizontal="center" vertical="center"/>
    </xf>
    <xf numFmtId="0" fontId="35" fillId="24" borderId="28" xfId="0" applyFont="1" applyFill="1" applyBorder="1" applyAlignment="1">
      <alignment horizontal="justify" vertical="center" wrapText="1"/>
    </xf>
    <xf numFmtId="0" fontId="35" fillId="24" borderId="0" xfId="0" applyFont="1" applyFill="1" applyBorder="1" applyAlignment="1">
      <alignment horizontal="justify" vertical="center" wrapText="1"/>
    </xf>
    <xf numFmtId="0" fontId="35" fillId="24" borderId="29" xfId="0" applyFont="1" applyFill="1" applyBorder="1" applyAlignment="1">
      <alignment horizontal="justify" vertical="center" wrapText="1"/>
    </xf>
    <xf numFmtId="0" fontId="35" fillId="24" borderId="26" xfId="0" applyFont="1" applyFill="1" applyBorder="1" applyAlignment="1">
      <alignment horizontal="justify" vertical="center" wrapText="1"/>
    </xf>
    <xf numFmtId="0" fontId="35" fillId="24" borderId="24" xfId="0" applyFont="1" applyFill="1" applyBorder="1" applyAlignment="1">
      <alignment horizontal="justify" vertical="center" wrapText="1"/>
    </xf>
    <xf numFmtId="0" fontId="35" fillId="24" borderId="30" xfId="0" applyFont="1" applyFill="1" applyBorder="1" applyAlignment="1">
      <alignment horizontal="justify" vertical="center" wrapText="1"/>
    </xf>
    <xf numFmtId="0" fontId="35" fillId="24" borderId="18" xfId="0" applyFont="1" applyFill="1" applyBorder="1" applyAlignment="1">
      <alignment horizontal="justify" vertical="center" wrapText="1"/>
    </xf>
    <xf numFmtId="0" fontId="35" fillId="24" borderId="19" xfId="0" applyFont="1" applyFill="1" applyBorder="1" applyAlignment="1">
      <alignment horizontal="justify" vertical="center" wrapText="1"/>
    </xf>
    <xf numFmtId="0" fontId="35" fillId="24" borderId="31" xfId="0" applyFont="1" applyFill="1" applyBorder="1" applyAlignment="1">
      <alignment horizontal="justify" vertical="center" wrapText="1"/>
    </xf>
    <xf numFmtId="0" fontId="36" fillId="24" borderId="28" xfId="0" applyFont="1" applyFill="1" applyBorder="1" applyAlignment="1">
      <alignment vertical="center" wrapText="1"/>
    </xf>
    <xf numFmtId="0" fontId="36" fillId="24" borderId="0" xfId="0" applyFont="1" applyFill="1" applyBorder="1" applyAlignment="1">
      <alignment vertical="center" wrapText="1"/>
    </xf>
    <xf numFmtId="0" fontId="36" fillId="24" borderId="29" xfId="0" applyFont="1" applyFill="1" applyBorder="1" applyAlignment="1">
      <alignment vertical="center" wrapText="1"/>
    </xf>
    <xf numFmtId="0" fontId="37" fillId="24" borderId="18" xfId="0" applyFont="1" applyFill="1" applyBorder="1" applyAlignment="1">
      <alignment horizontal="left" vertical="center" wrapText="1" indent="4"/>
    </xf>
    <xf numFmtId="0" fontId="37" fillId="24" borderId="19" xfId="0" applyFont="1" applyFill="1" applyBorder="1" applyAlignment="1">
      <alignment horizontal="left" vertical="center" wrapText="1" indent="4"/>
    </xf>
    <xf numFmtId="0" fontId="37" fillId="24" borderId="31" xfId="0" applyFont="1" applyFill="1" applyBorder="1" applyAlignment="1">
      <alignment horizontal="left" vertical="center" wrapText="1" indent="4"/>
    </xf>
    <xf numFmtId="0" fontId="37" fillId="24" borderId="28" xfId="0" applyFont="1" applyFill="1" applyBorder="1" applyAlignment="1">
      <alignment horizontal="left" vertical="center" wrapText="1" indent="4"/>
    </xf>
    <xf numFmtId="0" fontId="37" fillId="24" borderId="29" xfId="0" applyFont="1" applyFill="1" applyBorder="1" applyAlignment="1">
      <alignment horizontal="left" vertical="center" wrapText="1" indent="4"/>
    </xf>
    <xf numFmtId="0" fontId="40" fillId="24" borderId="26" xfId="0" applyFont="1" applyFill="1" applyBorder="1" applyAlignment="1">
      <alignment horizontal="left" vertical="center" wrapText="1" indent="4"/>
    </xf>
    <xf numFmtId="0" fontId="40" fillId="24" borderId="24" xfId="0" applyFont="1" applyFill="1" applyBorder="1" applyAlignment="1">
      <alignment horizontal="left" vertical="center" wrapText="1" indent="4"/>
    </xf>
    <xf numFmtId="0" fontId="40" fillId="24" borderId="30" xfId="0" applyFont="1" applyFill="1" applyBorder="1" applyAlignment="1">
      <alignment horizontal="left" vertical="center" wrapText="1" indent="4"/>
    </xf>
    <xf numFmtId="0" fontId="77" fillId="25" borderId="22" xfId="0" applyFont="1" applyFill="1" applyBorder="1" applyAlignment="1">
      <alignment vertical="center"/>
    </xf>
    <xf numFmtId="0" fontId="77" fillId="25" borderId="21" xfId="0" applyFont="1" applyFill="1" applyBorder="1" applyAlignment="1">
      <alignment vertical="center"/>
    </xf>
    <xf numFmtId="0" fontId="77" fillId="25" borderId="32" xfId="0" applyFont="1" applyFill="1" applyBorder="1" applyAlignment="1">
      <alignment vertical="center"/>
    </xf>
    <xf numFmtId="0" fontId="7" fillId="24" borderId="28" xfId="0" applyFont="1" applyFill="1" applyBorder="1" applyAlignment="1">
      <alignment vertical="center" wrapText="1"/>
    </xf>
    <xf numFmtId="0" fontId="7" fillId="24" borderId="0" xfId="0" applyFont="1" applyFill="1" applyBorder="1" applyAlignment="1">
      <alignment vertical="center" wrapText="1"/>
    </xf>
    <xf numFmtId="0" fontId="7" fillId="24" borderId="29" xfId="0" applyFont="1" applyFill="1" applyBorder="1" applyAlignment="1">
      <alignment vertical="center" wrapText="1"/>
    </xf>
    <xf numFmtId="0" fontId="7" fillId="24" borderId="18" xfId="0" applyFont="1" applyFill="1" applyBorder="1" applyAlignment="1">
      <alignment vertical="center" wrapText="1"/>
    </xf>
    <xf numFmtId="0" fontId="7" fillId="24" borderId="19" xfId="0" applyFont="1" applyFill="1" applyBorder="1" applyAlignment="1">
      <alignment vertical="center" wrapText="1"/>
    </xf>
    <xf numFmtId="0" fontId="7" fillId="24" borderId="31" xfId="0" applyFont="1" applyFill="1" applyBorder="1" applyAlignment="1">
      <alignment vertical="center" wrapText="1"/>
    </xf>
    <xf numFmtId="0" fontId="31" fillId="24" borderId="35" xfId="0" applyFont="1" applyFill="1" applyBorder="1" applyAlignment="1">
      <alignment vertical="center"/>
    </xf>
    <xf numFmtId="0" fontId="31" fillId="24" borderId="37" xfId="0" applyFont="1" applyFill="1" applyBorder="1" applyAlignment="1">
      <alignment vertical="center"/>
    </xf>
    <xf numFmtId="0" fontId="6" fillId="24" borderId="42" xfId="0" applyFont="1" applyFill="1" applyBorder="1" applyAlignment="1">
      <alignment horizontal="center" vertical="center"/>
    </xf>
    <xf numFmtId="0" fontId="32" fillId="24" borderId="35" xfId="0" applyFont="1" applyFill="1" applyBorder="1" applyAlignment="1">
      <alignment vertical="center"/>
    </xf>
    <xf numFmtId="0" fontId="32" fillId="24" borderId="37" xfId="0" applyFont="1" applyFill="1" applyBorder="1" applyAlignment="1">
      <alignment vertical="center"/>
    </xf>
    <xf numFmtId="0" fontId="59" fillId="24" borderId="28" xfId="0" applyFont="1" applyFill="1" applyBorder="1" applyAlignment="1">
      <alignment horizontal="left" vertical="center" wrapText="1" indent="1"/>
    </xf>
    <xf numFmtId="0" fontId="59" fillId="24" borderId="0" xfId="0" applyFont="1" applyFill="1" applyBorder="1" applyAlignment="1">
      <alignment horizontal="left" vertical="center" wrapText="1" indent="1"/>
    </xf>
    <xf numFmtId="0" fontId="59" fillId="24" borderId="29" xfId="0" applyFont="1" applyFill="1" applyBorder="1" applyAlignment="1">
      <alignment horizontal="left" vertical="center" wrapText="1" indent="1"/>
    </xf>
    <xf numFmtId="0" fontId="35" fillId="24" borderId="26" xfId="0" applyFont="1" applyFill="1" applyBorder="1" applyAlignment="1">
      <alignment vertical="center" wrapText="1"/>
    </xf>
    <xf numFmtId="0" fontId="35" fillId="24" borderId="24" xfId="0" applyFont="1" applyFill="1" applyBorder="1" applyAlignment="1">
      <alignment vertical="center" wrapText="1"/>
    </xf>
    <xf numFmtId="0" fontId="35" fillId="24" borderId="30" xfId="0" applyFont="1" applyFill="1" applyBorder="1" applyAlignment="1">
      <alignment vertical="center" wrapText="1"/>
    </xf>
    <xf numFmtId="0" fontId="41" fillId="24" borderId="22" xfId="0" applyFont="1" applyFill="1" applyBorder="1" applyAlignment="1">
      <alignment vertical="center"/>
    </xf>
    <xf numFmtId="0" fontId="41" fillId="24" borderId="21" xfId="0" applyFont="1" applyFill="1" applyBorder="1" applyAlignment="1">
      <alignment vertical="center"/>
    </xf>
    <xf numFmtId="0" fontId="41" fillId="24" borderId="32" xfId="0" applyFont="1" applyFill="1" applyBorder="1" applyAlignment="1">
      <alignment vertical="center"/>
    </xf>
    <xf numFmtId="0" fontId="59" fillId="24" borderId="18" xfId="0" applyFont="1" applyFill="1" applyBorder="1" applyAlignment="1">
      <alignment horizontal="left" vertical="center" wrapText="1" indent="1"/>
    </xf>
    <xf numFmtId="0" fontId="59" fillId="24" borderId="19" xfId="0" applyFont="1" applyFill="1" applyBorder="1" applyAlignment="1">
      <alignment horizontal="left" vertical="center" wrapText="1" indent="1"/>
    </xf>
    <xf numFmtId="0" fontId="59" fillId="24" borderId="31" xfId="0" applyFont="1" applyFill="1" applyBorder="1" applyAlignment="1">
      <alignment horizontal="left" vertical="center" wrapText="1" indent="1"/>
    </xf>
    <xf numFmtId="0" fontId="42" fillId="24" borderId="28" xfId="0" applyFont="1" applyFill="1" applyBorder="1" applyAlignment="1">
      <alignment vertical="center" wrapText="1"/>
    </xf>
    <xf numFmtId="0" fontId="42" fillId="24" borderId="0" xfId="0" applyFont="1" applyFill="1" applyBorder="1" applyAlignment="1">
      <alignment vertical="center" wrapText="1"/>
    </xf>
    <xf numFmtId="0" fontId="42" fillId="24" borderId="29" xfId="0" applyFont="1" applyFill="1" applyBorder="1" applyAlignment="1">
      <alignment vertical="center" wrapText="1"/>
    </xf>
    <xf numFmtId="0" fontId="39" fillId="24" borderId="26" xfId="0" applyFont="1" applyFill="1" applyBorder="1" applyAlignment="1">
      <alignment vertical="center" wrapText="1"/>
    </xf>
    <xf numFmtId="0" fontId="39" fillId="24" borderId="24" xfId="0" applyFont="1" applyFill="1" applyBorder="1" applyAlignment="1">
      <alignment vertical="center" wrapText="1"/>
    </xf>
    <xf numFmtId="0" fontId="39" fillId="24" borderId="30" xfId="0" applyFont="1" applyFill="1" applyBorder="1" applyAlignment="1">
      <alignment vertical="center" wrapText="1"/>
    </xf>
    <xf numFmtId="0" fontId="60" fillId="24" borderId="18" xfId="0" applyFont="1" applyFill="1" applyBorder="1" applyAlignment="1">
      <alignment horizontal="justify" vertical="center" wrapText="1"/>
    </xf>
    <xf numFmtId="0" fontId="60" fillId="24" borderId="19" xfId="0" applyFont="1" applyFill="1" applyBorder="1" applyAlignment="1">
      <alignment horizontal="justify" vertical="center" wrapText="1"/>
    </xf>
    <xf numFmtId="0" fontId="60" fillId="24" borderId="31" xfId="0" applyFont="1" applyFill="1" applyBorder="1" applyAlignment="1">
      <alignment horizontal="justify" vertical="center" wrapText="1"/>
    </xf>
    <xf numFmtId="0" fontId="60" fillId="24" borderId="28" xfId="0" applyFont="1" applyFill="1" applyBorder="1" applyAlignment="1">
      <alignment horizontal="justify" vertical="center" wrapText="1"/>
    </xf>
    <xf numFmtId="0" fontId="60" fillId="24" borderId="0" xfId="0" applyFont="1" applyFill="1" applyBorder="1" applyAlignment="1">
      <alignment horizontal="justify" vertical="center" wrapText="1"/>
    </xf>
    <xf numFmtId="0" fontId="60" fillId="24" borderId="29" xfId="0" applyFont="1" applyFill="1" applyBorder="1" applyAlignment="1">
      <alignment horizontal="justify" vertical="center" wrapText="1"/>
    </xf>
    <xf numFmtId="0" fontId="61" fillId="24" borderId="28" xfId="0" applyFont="1" applyFill="1" applyBorder="1" applyAlignment="1">
      <alignment horizontal="left" vertical="center" wrapText="1" indent="9"/>
    </xf>
    <xf numFmtId="0" fontId="61" fillId="24" borderId="0" xfId="0" applyFont="1" applyFill="1" applyBorder="1" applyAlignment="1">
      <alignment horizontal="left" vertical="center" wrapText="1" indent="9"/>
    </xf>
    <xf numFmtId="0" fontId="61" fillId="24" borderId="29" xfId="0" applyFont="1" applyFill="1" applyBorder="1" applyAlignment="1">
      <alignment horizontal="left" vertical="center" wrapText="1" indent="9"/>
    </xf>
    <xf numFmtId="0" fontId="62" fillId="24" borderId="28" xfId="0" applyFont="1" applyFill="1" applyBorder="1" applyAlignment="1">
      <alignment horizontal="left" vertical="center" wrapText="1" indent="9"/>
    </xf>
    <xf numFmtId="0" fontId="62" fillId="24" borderId="0" xfId="0" applyFont="1" applyFill="1" applyBorder="1" applyAlignment="1">
      <alignment horizontal="left" vertical="center" wrapText="1" indent="9"/>
    </xf>
    <xf numFmtId="0" fontId="62" fillId="24" borderId="29" xfId="0" applyFont="1" applyFill="1" applyBorder="1" applyAlignment="1">
      <alignment horizontal="left" vertical="center" wrapText="1" indent="9"/>
    </xf>
    <xf numFmtId="0" fontId="34" fillId="24" borderId="35" xfId="0" applyFont="1" applyFill="1" applyBorder="1" applyAlignment="1">
      <alignment vertical="center"/>
    </xf>
    <xf numFmtId="0" fontId="34" fillId="24" borderId="37" xfId="0" applyFont="1" applyFill="1" applyBorder="1" applyAlignment="1">
      <alignment vertical="center"/>
    </xf>
    <xf numFmtId="0" fontId="7" fillId="24" borderId="28" xfId="8" applyFont="1" applyFill="1" applyBorder="1" applyAlignment="1">
      <alignment horizontal="left" vertical="center" wrapText="1" indent="7"/>
    </xf>
    <xf numFmtId="0" fontId="7" fillId="24" borderId="0" xfId="8" applyFont="1" applyFill="1" applyBorder="1" applyAlignment="1">
      <alignment horizontal="left" vertical="center" wrapText="1" indent="7"/>
    </xf>
    <xf numFmtId="0" fontId="7" fillId="24" borderId="29" xfId="8" applyFont="1" applyFill="1" applyBorder="1" applyAlignment="1">
      <alignment horizontal="left" vertical="center" wrapText="1" indent="7"/>
    </xf>
    <xf numFmtId="0" fontId="64" fillId="24" borderId="28" xfId="0" applyFont="1" applyFill="1" applyBorder="1" applyAlignment="1">
      <alignment horizontal="left" vertical="center" wrapText="1" indent="7"/>
    </xf>
    <xf numFmtId="0" fontId="64" fillId="24" borderId="0" xfId="0" applyFont="1" applyFill="1" applyBorder="1" applyAlignment="1">
      <alignment horizontal="left" vertical="center" wrapText="1" indent="7"/>
    </xf>
    <xf numFmtId="0" fontId="64" fillId="24" borderId="29" xfId="0" applyFont="1" applyFill="1" applyBorder="1" applyAlignment="1">
      <alignment horizontal="left" vertical="center" wrapText="1" indent="7"/>
    </xf>
    <xf numFmtId="0" fontId="64" fillId="24" borderId="18" xfId="0" applyFont="1" applyFill="1" applyBorder="1" applyAlignment="1">
      <alignment horizontal="left" vertical="center" wrapText="1" indent="7"/>
    </xf>
    <xf numFmtId="0" fontId="64" fillId="24" borderId="19" xfId="0" applyFont="1" applyFill="1" applyBorder="1" applyAlignment="1">
      <alignment horizontal="left" vertical="center" wrapText="1" indent="7"/>
    </xf>
    <xf numFmtId="0" fontId="64" fillId="24" borderId="31" xfId="0" applyFont="1" applyFill="1" applyBorder="1" applyAlignment="1">
      <alignment horizontal="left" vertical="center" wrapText="1" indent="7"/>
    </xf>
    <xf numFmtId="0" fontId="40" fillId="24" borderId="18" xfId="0" applyFont="1" applyFill="1" applyBorder="1" applyAlignment="1">
      <alignment horizontal="justify" vertical="center" wrapText="1"/>
    </xf>
    <xf numFmtId="0" fontId="40" fillId="24" borderId="19" xfId="0" applyFont="1" applyFill="1" applyBorder="1" applyAlignment="1">
      <alignment horizontal="justify" vertical="center" wrapText="1"/>
    </xf>
    <xf numFmtId="0" fontId="40" fillId="24" borderId="31" xfId="0" applyFont="1" applyFill="1" applyBorder="1" applyAlignment="1">
      <alignment horizontal="justify" vertical="center" wrapText="1"/>
    </xf>
    <xf numFmtId="0" fontId="40" fillId="24" borderId="28" xfId="0" applyFont="1" applyFill="1" applyBorder="1" applyAlignment="1">
      <alignment horizontal="justify" vertical="center" wrapText="1"/>
    </xf>
    <xf numFmtId="0" fontId="40" fillId="24" borderId="0" xfId="0" applyFont="1" applyFill="1" applyBorder="1" applyAlignment="1">
      <alignment horizontal="justify" vertical="center" wrapText="1"/>
    </xf>
    <xf numFmtId="0" fontId="40" fillId="24" borderId="29" xfId="0" applyFont="1" applyFill="1" applyBorder="1" applyAlignment="1">
      <alignment horizontal="justify" vertical="center" wrapText="1"/>
    </xf>
    <xf numFmtId="0" fontId="6" fillId="24" borderId="34" xfId="0" applyFont="1" applyFill="1" applyBorder="1" applyAlignment="1">
      <alignment horizontal="center" vertical="center"/>
    </xf>
    <xf numFmtId="0" fontId="62" fillId="24" borderId="26" xfId="0" applyFont="1" applyFill="1" applyBorder="1" applyAlignment="1">
      <alignment horizontal="left" vertical="center" wrapText="1" indent="7"/>
    </xf>
    <xf numFmtId="0" fontId="62" fillId="24" borderId="24" xfId="0" applyFont="1" applyFill="1" applyBorder="1" applyAlignment="1">
      <alignment horizontal="left" vertical="center" wrapText="1" indent="7"/>
    </xf>
    <xf numFmtId="0" fontId="62" fillId="24" borderId="30" xfId="0" applyFont="1" applyFill="1" applyBorder="1" applyAlignment="1">
      <alignment horizontal="left" vertical="center" wrapText="1" indent="7"/>
    </xf>
    <xf numFmtId="0" fontId="41" fillId="24" borderId="18" xfId="0" applyFont="1" applyFill="1" applyBorder="1" applyAlignment="1">
      <alignment horizontal="left" vertical="center" wrapText="1" indent="2"/>
    </xf>
    <xf numFmtId="0" fontId="41" fillId="24" borderId="19" xfId="0" applyFont="1" applyFill="1" applyBorder="1" applyAlignment="1">
      <alignment horizontal="left" vertical="center" wrapText="1" indent="2"/>
    </xf>
    <xf numFmtId="0" fontId="41" fillId="24" borderId="31" xfId="0" applyFont="1" applyFill="1" applyBorder="1" applyAlignment="1">
      <alignment horizontal="left" vertical="center" wrapText="1" indent="2"/>
    </xf>
    <xf numFmtId="0" fontId="40" fillId="24" borderId="18" xfId="0" applyFont="1" applyFill="1" applyBorder="1" applyAlignment="1">
      <alignment horizontal="left" vertical="center" wrapText="1" indent="2"/>
    </xf>
    <xf numFmtId="0" fontId="40" fillId="24" borderId="19" xfId="0" applyFont="1" applyFill="1" applyBorder="1" applyAlignment="1">
      <alignment horizontal="left" vertical="center" wrapText="1" indent="2"/>
    </xf>
    <xf numFmtId="0" fontId="40" fillId="24" borderId="31" xfId="0" applyFont="1" applyFill="1" applyBorder="1" applyAlignment="1">
      <alignment horizontal="left" vertical="center" wrapText="1" indent="2"/>
    </xf>
    <xf numFmtId="0" fontId="7" fillId="24" borderId="28" xfId="0" applyFont="1" applyFill="1" applyBorder="1" applyAlignment="1">
      <alignment vertical="center"/>
    </xf>
    <xf numFmtId="0" fontId="7" fillId="24" borderId="0" xfId="0" applyFont="1" applyFill="1" applyBorder="1" applyAlignment="1">
      <alignment vertical="center"/>
    </xf>
    <xf numFmtId="0" fontId="7" fillId="24" borderId="29" xfId="0" applyFont="1" applyFill="1" applyBorder="1" applyAlignment="1">
      <alignment vertical="center"/>
    </xf>
    <xf numFmtId="0" fontId="7" fillId="24" borderId="26" xfId="0" applyFont="1" applyFill="1" applyBorder="1" applyAlignment="1">
      <alignment vertical="center"/>
    </xf>
    <xf numFmtId="0" fontId="7" fillId="24" borderId="24" xfId="0" applyFont="1" applyFill="1" applyBorder="1" applyAlignment="1">
      <alignment vertical="center"/>
    </xf>
    <xf numFmtId="0" fontId="7" fillId="24" borderId="30" xfId="0" applyFont="1" applyFill="1" applyBorder="1" applyAlignment="1">
      <alignment vertical="center"/>
    </xf>
    <xf numFmtId="0" fontId="6" fillId="24" borderId="18" xfId="0" applyFont="1" applyFill="1" applyBorder="1" applyAlignment="1">
      <alignment vertical="center"/>
    </xf>
    <xf numFmtId="0" fontId="6" fillId="24" borderId="19" xfId="0" applyFont="1" applyFill="1" applyBorder="1" applyAlignment="1">
      <alignment vertical="center"/>
    </xf>
    <xf numFmtId="0" fontId="6" fillId="24" borderId="31" xfId="0" applyFont="1" applyFill="1" applyBorder="1" applyAlignment="1">
      <alignment vertical="center"/>
    </xf>
    <xf numFmtId="0" fontId="36" fillId="24" borderId="28" xfId="0" applyFont="1" applyFill="1" applyBorder="1" applyAlignment="1">
      <alignment horizontal="justify" vertical="center" wrapText="1"/>
    </xf>
    <xf numFmtId="0" fontId="36" fillId="24" borderId="0" xfId="0" applyFont="1" applyFill="1" applyBorder="1" applyAlignment="1">
      <alignment horizontal="justify" vertical="center" wrapText="1"/>
    </xf>
    <xf numFmtId="0" fontId="36" fillId="24" borderId="29" xfId="0" applyFont="1" applyFill="1" applyBorder="1" applyAlignment="1">
      <alignment horizontal="justify" vertical="center" wrapText="1"/>
    </xf>
    <xf numFmtId="0" fontId="35" fillId="24" borderId="28" xfId="0" applyFont="1" applyFill="1" applyBorder="1" applyAlignment="1">
      <alignment horizontal="left" vertical="center" wrapText="1" indent="7"/>
    </xf>
    <xf numFmtId="0" fontId="35" fillId="24" borderId="0" xfId="0" applyFont="1" applyFill="1" applyBorder="1" applyAlignment="1">
      <alignment horizontal="left" vertical="center" wrapText="1" indent="7"/>
    </xf>
    <xf numFmtId="0" fontId="35" fillId="24" borderId="29" xfId="0" applyFont="1" applyFill="1" applyBorder="1" applyAlignment="1">
      <alignment horizontal="left" vertical="center" wrapText="1" indent="7"/>
    </xf>
    <xf numFmtId="0" fontId="7" fillId="24" borderId="1" xfId="0" applyFont="1" applyFill="1" applyBorder="1" applyAlignment="1">
      <alignment vertical="center"/>
    </xf>
    <xf numFmtId="0" fontId="7" fillId="24" borderId="2" xfId="0" applyFont="1" applyFill="1" applyBorder="1" applyAlignment="1">
      <alignment horizontal="left" vertical="center"/>
    </xf>
    <xf numFmtId="0" fontId="7" fillId="24" borderId="3" xfId="0" applyFont="1" applyFill="1" applyBorder="1" applyAlignment="1">
      <alignment horizontal="left" vertical="center"/>
    </xf>
    <xf numFmtId="0" fontId="7" fillId="24" borderId="4" xfId="0" applyFont="1" applyFill="1" applyBorder="1" applyAlignment="1">
      <alignment horizontal="left" vertical="center"/>
    </xf>
    <xf numFmtId="0" fontId="7" fillId="24" borderId="28" xfId="0" applyFont="1" applyFill="1" applyBorder="1" applyAlignment="1">
      <alignment horizontal="justify" vertical="center"/>
    </xf>
    <xf numFmtId="0" fontId="7" fillId="24" borderId="0" xfId="0" applyFont="1" applyFill="1" applyBorder="1" applyAlignment="1">
      <alignment horizontal="justify" vertical="center"/>
    </xf>
    <xf numFmtId="0" fontId="7" fillId="24" borderId="29" xfId="0" applyFont="1" applyFill="1" applyBorder="1" applyAlignment="1">
      <alignment horizontal="justify" vertical="center"/>
    </xf>
    <xf numFmtId="0" fontId="6" fillId="24" borderId="18" xfId="0" applyFont="1" applyFill="1" applyBorder="1" applyAlignment="1">
      <alignment horizontal="justify" vertical="center"/>
    </xf>
    <xf numFmtId="0" fontId="6" fillId="24" borderId="19" xfId="0" applyFont="1" applyFill="1" applyBorder="1" applyAlignment="1">
      <alignment horizontal="justify" vertical="center"/>
    </xf>
    <xf numFmtId="0" fontId="6" fillId="24" borderId="31" xfId="0" applyFont="1" applyFill="1" applyBorder="1" applyAlignment="1">
      <alignment horizontal="justify" vertical="center"/>
    </xf>
    <xf numFmtId="0" fontId="7" fillId="24" borderId="26" xfId="8" applyFont="1" applyFill="1" applyBorder="1" applyAlignment="1">
      <alignment vertical="center" wrapText="1"/>
    </xf>
    <xf numFmtId="0" fontId="7" fillId="24" borderId="24" xfId="8" applyFont="1" applyFill="1" applyBorder="1" applyAlignment="1">
      <alignment vertical="center" wrapText="1"/>
    </xf>
    <xf numFmtId="0" fontId="7" fillId="24" borderId="30" xfId="8" applyFont="1" applyFill="1" applyBorder="1" applyAlignment="1">
      <alignment vertical="center" wrapText="1"/>
    </xf>
    <xf numFmtId="0" fontId="6" fillId="24" borderId="18" xfId="0" applyFont="1" applyFill="1" applyBorder="1" applyAlignment="1">
      <alignment vertical="center" wrapText="1"/>
    </xf>
    <xf numFmtId="0" fontId="6" fillId="24" borderId="19" xfId="0" applyFont="1" applyFill="1" applyBorder="1" applyAlignment="1">
      <alignment vertical="center" wrapText="1"/>
    </xf>
    <xf numFmtId="0" fontId="6" fillId="24" borderId="31" xfId="0" applyFont="1" applyFill="1" applyBorder="1" applyAlignment="1">
      <alignment vertical="center" wrapText="1"/>
    </xf>
    <xf numFmtId="0" fontId="7" fillId="24" borderId="28" xfId="8" applyFont="1" applyFill="1" applyBorder="1" applyAlignment="1">
      <alignment vertical="center" wrapText="1"/>
    </xf>
    <xf numFmtId="0" fontId="7" fillId="24" borderId="0" xfId="8" applyFont="1" applyFill="1" applyBorder="1" applyAlignment="1">
      <alignment vertical="center" wrapText="1"/>
    </xf>
    <xf numFmtId="0" fontId="7" fillId="24" borderId="29" xfId="8" applyFont="1" applyFill="1" applyBorder="1" applyAlignment="1">
      <alignment vertical="center" wrapText="1"/>
    </xf>
    <xf numFmtId="0" fontId="35" fillId="24" borderId="18" xfId="0" applyFont="1" applyFill="1" applyBorder="1" applyAlignment="1">
      <alignment vertical="center" wrapText="1"/>
    </xf>
    <xf numFmtId="0" fontId="35" fillId="24" borderId="19" xfId="0" applyFont="1" applyFill="1" applyBorder="1" applyAlignment="1">
      <alignment vertical="center" wrapText="1"/>
    </xf>
    <xf numFmtId="0" fontId="35" fillId="24" borderId="31" xfId="0" applyFont="1" applyFill="1" applyBorder="1" applyAlignment="1">
      <alignment vertical="center" wrapText="1"/>
    </xf>
    <xf numFmtId="0" fontId="35" fillId="24" borderId="28" xfId="0" applyFont="1" applyFill="1" applyBorder="1" applyAlignment="1">
      <alignment vertical="center" wrapText="1"/>
    </xf>
    <xf numFmtId="0" fontId="35" fillId="24" borderId="0" xfId="0" applyFont="1" applyFill="1" applyBorder="1" applyAlignment="1">
      <alignment vertical="center" wrapText="1"/>
    </xf>
    <xf numFmtId="0" fontId="35" fillId="24" borderId="29" xfId="0" applyFont="1" applyFill="1" applyBorder="1" applyAlignment="1">
      <alignment vertical="center" wrapText="1"/>
    </xf>
    <xf numFmtId="0" fontId="64" fillId="24" borderId="28" xfId="0" applyFont="1" applyFill="1" applyBorder="1" applyAlignment="1">
      <alignment horizontal="left" vertical="center" wrapText="1" indent="4"/>
    </xf>
    <xf numFmtId="0" fontId="64" fillId="24" borderId="0" xfId="0" applyFont="1" applyFill="1" applyBorder="1" applyAlignment="1">
      <alignment horizontal="left" vertical="center" wrapText="1" indent="4"/>
    </xf>
    <xf numFmtId="0" fontId="64" fillId="24" borderId="29" xfId="0" applyFont="1" applyFill="1" applyBorder="1" applyAlignment="1">
      <alignment horizontal="left" vertical="center" wrapText="1" indent="4"/>
    </xf>
    <xf numFmtId="0" fontId="53" fillId="24" borderId="26" xfId="8" applyFont="1" applyFill="1" applyBorder="1" applyAlignment="1">
      <alignment vertical="center" wrapText="1"/>
    </xf>
    <xf numFmtId="0" fontId="53" fillId="24" borderId="24" xfId="8" applyFont="1" applyFill="1" applyBorder="1" applyAlignment="1">
      <alignment vertical="center" wrapText="1"/>
    </xf>
    <xf numFmtId="0" fontId="53" fillId="24" borderId="30" xfId="8" applyFont="1" applyFill="1" applyBorder="1" applyAlignment="1">
      <alignment vertical="center" wrapText="1"/>
    </xf>
    <xf numFmtId="0" fontId="53" fillId="24" borderId="28" xfId="8" applyFont="1" applyFill="1" applyBorder="1" applyAlignment="1">
      <alignment vertical="center" wrapText="1"/>
    </xf>
    <xf numFmtId="0" fontId="53" fillId="24" borderId="0" xfId="8" applyFont="1" applyFill="1" applyBorder="1" applyAlignment="1">
      <alignment vertical="center" wrapText="1"/>
    </xf>
    <xf numFmtId="0" fontId="53" fillId="24" borderId="29" xfId="8" applyFont="1" applyFill="1" applyBorder="1" applyAlignment="1">
      <alignment vertical="center" wrapText="1"/>
    </xf>
    <xf numFmtId="0" fontId="5" fillId="24" borderId="22" xfId="0" applyFont="1" applyFill="1" applyBorder="1" applyAlignment="1">
      <alignment vertical="center"/>
    </xf>
    <xf numFmtId="0" fontId="5" fillId="24" borderId="21" xfId="0" applyFont="1" applyFill="1" applyBorder="1" applyAlignment="1">
      <alignment vertical="center"/>
    </xf>
    <xf numFmtId="0" fontId="5" fillId="24" borderId="23" xfId="0" applyFont="1" applyFill="1" applyBorder="1" applyAlignment="1">
      <alignment vertical="center"/>
    </xf>
    <xf numFmtId="0" fontId="59" fillId="24" borderId="18" xfId="0" applyFont="1" applyFill="1" applyBorder="1" applyAlignment="1">
      <alignment horizontal="left" vertical="center" wrapText="1" indent="4"/>
    </xf>
    <xf numFmtId="0" fontId="59" fillId="24" borderId="19" xfId="0" applyFont="1" applyFill="1" applyBorder="1" applyAlignment="1">
      <alignment horizontal="left" vertical="center" wrapText="1" indent="4"/>
    </xf>
    <xf numFmtId="0" fontId="59" fillId="24" borderId="31" xfId="0" applyFont="1" applyFill="1" applyBorder="1" applyAlignment="1">
      <alignment horizontal="left" vertical="center" wrapText="1" indent="4"/>
    </xf>
    <xf numFmtId="0" fontId="59" fillId="24" borderId="28" xfId="0" applyFont="1" applyFill="1" applyBorder="1" applyAlignment="1">
      <alignment horizontal="left" vertical="center" wrapText="1" indent="4"/>
    </xf>
    <xf numFmtId="0" fontId="59" fillId="24" borderId="0" xfId="0" applyFont="1" applyFill="1" applyBorder="1" applyAlignment="1">
      <alignment horizontal="left" vertical="center" wrapText="1" indent="4"/>
    </xf>
    <xf numFmtId="0" fontId="59" fillId="24" borderId="29" xfId="0" applyFont="1" applyFill="1" applyBorder="1" applyAlignment="1">
      <alignment horizontal="left" vertical="center" wrapText="1" indent="4"/>
    </xf>
    <xf numFmtId="0" fontId="35" fillId="24" borderId="22" xfId="0" applyFont="1" applyFill="1" applyBorder="1" applyAlignment="1">
      <alignment vertical="center" wrapText="1"/>
    </xf>
    <xf numFmtId="0" fontId="35" fillId="24" borderId="21" xfId="0" applyFont="1" applyFill="1" applyBorder="1" applyAlignment="1">
      <alignment vertical="center" wrapText="1"/>
    </xf>
    <xf numFmtId="0" fontId="35" fillId="24" borderId="32" xfId="0" applyFont="1" applyFill="1" applyBorder="1" applyAlignment="1">
      <alignment vertical="center" wrapText="1"/>
    </xf>
    <xf numFmtId="0" fontId="6" fillId="9" borderId="50" xfId="0" applyFont="1" applyFill="1" applyBorder="1" applyAlignment="1">
      <alignment horizontal="center" vertical="top" wrapText="1"/>
    </xf>
    <xf numFmtId="0" fontId="6" fillId="9" borderId="50" xfId="0" applyFont="1" applyFill="1" applyBorder="1" applyAlignment="1">
      <alignment horizontal="center" vertical="center" wrapText="1"/>
    </xf>
    <xf numFmtId="0" fontId="46" fillId="10" borderId="2" xfId="0" applyFont="1" applyFill="1" applyBorder="1" applyAlignment="1">
      <alignment horizontal="left" vertical="top" wrapText="1"/>
    </xf>
    <xf numFmtId="0" fontId="46" fillId="10" borderId="3" xfId="0" applyFont="1" applyFill="1" applyBorder="1" applyAlignment="1">
      <alignment horizontal="left" vertical="top" wrapText="1"/>
    </xf>
    <xf numFmtId="0" fontId="46" fillId="10" borderId="4" xfId="0" applyFont="1" applyFill="1" applyBorder="1" applyAlignment="1">
      <alignment horizontal="left" vertical="top" wrapText="1"/>
    </xf>
    <xf numFmtId="0" fontId="6" fillId="9" borderId="3" xfId="0" applyFont="1" applyFill="1" applyBorder="1" applyAlignment="1">
      <alignment horizontal="left" vertical="top" wrapText="1"/>
    </xf>
    <xf numFmtId="0" fontId="6" fillId="9" borderId="4" xfId="0" applyFont="1" applyFill="1" applyBorder="1" applyAlignment="1">
      <alignment horizontal="left" vertical="top" wrapText="1"/>
    </xf>
    <xf numFmtId="0" fontId="6" fillId="9" borderId="2" xfId="0" applyFont="1" applyFill="1" applyBorder="1" applyAlignment="1">
      <alignment vertical="top" wrapText="1"/>
    </xf>
    <xf numFmtId="0" fontId="6" fillId="9" borderId="3" xfId="0" applyFont="1" applyFill="1" applyBorder="1" applyAlignment="1">
      <alignment vertical="top" wrapText="1"/>
    </xf>
    <xf numFmtId="0" fontId="6" fillId="9" borderId="4" xfId="0" applyFont="1" applyFill="1" applyBorder="1" applyAlignment="1">
      <alignment vertical="top" wrapText="1"/>
    </xf>
    <xf numFmtId="0" fontId="46" fillId="10" borderId="50" xfId="0" applyFont="1" applyFill="1" applyBorder="1" applyAlignment="1">
      <alignment horizontal="center" vertical="top" wrapText="1"/>
    </xf>
    <xf numFmtId="0" fontId="46" fillId="10" borderId="51" xfId="0" applyFont="1" applyFill="1" applyBorder="1" applyAlignment="1">
      <alignment horizontal="center" vertical="top" wrapText="1"/>
    </xf>
    <xf numFmtId="0" fontId="46" fillId="10" borderId="52" xfId="0" applyFont="1" applyFill="1" applyBorder="1" applyAlignment="1">
      <alignment horizontal="center" vertical="top" wrapText="1"/>
    </xf>
    <xf numFmtId="14" fontId="6" fillId="9" borderId="51" xfId="0" applyNumberFormat="1" applyFont="1" applyFill="1" applyBorder="1" applyAlignment="1">
      <alignment horizontal="center" vertical="top" wrapText="1"/>
    </xf>
    <xf numFmtId="14" fontId="6" fillId="9" borderId="52" xfId="0" applyNumberFormat="1" applyFont="1" applyFill="1" applyBorder="1" applyAlignment="1">
      <alignment horizontal="center" vertical="top" wrapText="1"/>
    </xf>
    <xf numFmtId="0" fontId="6" fillId="9" borderId="1"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2" xfId="0" applyFont="1" applyFill="1" applyBorder="1" applyAlignment="1">
      <alignment horizontal="center" vertical="top" wrapText="1"/>
    </xf>
    <xf numFmtId="0" fontId="5" fillId="9" borderId="3" xfId="0" applyFont="1" applyFill="1" applyBorder="1" applyAlignment="1">
      <alignment horizontal="center" vertical="top" wrapText="1"/>
    </xf>
    <xf numFmtId="0" fontId="5" fillId="9" borderId="4" xfId="0" applyFont="1" applyFill="1" applyBorder="1" applyAlignment="1">
      <alignment horizontal="center" vertical="top" wrapText="1"/>
    </xf>
    <xf numFmtId="0" fontId="6" fillId="9" borderId="1" xfId="0" applyFont="1" applyFill="1" applyBorder="1" applyAlignment="1">
      <alignment horizontal="left" vertical="center" wrapText="1"/>
    </xf>
    <xf numFmtId="0" fontId="35" fillId="9" borderId="2" xfId="0" applyFont="1" applyFill="1" applyBorder="1" applyAlignment="1">
      <alignment horizontal="left" vertical="top" wrapText="1"/>
    </xf>
    <xf numFmtId="49" fontId="41" fillId="27" borderId="54" xfId="9" applyNumberFormat="1" applyFont="1" applyFill="1" applyBorder="1" applyAlignment="1">
      <alignment horizontal="center" vertical="center"/>
    </xf>
    <xf numFmtId="0" fontId="41" fillId="27" borderId="54" xfId="9" applyFont="1" applyFill="1" applyBorder="1" applyAlignment="1">
      <alignment horizontal="center" vertical="center" wrapText="1"/>
    </xf>
    <xf numFmtId="0" fontId="48" fillId="27" borderId="55" xfId="9" applyFont="1" applyFill="1" applyBorder="1" applyAlignment="1">
      <alignment horizontal="center" vertical="top"/>
    </xf>
    <xf numFmtId="0" fontId="41" fillId="27" borderId="54" xfId="9" applyFont="1" applyFill="1" applyBorder="1" applyAlignment="1">
      <alignment horizontal="center" vertical="center"/>
    </xf>
    <xf numFmtId="0" fontId="48" fillId="29" borderId="54" xfId="9" applyFont="1" applyFill="1" applyBorder="1" applyAlignment="1">
      <alignment horizontal="center" vertical="top"/>
    </xf>
    <xf numFmtId="0" fontId="41" fillId="27" borderId="1" xfId="9" applyFont="1" applyFill="1" applyBorder="1" applyAlignment="1">
      <alignment horizontal="center" vertical="top"/>
    </xf>
    <xf numFmtId="0" fontId="48" fillId="29" borderId="1" xfId="9" applyFont="1" applyFill="1" applyBorder="1" applyAlignment="1">
      <alignment horizontal="center" vertical="top"/>
    </xf>
    <xf numFmtId="0" fontId="48" fillId="29" borderId="56" xfId="9" applyFont="1" applyFill="1" applyBorder="1" applyAlignment="1">
      <alignment horizontal="center" vertical="top"/>
    </xf>
    <xf numFmtId="0" fontId="48" fillId="28" borderId="0" xfId="9" applyFont="1" applyFill="1" applyBorder="1" applyAlignment="1">
      <alignment horizontal="center" vertical="center"/>
    </xf>
    <xf numFmtId="0" fontId="41" fillId="27" borderId="54" xfId="9" applyFont="1" applyFill="1" applyBorder="1" applyAlignment="1">
      <alignment horizontal="center" vertical="top"/>
    </xf>
    <xf numFmtId="14" fontId="41" fillId="27" borderId="54" xfId="9" applyNumberFormat="1" applyFont="1" applyFill="1" applyBorder="1" applyAlignment="1">
      <alignment horizontal="center" vertical="top"/>
    </xf>
    <xf numFmtId="0" fontId="41" fillId="27" borderId="1" xfId="9" applyFont="1" applyFill="1" applyBorder="1" applyAlignment="1">
      <alignment horizontal="left" vertical="top" wrapText="1"/>
    </xf>
    <xf numFmtId="0" fontId="48" fillId="29" borderId="1" xfId="9" applyFont="1" applyFill="1" applyBorder="1" applyAlignment="1">
      <alignment horizontal="left" vertical="center"/>
    </xf>
    <xf numFmtId="49" fontId="41" fillId="27" borderId="1" xfId="9" applyNumberFormat="1" applyFont="1" applyFill="1" applyBorder="1" applyAlignment="1">
      <alignment horizontal="left" vertical="top" wrapText="1"/>
    </xf>
    <xf numFmtId="0" fontId="48" fillId="29" borderId="1" xfId="9" applyFont="1" applyFill="1" applyBorder="1" applyAlignment="1">
      <alignment horizontal="left" vertical="top"/>
    </xf>
    <xf numFmtId="0" fontId="41" fillId="27" borderId="2" xfId="9" applyFont="1" applyFill="1" applyBorder="1" applyAlignment="1">
      <alignment horizontal="left" vertical="top"/>
    </xf>
    <xf numFmtId="0" fontId="41" fillId="27" borderId="3" xfId="9" applyFont="1" applyFill="1" applyBorder="1" applyAlignment="1">
      <alignment horizontal="left" vertical="top"/>
    </xf>
    <xf numFmtId="0" fontId="41" fillId="27" borderId="4" xfId="9" applyFont="1" applyFill="1" applyBorder="1" applyAlignment="1">
      <alignment horizontal="left" vertical="top"/>
    </xf>
    <xf numFmtId="0" fontId="48" fillId="27" borderId="1" xfId="9" applyFont="1" applyFill="1" applyBorder="1" applyAlignment="1">
      <alignment horizontal="left" vertical="top" wrapText="1"/>
    </xf>
    <xf numFmtId="0" fontId="48" fillId="29" borderId="1" xfId="9" applyFont="1" applyFill="1" applyBorder="1" applyAlignment="1">
      <alignment horizontal="center" vertical="center" wrapText="1"/>
    </xf>
    <xf numFmtId="0" fontId="41" fillId="27" borderId="1" xfId="9" applyFont="1" applyFill="1" applyBorder="1" applyAlignment="1">
      <alignment horizontal="left" vertical="center" wrapText="1"/>
    </xf>
    <xf numFmtId="0" fontId="41" fillId="27" borderId="1" xfId="9" applyFont="1" applyFill="1" applyBorder="1" applyAlignment="1">
      <alignment horizontal="left" vertical="top"/>
    </xf>
    <xf numFmtId="0" fontId="41" fillId="27" borderId="5" xfId="9" applyFont="1" applyFill="1" applyBorder="1" applyAlignment="1">
      <alignment horizontal="left" vertical="center" wrapText="1"/>
    </xf>
    <xf numFmtId="0" fontId="41" fillId="27" borderId="8" xfId="9" applyFont="1" applyFill="1" applyBorder="1" applyAlignment="1">
      <alignment horizontal="left" vertical="center" wrapText="1"/>
    </xf>
    <xf numFmtId="0" fontId="41" fillId="27" borderId="6" xfId="9" applyFont="1" applyFill="1" applyBorder="1" applyAlignment="1">
      <alignment horizontal="left" vertical="center" wrapText="1"/>
    </xf>
    <xf numFmtId="0" fontId="48" fillId="27" borderId="7" xfId="9" applyFont="1" applyFill="1" applyBorder="1" applyAlignment="1">
      <alignment horizontal="left" vertical="top" wrapText="1"/>
    </xf>
    <xf numFmtId="0" fontId="48" fillId="27" borderId="10" xfId="9" applyFont="1" applyFill="1" applyBorder="1" applyAlignment="1">
      <alignment horizontal="left" vertical="top" wrapText="1"/>
    </xf>
    <xf numFmtId="0" fontId="48" fillId="27" borderId="13" xfId="9" applyFont="1" applyFill="1" applyBorder="1" applyAlignment="1">
      <alignment horizontal="left" vertical="top" wrapText="1"/>
    </xf>
    <xf numFmtId="49" fontId="41" fillId="27" borderId="9" xfId="9" applyNumberFormat="1" applyFont="1" applyFill="1" applyBorder="1" applyAlignment="1">
      <alignment horizontal="left" vertical="top" wrapText="1"/>
    </xf>
    <xf numFmtId="49" fontId="41" fillId="27" borderId="11" xfId="9" applyNumberFormat="1" applyFont="1" applyFill="1" applyBorder="1" applyAlignment="1">
      <alignment horizontal="left" vertical="top" wrapText="1"/>
    </xf>
    <xf numFmtId="49" fontId="41" fillId="27" borderId="15" xfId="9" applyNumberFormat="1" applyFont="1" applyFill="1" applyBorder="1" applyAlignment="1">
      <alignment horizontal="left" vertical="top" wrapText="1"/>
    </xf>
    <xf numFmtId="0" fontId="41" fillId="27" borderId="2" xfId="9" applyFont="1" applyFill="1" applyBorder="1" applyAlignment="1">
      <alignment horizontal="left" vertical="top" wrapText="1"/>
    </xf>
    <xf numFmtId="49" fontId="41" fillId="27" borderId="1" xfId="9" applyNumberFormat="1" applyFont="1" applyFill="1" applyBorder="1" applyAlignment="1">
      <alignment horizontal="left" vertical="top"/>
    </xf>
    <xf numFmtId="0" fontId="48" fillId="29" borderId="1" xfId="9" applyFont="1" applyFill="1" applyBorder="1" applyAlignment="1">
      <alignment horizontal="left" vertical="top" wrapText="1"/>
    </xf>
    <xf numFmtId="0" fontId="8" fillId="9" borderId="5" xfId="0" applyFont="1" applyFill="1" applyBorder="1" applyAlignment="1" applyProtection="1">
      <alignment horizontal="left" vertical="center" wrapText="1"/>
    </xf>
    <xf numFmtId="0" fontId="8" fillId="9" borderId="6" xfId="0" applyFont="1" applyFill="1" applyBorder="1" applyAlignment="1" applyProtection="1">
      <alignment horizontal="left" vertical="center" wrapText="1"/>
    </xf>
    <xf numFmtId="0" fontId="8" fillId="9" borderId="8" xfId="0" applyFont="1" applyFill="1" applyBorder="1" applyAlignment="1" applyProtection="1">
      <alignment horizontal="left" vertical="center" wrapText="1"/>
    </xf>
    <xf numFmtId="0" fontId="14" fillId="9" borderId="19" xfId="0" applyFont="1" applyFill="1" applyBorder="1" applyAlignment="1">
      <alignment vertical="center"/>
    </xf>
    <xf numFmtId="0" fontId="1" fillId="9" borderId="19" xfId="0" applyFont="1" applyFill="1" applyBorder="1" applyAlignment="1">
      <alignment vertical="center" wrapText="1"/>
    </xf>
    <xf numFmtId="0" fontId="14" fillId="9" borderId="0" xfId="0" applyFont="1" applyFill="1" applyAlignment="1">
      <alignment vertical="center"/>
    </xf>
    <xf numFmtId="0" fontId="64" fillId="24" borderId="18" xfId="0" applyFont="1" applyFill="1" applyBorder="1" applyAlignment="1">
      <alignment horizontal="justify" vertical="center" wrapText="1"/>
    </xf>
    <xf numFmtId="0" fontId="64" fillId="24" borderId="19" xfId="0" applyFont="1" applyFill="1" applyBorder="1" applyAlignment="1">
      <alignment horizontal="justify" vertical="center" wrapText="1"/>
    </xf>
    <xf numFmtId="0" fontId="64" fillId="24" borderId="31" xfId="0" applyFont="1" applyFill="1" applyBorder="1" applyAlignment="1">
      <alignment horizontal="justify" vertical="center" wrapText="1"/>
    </xf>
    <xf numFmtId="0" fontId="35" fillId="24" borderId="26" xfId="0" applyFont="1" applyFill="1" applyBorder="1" applyAlignment="1">
      <alignment horizontal="left" vertical="center" wrapText="1" indent="1"/>
    </xf>
    <xf numFmtId="0" fontId="35" fillId="24" borderId="24" xfId="0" applyFont="1" applyFill="1" applyBorder="1" applyAlignment="1">
      <alignment horizontal="left" vertical="center" wrapText="1" indent="1"/>
    </xf>
    <xf numFmtId="0" fontId="35" fillId="24" borderId="30" xfId="0" applyFont="1" applyFill="1" applyBorder="1" applyAlignment="1">
      <alignment horizontal="left" vertical="center" wrapText="1" indent="1"/>
    </xf>
    <xf numFmtId="0" fontId="57" fillId="24" borderId="18" xfId="0" applyFont="1" applyFill="1" applyBorder="1" applyAlignment="1">
      <alignment horizontal="justify" vertical="center" wrapText="1"/>
    </xf>
    <xf numFmtId="0" fontId="57" fillId="24" borderId="19" xfId="0" applyFont="1" applyFill="1" applyBorder="1" applyAlignment="1">
      <alignment horizontal="justify" vertical="center" wrapText="1"/>
    </xf>
    <xf numFmtId="0" fontId="57" fillId="24" borderId="31" xfId="0" applyFont="1" applyFill="1" applyBorder="1" applyAlignment="1">
      <alignment horizontal="justify" vertical="center" wrapText="1"/>
    </xf>
    <xf numFmtId="0" fontId="32" fillId="24" borderId="36" xfId="0" applyFont="1" applyFill="1" applyBorder="1" applyAlignment="1">
      <alignment vertical="center"/>
    </xf>
    <xf numFmtId="0" fontId="33" fillId="0" borderId="33" xfId="0" applyFont="1" applyBorder="1" applyAlignment="1">
      <alignment vertical="center" wrapText="1"/>
    </xf>
    <xf numFmtId="0" fontId="1" fillId="0" borderId="0" xfId="0" applyFont="1" applyAlignment="1">
      <alignment vertical="center" wrapText="1"/>
    </xf>
    <xf numFmtId="0" fontId="66" fillId="24" borderId="28" xfId="0" applyFont="1" applyFill="1" applyBorder="1" applyAlignment="1">
      <alignment horizontal="justify" vertical="center" wrapText="1"/>
    </xf>
    <xf numFmtId="0" fontId="46" fillId="25" borderId="22" xfId="0" applyFont="1" applyFill="1" applyBorder="1" applyAlignment="1">
      <alignment vertical="center"/>
    </xf>
    <xf numFmtId="0" fontId="46" fillId="25" borderId="21" xfId="0" applyFont="1" applyFill="1" applyBorder="1" applyAlignment="1">
      <alignment vertical="center"/>
    </xf>
    <xf numFmtId="0" fontId="46" fillId="25" borderId="32" xfId="0" applyFont="1" applyFill="1" applyBorder="1" applyAlignment="1">
      <alignment vertical="center"/>
    </xf>
    <xf numFmtId="0" fontId="40" fillId="24" borderId="26" xfId="0" applyFont="1" applyFill="1" applyBorder="1" applyAlignment="1">
      <alignment horizontal="justify" vertical="center" wrapText="1"/>
    </xf>
    <xf numFmtId="0" fontId="7" fillId="24" borderId="28" xfId="0" applyFont="1" applyFill="1" applyBorder="1" applyAlignment="1">
      <alignment horizontal="left" vertical="center" wrapText="1" indent="2"/>
    </xf>
    <xf numFmtId="0" fontId="7" fillId="24" borderId="0" xfId="0" applyFont="1" applyFill="1" applyBorder="1" applyAlignment="1">
      <alignment horizontal="left" vertical="center" wrapText="1" indent="2"/>
    </xf>
    <xf numFmtId="0" fontId="7" fillId="24" borderId="29" xfId="0" applyFont="1" applyFill="1" applyBorder="1" applyAlignment="1">
      <alignment horizontal="left" vertical="center" wrapText="1" indent="2"/>
    </xf>
    <xf numFmtId="0" fontId="7" fillId="24" borderId="26" xfId="0" applyFont="1" applyFill="1" applyBorder="1" applyAlignment="1">
      <alignment horizontal="left" vertical="center" wrapText="1" indent="2"/>
    </xf>
    <xf numFmtId="0" fontId="7" fillId="24" borderId="24" xfId="0" applyFont="1" applyFill="1" applyBorder="1" applyAlignment="1">
      <alignment horizontal="left" vertical="center" wrapText="1" indent="2"/>
    </xf>
    <xf numFmtId="0" fontId="7" fillId="24" borderId="30" xfId="0" applyFont="1" applyFill="1" applyBorder="1" applyAlignment="1">
      <alignment horizontal="left" vertical="center" wrapText="1" indent="2"/>
    </xf>
    <xf numFmtId="0" fontId="5" fillId="24" borderId="32" xfId="0" applyFont="1" applyFill="1" applyBorder="1" applyAlignment="1">
      <alignment vertical="center"/>
    </xf>
    <xf numFmtId="0" fontId="7" fillId="24" borderId="18" xfId="0" applyFont="1" applyFill="1" applyBorder="1" applyAlignment="1">
      <alignment horizontal="left" vertical="center" wrapText="1" indent="2"/>
    </xf>
    <xf numFmtId="0" fontId="7" fillId="24" borderId="19" xfId="0" applyFont="1" applyFill="1" applyBorder="1" applyAlignment="1">
      <alignment horizontal="left" vertical="center" wrapText="1" indent="2"/>
    </xf>
    <xf numFmtId="0" fontId="7" fillId="24" borderId="31" xfId="0" applyFont="1" applyFill="1" applyBorder="1" applyAlignment="1">
      <alignment horizontal="left" vertical="center" wrapText="1" indent="2"/>
    </xf>
    <xf numFmtId="0" fontId="53" fillId="24" borderId="28" xfId="8" applyFont="1" applyFill="1" applyBorder="1" applyAlignment="1">
      <alignment horizontal="left" vertical="center" wrapText="1" indent="2"/>
    </xf>
    <xf numFmtId="0" fontId="53" fillId="24" borderId="0" xfId="8" applyFont="1" applyFill="1" applyBorder="1" applyAlignment="1">
      <alignment horizontal="left" vertical="center" wrapText="1" indent="2"/>
    </xf>
    <xf numFmtId="0" fontId="53" fillId="24" borderId="29" xfId="8" applyFont="1" applyFill="1" applyBorder="1" applyAlignment="1">
      <alignment horizontal="left" vertical="center" wrapText="1" indent="2"/>
    </xf>
    <xf numFmtId="0" fontId="67" fillId="24" borderId="28" xfId="0" applyFont="1" applyFill="1" applyBorder="1" applyAlignment="1">
      <alignment horizontal="justify" vertical="center" wrapText="1"/>
    </xf>
    <xf numFmtId="0" fontId="67" fillId="24" borderId="0" xfId="0" applyFont="1" applyFill="1" applyBorder="1" applyAlignment="1">
      <alignment horizontal="justify" vertical="center" wrapText="1"/>
    </xf>
    <xf numFmtId="0" fontId="67" fillId="24" borderId="29" xfId="0" applyFont="1" applyFill="1" applyBorder="1" applyAlignment="1">
      <alignment horizontal="justify" vertical="center" wrapText="1"/>
    </xf>
    <xf numFmtId="0" fontId="6" fillId="24" borderId="26" xfId="0" applyFont="1" applyFill="1" applyBorder="1" applyAlignment="1">
      <alignment horizontal="justify" vertical="center" wrapText="1"/>
    </xf>
    <xf numFmtId="0" fontId="6" fillId="24" borderId="24" xfId="0" applyFont="1" applyFill="1" applyBorder="1" applyAlignment="1">
      <alignment horizontal="justify" vertical="center" wrapText="1"/>
    </xf>
    <xf numFmtId="0" fontId="6" fillId="24" borderId="30" xfId="0" applyFont="1" applyFill="1" applyBorder="1" applyAlignment="1">
      <alignment horizontal="justify" vertical="center" wrapText="1"/>
    </xf>
    <xf numFmtId="0" fontId="17" fillId="24" borderId="22" xfId="0" applyFont="1" applyFill="1" applyBorder="1" applyAlignment="1">
      <alignment vertical="center"/>
    </xf>
    <xf numFmtId="0" fontId="17" fillId="24" borderId="21" xfId="0" applyFont="1" applyFill="1" applyBorder="1" applyAlignment="1">
      <alignment vertical="center"/>
    </xf>
    <xf numFmtId="0" fontId="17" fillId="24" borderId="32" xfId="0" applyFont="1" applyFill="1" applyBorder="1" applyAlignment="1">
      <alignment vertical="center"/>
    </xf>
    <xf numFmtId="0" fontId="7" fillId="24" borderId="28" xfId="8" applyFont="1" applyFill="1" applyBorder="1" applyAlignment="1">
      <alignment horizontal="left" vertical="center" wrapText="1" indent="2"/>
    </xf>
    <xf numFmtId="0" fontId="7" fillId="24" borderId="0" xfId="8" applyFont="1" applyFill="1" applyBorder="1" applyAlignment="1">
      <alignment horizontal="left" vertical="center" wrapText="1" indent="2"/>
    </xf>
    <xf numFmtId="0" fontId="7" fillId="24" borderId="29" xfId="8" applyFont="1" applyFill="1" applyBorder="1" applyAlignment="1">
      <alignment horizontal="left" vertical="center" wrapText="1" indent="2"/>
    </xf>
    <xf numFmtId="0" fontId="40" fillId="24" borderId="18" xfId="0" applyFont="1" applyFill="1" applyBorder="1" applyAlignment="1">
      <alignment horizontal="left" vertical="center" wrapText="1" indent="4"/>
    </xf>
    <xf numFmtId="0" fontId="40" fillId="24" borderId="19" xfId="0" applyFont="1" applyFill="1" applyBorder="1" applyAlignment="1">
      <alignment horizontal="left" vertical="center" wrapText="1" indent="4"/>
    </xf>
    <xf numFmtId="0" fontId="40" fillId="24" borderId="31" xfId="0" applyFont="1" applyFill="1" applyBorder="1" applyAlignment="1">
      <alignment horizontal="left" vertical="center" wrapText="1" indent="4"/>
    </xf>
    <xf numFmtId="0" fontId="37" fillId="24" borderId="26" xfId="0" applyFont="1" applyFill="1" applyBorder="1" applyAlignment="1">
      <alignment horizontal="left" vertical="center" wrapText="1" indent="4"/>
    </xf>
    <xf numFmtId="0" fontId="37" fillId="24" borderId="24" xfId="0" applyFont="1" applyFill="1" applyBorder="1" applyAlignment="1">
      <alignment horizontal="left" vertical="center" wrapText="1" indent="4"/>
    </xf>
    <xf numFmtId="0" fontId="37" fillId="24" borderId="30" xfId="0" applyFont="1" applyFill="1" applyBorder="1" applyAlignment="1">
      <alignment horizontal="left" vertical="center" wrapText="1" indent="4"/>
    </xf>
    <xf numFmtId="0" fontId="70" fillId="24" borderId="28" xfId="0" applyFont="1" applyFill="1" applyBorder="1" applyAlignment="1">
      <alignment horizontal="justify" vertical="center" wrapText="1"/>
    </xf>
    <xf numFmtId="0" fontId="70" fillId="24" borderId="0" xfId="0" applyFont="1" applyFill="1" applyBorder="1" applyAlignment="1">
      <alignment horizontal="justify" vertical="center" wrapText="1"/>
    </xf>
    <xf numFmtId="0" fontId="70" fillId="24" borderId="29" xfId="0" applyFont="1" applyFill="1" applyBorder="1" applyAlignment="1">
      <alignment horizontal="justify" vertical="center" wrapText="1"/>
    </xf>
    <xf numFmtId="0" fontId="59" fillId="24" borderId="28" xfId="0" applyFont="1" applyFill="1" applyBorder="1" applyAlignment="1">
      <alignment horizontal="justify" vertical="center" wrapText="1"/>
    </xf>
    <xf numFmtId="0" fontId="59" fillId="24" borderId="0" xfId="0" applyFont="1" applyFill="1" applyBorder="1" applyAlignment="1">
      <alignment horizontal="justify" vertical="center" wrapText="1"/>
    </xf>
    <xf numFmtId="0" fontId="59" fillId="24" borderId="29" xfId="0" applyFont="1" applyFill="1" applyBorder="1" applyAlignment="1">
      <alignment horizontal="justify" vertical="center" wrapText="1"/>
    </xf>
    <xf numFmtId="0" fontId="59" fillId="24" borderId="26" xfId="0" applyFont="1" applyFill="1" applyBorder="1" applyAlignment="1">
      <alignment horizontal="justify" vertical="center" wrapText="1"/>
    </xf>
    <xf numFmtId="0" fontId="59" fillId="24" borderId="24" xfId="0" applyFont="1" applyFill="1" applyBorder="1" applyAlignment="1">
      <alignment horizontal="justify" vertical="center" wrapText="1"/>
    </xf>
    <xf numFmtId="0" fontId="59" fillId="24" borderId="30" xfId="0" applyFont="1" applyFill="1" applyBorder="1" applyAlignment="1">
      <alignment horizontal="justify" vertical="center" wrapText="1"/>
    </xf>
    <xf numFmtId="0" fontId="68" fillId="24" borderId="28" xfId="0" applyFont="1" applyFill="1" applyBorder="1" applyAlignment="1">
      <alignment horizontal="justify" vertical="center" wrapText="1"/>
    </xf>
    <xf numFmtId="0" fontId="68" fillId="24" borderId="0" xfId="0" applyFont="1" applyFill="1" applyBorder="1" applyAlignment="1">
      <alignment horizontal="justify" vertical="center" wrapText="1"/>
    </xf>
    <xf numFmtId="0" fontId="68" fillId="24" borderId="29" xfId="0" applyFont="1" applyFill="1" applyBorder="1" applyAlignment="1">
      <alignment horizontal="justify" vertical="center" wrapText="1"/>
    </xf>
    <xf numFmtId="0" fontId="69" fillId="24" borderId="28" xfId="0" applyFont="1" applyFill="1" applyBorder="1" applyAlignment="1">
      <alignment horizontal="justify" vertical="center" wrapText="1"/>
    </xf>
    <xf numFmtId="0" fontId="69" fillId="24" borderId="0" xfId="0" applyFont="1" applyFill="1" applyBorder="1" applyAlignment="1">
      <alignment horizontal="justify" vertical="center" wrapText="1"/>
    </xf>
    <xf numFmtId="0" fontId="69" fillId="24" borderId="29" xfId="0" applyFont="1" applyFill="1" applyBorder="1" applyAlignment="1">
      <alignment horizontal="justify" vertical="center" wrapText="1"/>
    </xf>
    <xf numFmtId="0" fontId="68" fillId="24" borderId="18" xfId="0" applyFont="1" applyFill="1" applyBorder="1" applyAlignment="1">
      <alignment horizontal="justify" vertical="center" wrapText="1"/>
    </xf>
    <xf numFmtId="0" fontId="68" fillId="24" borderId="19" xfId="0" applyFont="1" applyFill="1" applyBorder="1" applyAlignment="1">
      <alignment horizontal="justify" vertical="center" wrapText="1"/>
    </xf>
    <xf numFmtId="0" fontId="68" fillId="24" borderId="31" xfId="0" applyFont="1" applyFill="1" applyBorder="1" applyAlignment="1">
      <alignment horizontal="justify" vertical="center" wrapText="1"/>
    </xf>
    <xf numFmtId="0" fontId="7" fillId="24" borderId="18" xfId="8" applyFont="1" applyFill="1" applyBorder="1" applyAlignment="1">
      <alignment horizontal="left" vertical="center" wrapText="1" indent="2"/>
    </xf>
    <xf numFmtId="0" fontId="7" fillId="24" borderId="19" xfId="8" applyFont="1" applyFill="1" applyBorder="1" applyAlignment="1">
      <alignment horizontal="left" vertical="center" wrapText="1" indent="2"/>
    </xf>
    <xf numFmtId="0" fontId="7" fillId="24" borderId="31" xfId="8" applyFont="1" applyFill="1" applyBorder="1" applyAlignment="1">
      <alignment horizontal="left" vertical="center" wrapText="1" indent="2"/>
    </xf>
    <xf numFmtId="0" fontId="40" fillId="24" borderId="18" xfId="0" applyFont="1" applyFill="1" applyBorder="1" applyAlignment="1">
      <alignment horizontal="left" vertical="center" wrapText="1" indent="1"/>
    </xf>
    <xf numFmtId="0" fontId="40" fillId="24" borderId="19" xfId="0" applyFont="1" applyFill="1" applyBorder="1" applyAlignment="1">
      <alignment horizontal="left" vertical="center" wrapText="1" indent="1"/>
    </xf>
    <xf numFmtId="0" fontId="40" fillId="24" borderId="31" xfId="0" applyFont="1" applyFill="1" applyBorder="1" applyAlignment="1">
      <alignment horizontal="left" vertical="center" wrapText="1" indent="1"/>
    </xf>
    <xf numFmtId="0" fontId="40" fillId="24" borderId="28" xfId="0" applyFont="1" applyFill="1" applyBorder="1" applyAlignment="1">
      <alignment horizontal="left" vertical="center" wrapText="1" indent="1"/>
    </xf>
    <xf numFmtId="0" fontId="40" fillId="24" borderId="0" xfId="0" applyFont="1" applyFill="1" applyBorder="1" applyAlignment="1">
      <alignment horizontal="left" vertical="center" wrapText="1" indent="1"/>
    </xf>
    <xf numFmtId="0" fontId="40" fillId="24" borderId="29" xfId="0" applyFont="1" applyFill="1" applyBorder="1" applyAlignment="1">
      <alignment horizontal="left" vertical="center" wrapText="1" indent="1"/>
    </xf>
    <xf numFmtId="0" fontId="7" fillId="24" borderId="28" xfId="0" applyFont="1" applyFill="1" applyBorder="1" applyAlignment="1">
      <alignment horizontal="left" vertical="center" wrapText="1" indent="1"/>
    </xf>
    <xf numFmtId="0" fontId="7" fillId="24" borderId="0" xfId="0" applyFont="1" applyFill="1" applyBorder="1" applyAlignment="1">
      <alignment horizontal="left" vertical="center" wrapText="1" indent="1"/>
    </xf>
    <xf numFmtId="0" fontId="7" fillId="24" borderId="29" xfId="0" applyFont="1" applyFill="1" applyBorder="1" applyAlignment="1">
      <alignment horizontal="left" vertical="center" wrapText="1" indent="1"/>
    </xf>
    <xf numFmtId="0" fontId="7" fillId="24" borderId="28" xfId="0" applyFont="1" applyFill="1" applyBorder="1" applyAlignment="1">
      <alignment horizontal="left" vertical="center" wrapText="1" indent="7"/>
    </xf>
    <xf numFmtId="0" fontId="7" fillId="24" borderId="0" xfId="0" applyFont="1" applyFill="1" applyBorder="1" applyAlignment="1">
      <alignment horizontal="left" vertical="center" wrapText="1" indent="7"/>
    </xf>
    <xf numFmtId="0" fontId="7" fillId="24" borderId="29" xfId="0" applyFont="1" applyFill="1" applyBorder="1" applyAlignment="1">
      <alignment horizontal="left" vertical="center" wrapText="1" indent="7"/>
    </xf>
    <xf numFmtId="0" fontId="58" fillId="24" borderId="28" xfId="0" applyFont="1" applyFill="1" applyBorder="1" applyAlignment="1">
      <alignment horizontal="justify" vertical="center" wrapText="1"/>
    </xf>
    <xf numFmtId="0" fontId="58" fillId="24" borderId="0" xfId="0" applyFont="1" applyFill="1" applyBorder="1" applyAlignment="1">
      <alignment horizontal="justify" vertical="center" wrapText="1"/>
    </xf>
    <xf numFmtId="0" fontId="58" fillId="24" borderId="29" xfId="0" applyFont="1" applyFill="1" applyBorder="1" applyAlignment="1">
      <alignment horizontal="justify" vertical="center" wrapText="1"/>
    </xf>
    <xf numFmtId="0" fontId="6" fillId="24" borderId="22" xfId="0" applyFont="1" applyFill="1" applyBorder="1" applyAlignment="1">
      <alignment horizontal="left" vertical="center"/>
    </xf>
    <xf numFmtId="0" fontId="6" fillId="24" borderId="21" xfId="0" applyFont="1" applyFill="1" applyBorder="1" applyAlignment="1">
      <alignment horizontal="left" vertical="center"/>
    </xf>
    <xf numFmtId="0" fontId="6" fillId="24" borderId="32" xfId="0" applyFont="1" applyFill="1" applyBorder="1" applyAlignment="1">
      <alignment horizontal="left" vertical="center"/>
    </xf>
    <xf numFmtId="0" fontId="5" fillId="24" borderId="32" xfId="0" applyFont="1" applyFill="1" applyBorder="1" applyAlignment="1">
      <alignment horizontal="center" vertical="center"/>
    </xf>
    <xf numFmtId="0" fontId="6" fillId="9" borderId="2" xfId="0" quotePrefix="1" applyFont="1" applyFill="1" applyBorder="1" applyAlignment="1">
      <alignment horizontal="left" vertical="top" wrapText="1"/>
    </xf>
    <xf numFmtId="0" fontId="35" fillId="9" borderId="9" xfId="0" applyFont="1" applyFill="1" applyBorder="1" applyAlignment="1">
      <alignment horizontal="left" vertical="top" wrapText="1"/>
    </xf>
    <xf numFmtId="0" fontId="35" fillId="9" borderId="11" xfId="0" applyFont="1" applyFill="1" applyBorder="1" applyAlignment="1">
      <alignment horizontal="left" vertical="top" wrapText="1"/>
    </xf>
    <xf numFmtId="0" fontId="35" fillId="9" borderId="15" xfId="0" applyFont="1" applyFill="1" applyBorder="1" applyAlignment="1">
      <alignment horizontal="left" vertical="top" wrapText="1"/>
    </xf>
    <xf numFmtId="0" fontId="35" fillId="9" borderId="7" xfId="0" applyFont="1" applyFill="1" applyBorder="1" applyAlignment="1">
      <alignment horizontal="left" vertical="top" wrapText="1"/>
    </xf>
    <xf numFmtId="0" fontId="35" fillId="9" borderId="10" xfId="0" applyFont="1" applyFill="1" applyBorder="1" applyAlignment="1">
      <alignment horizontal="left" vertical="top"/>
    </xf>
    <xf numFmtId="0" fontId="35" fillId="9" borderId="13" xfId="0" applyFont="1" applyFill="1" applyBorder="1" applyAlignment="1">
      <alignment horizontal="left" vertical="top"/>
    </xf>
    <xf numFmtId="49" fontId="48" fillId="27" borderId="9" xfId="9" applyNumberFormat="1" applyFont="1" applyFill="1" applyBorder="1" applyAlignment="1">
      <alignment horizontal="left" vertical="top" wrapText="1"/>
    </xf>
    <xf numFmtId="49" fontId="48" fillId="27" borderId="11" xfId="9" applyNumberFormat="1" applyFont="1" applyFill="1" applyBorder="1" applyAlignment="1">
      <alignment horizontal="left" vertical="top" wrapText="1"/>
    </xf>
    <xf numFmtId="49" fontId="48" fillId="27" borderId="15" xfId="9" applyNumberFormat="1" applyFont="1" applyFill="1" applyBorder="1" applyAlignment="1">
      <alignment horizontal="left" vertical="top" wrapText="1"/>
    </xf>
    <xf numFmtId="0" fontId="73" fillId="28" borderId="0" xfId="9" applyFont="1" applyFill="1" applyBorder="1" applyAlignment="1">
      <alignment horizontal="center" vertical="center" wrapText="1"/>
    </xf>
    <xf numFmtId="0" fontId="3" fillId="16" borderId="1" xfId="0" applyFont="1" applyFill="1" applyBorder="1" applyAlignment="1">
      <alignment horizontal="left" vertical="center"/>
    </xf>
    <xf numFmtId="0" fontId="7" fillId="10" borderId="6" xfId="0" applyFont="1" applyFill="1" applyBorder="1" applyAlignment="1" applyProtection="1">
      <alignment horizontal="center" vertical="center"/>
      <protection locked="0"/>
    </xf>
    <xf numFmtId="1" fontId="7" fillId="10" borderId="5" xfId="0" applyNumberFormat="1" applyFont="1" applyFill="1" applyBorder="1" applyAlignment="1" applyProtection="1">
      <alignment horizontal="center" vertical="center"/>
      <protection locked="0"/>
    </xf>
    <xf numFmtId="0" fontId="7" fillId="9" borderId="5" xfId="0" applyFont="1" applyFill="1" applyBorder="1" applyAlignment="1" applyProtection="1">
      <alignment horizontal="left" vertical="center" wrapText="1"/>
      <protection locked="0"/>
    </xf>
    <xf numFmtId="0" fontId="7" fillId="9" borderId="6" xfId="0" applyFont="1" applyFill="1" applyBorder="1" applyAlignment="1" applyProtection="1">
      <alignment horizontal="left" vertical="center" wrapText="1"/>
      <protection locked="0"/>
    </xf>
    <xf numFmtId="0" fontId="3" fillId="16" borderId="5" xfId="0" applyFont="1" applyFill="1" applyBorder="1" applyAlignment="1">
      <alignment horizontal="left" vertical="center"/>
    </xf>
    <xf numFmtId="0" fontId="3" fillId="16" borderId="6" xfId="0" applyFont="1" applyFill="1" applyBorder="1" applyAlignment="1">
      <alignment horizontal="left" vertical="center"/>
    </xf>
    <xf numFmtId="0" fontId="32" fillId="24" borderId="35" xfId="0" applyFont="1" applyFill="1" applyBorder="1" applyAlignment="1">
      <alignment vertical="center" wrapText="1"/>
    </xf>
    <xf numFmtId="0" fontId="32" fillId="24" borderId="37" xfId="0" applyFont="1" applyFill="1" applyBorder="1" applyAlignment="1">
      <alignment vertical="center" wrapText="1"/>
    </xf>
  </cellXfs>
  <cellStyles count="11">
    <cellStyle name="20 % - Accent4" xfId="2" builtinId="42"/>
    <cellStyle name="20 % - Accent6" xfId="5" builtinId="50"/>
    <cellStyle name="40 % - Accent4" xfId="3" builtinId="43"/>
    <cellStyle name="40 % - Accent6" xfId="6" builtinId="51"/>
    <cellStyle name="60 % - Accent4" xfId="4" builtinId="44"/>
    <cellStyle name="60 % - Accent6" xfId="7" builtinId="52"/>
    <cellStyle name="Accent2" xfId="10" builtinId="33"/>
    <cellStyle name="Accent4" xfId="1" builtinId="41"/>
    <cellStyle name="Lien hypertexte" xfId="8" builtinId="8"/>
    <cellStyle name="Normal" xfId="0" builtinId="0"/>
    <cellStyle name="Normal 2" xfId="9"/>
  </cellStyles>
  <dxfs count="0"/>
  <tableStyles count="0" defaultTableStyle="TableStyleMedium2" defaultPivotStyle="PivotStyleLight16"/>
  <colors>
    <mruColors>
      <color rgb="FFFF8080"/>
      <color rgb="FF0000FF"/>
      <color rgb="FFA6D1D1"/>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xdr:row>
      <xdr:rowOff>38100</xdr:rowOff>
    </xdr:from>
    <xdr:to>
      <xdr:col>2</xdr:col>
      <xdr:colOff>3175</xdr:colOff>
      <xdr:row>3</xdr:row>
      <xdr:rowOff>175419</xdr:rowOff>
    </xdr:to>
    <xdr:pic>
      <xdr:nvPicPr>
        <xdr:cNvPr id="2" name="Picture 1">
          <a:extLst>
            <a:ext uri="{FF2B5EF4-FFF2-40B4-BE49-F238E27FC236}">
              <a16:creationId xmlns:a16="http://schemas.microsoft.com/office/drawing/2014/main" xmlns="" id="{B94F09B4-0529-4455-9E65-0A86B892DC70}"/>
            </a:ext>
          </a:extLst>
        </xdr:cNvPr>
        <xdr:cNvPicPr>
          <a:picLocks noChangeAspect="1" noChangeArrowheads="1"/>
        </xdr:cNvPicPr>
      </xdr:nvPicPr>
      <xdr:blipFill>
        <a:blip xmlns:r="http://schemas.openxmlformats.org/officeDocument/2006/relationships" r:embed="rId1" cstate="print"/>
        <a:srcRect r="45454"/>
        <a:stretch>
          <a:fillRect/>
        </a:stretch>
      </xdr:blipFill>
      <xdr:spPr bwMode="auto">
        <a:xfrm>
          <a:off x="215900" y="228600"/>
          <a:ext cx="533400" cy="505619"/>
        </a:xfrm>
        <a:prstGeom prst="rect">
          <a:avLst/>
        </a:prstGeom>
        <a:noFill/>
        <a:ln w="9525">
          <a:noFill/>
          <a:miter lim="800000"/>
          <a:headEnd/>
          <a:tailEnd/>
        </a:ln>
      </xdr:spPr>
    </xdr:pic>
    <xdr:clientData/>
  </xdr:twoCellAnchor>
  <xdr:twoCellAnchor editAs="oneCell">
    <xdr:from>
      <xdr:col>11</xdr:col>
      <xdr:colOff>2089150</xdr:colOff>
      <xdr:row>1</xdr:row>
      <xdr:rowOff>69851</xdr:rowOff>
    </xdr:from>
    <xdr:to>
      <xdr:col>11</xdr:col>
      <xdr:colOff>2456994</xdr:colOff>
      <xdr:row>3</xdr:row>
      <xdr:rowOff>139701</xdr:rowOff>
    </xdr:to>
    <xdr:pic>
      <xdr:nvPicPr>
        <xdr:cNvPr id="3" name="Picture 2" descr="Résultat de recherche d'images pour &quot;iset réseau&quot;">
          <a:extLst>
            <a:ext uri="{FF2B5EF4-FFF2-40B4-BE49-F238E27FC236}">
              <a16:creationId xmlns:a16="http://schemas.microsoft.com/office/drawing/2014/main" xmlns="" id="{89493FAD-714A-41A5-A772-E939755827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1200" y="260351"/>
          <a:ext cx="367844"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2454731</xdr:colOff>
      <xdr:row>1</xdr:row>
      <xdr:rowOff>92906</xdr:rowOff>
    </xdr:from>
    <xdr:to>
      <xdr:col>11</xdr:col>
      <xdr:colOff>3290675</xdr:colOff>
      <xdr:row>3</xdr:row>
      <xdr:rowOff>101600</xdr:rowOff>
    </xdr:to>
    <xdr:pic>
      <xdr:nvPicPr>
        <xdr:cNvPr id="4" name="Picture 3" descr="Résultat de recherche d'images pour &quot;fed tic&quot;">
          <a:extLst>
            <a:ext uri="{FF2B5EF4-FFF2-40B4-BE49-F238E27FC236}">
              <a16:creationId xmlns:a16="http://schemas.microsoft.com/office/drawing/2014/main" xmlns="" id="{7912E61A-F753-44C4-A64A-08FD8DE588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96781" y="283406"/>
          <a:ext cx="835944" cy="376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3204031</xdr:colOff>
      <xdr:row>1</xdr:row>
      <xdr:rowOff>35756</xdr:rowOff>
    </xdr:from>
    <xdr:to>
      <xdr:col>12</xdr:col>
      <xdr:colOff>2800</xdr:colOff>
      <xdr:row>3</xdr:row>
      <xdr:rowOff>95250</xdr:rowOff>
    </xdr:to>
    <xdr:pic>
      <xdr:nvPicPr>
        <xdr:cNvPr id="5" name="Picture 4" descr="Résultat de recherche d'images pour &quot;tact tunisie&quot;">
          <a:extLst>
            <a:ext uri="{FF2B5EF4-FFF2-40B4-BE49-F238E27FC236}">
              <a16:creationId xmlns:a16="http://schemas.microsoft.com/office/drawing/2014/main" xmlns="" id="{A0061810-BE73-433E-B024-FA4070B2C7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46081" y="226256"/>
          <a:ext cx="427794" cy="427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2%20Private\2.%20Engagements\13.%20World%20Bank\WB-M06%20-%20ICT%20QCF\2.%20Document%20in%20progress\Implementation\2.%20Etablissements%20de%20formation\Polytechnique%20Sousse\diagnostic\WBK-ICT-assistance%20technique%20-template-Polytech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s PE "/>
      <sheetName val="Périmètre"/>
      <sheetName val="compétences"/>
      <sheetName val="Gap Analysis "/>
      <sheetName val="reporting"/>
      <sheetName val="planning"/>
      <sheetName val="Annexe1-compét techniques "/>
      <sheetName val="Annexe 2_soft skills"/>
      <sheetName val="Métiers REM-REC"/>
      <sheetName val="compétence REM-REC"/>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Numu Consulting">
      <a:dk1>
        <a:srgbClr val="008080"/>
      </a:dk1>
      <a:lt1>
        <a:srgbClr val="FFFFFF"/>
      </a:lt1>
      <a:dk2>
        <a:srgbClr val="008080"/>
      </a:dk2>
      <a:lt2>
        <a:srgbClr val="FFFFFF"/>
      </a:lt2>
      <a:accent1>
        <a:srgbClr val="C8C8C8"/>
      </a:accent1>
      <a:accent2>
        <a:srgbClr val="6AB2B2"/>
      </a:accent2>
      <a:accent3>
        <a:srgbClr val="AAAAAA"/>
      </a:accent3>
      <a:accent4>
        <a:srgbClr val="008080"/>
      </a:accent4>
      <a:accent5>
        <a:srgbClr val="7D7D7D"/>
      </a:accent5>
      <a:accent6>
        <a:srgbClr val="1E6262"/>
      </a:accent6>
      <a:hlink>
        <a:srgbClr val="909090"/>
      </a:hlink>
      <a:folHlink>
        <a:srgbClr val="6A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hyperlink" Target="https://www.amazon.fr/Douglas-Comer/e/B004MQ1FTI/ref=dp_byline_cont_book_1" TargetMode="External"/><Relationship Id="rId1" Type="http://schemas.openxmlformats.org/officeDocument/2006/relationships/hyperlink" Target="https://www.amazon.fr/Wendell-Odom/e/B001HOA9BI/ref=dp_byline_cont_book_1"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amazon.fr/Douglas-Comer/e/B004MQ1FTI/ref=dp_byline_cont_book_1" TargetMode="External"/><Relationship Id="rId1" Type="http://schemas.openxmlformats.org/officeDocument/2006/relationships/hyperlink" Target="https://www.amazon.fr/Wendell-Odom/e/B001HOA9BI/ref=dp_byline_cont_book_1"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netacad.com/" TargetMode="External"/><Relationship Id="rId1" Type="http://schemas.openxmlformats.org/officeDocument/2006/relationships/hyperlink" Target="https://www.networklab.fr/"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www.netacad.com/" TargetMode="External"/><Relationship Id="rId2" Type="http://schemas.openxmlformats.org/officeDocument/2006/relationships/hyperlink" Target="https://www.netacad.com/" TargetMode="External"/><Relationship Id="rId1" Type="http://schemas.openxmlformats.org/officeDocument/2006/relationships/hyperlink" Target="https://www.networklab.fr/" TargetMode="External"/><Relationship Id="rId4"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hyperlink" Target="http://docs.openstack.org/"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docs.openstack.org/" TargetMode="External"/><Relationship Id="rId1" Type="http://schemas.openxmlformats.org/officeDocument/2006/relationships/hyperlink" Target="http://trystack.org/"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docs.oracle.com/cd/E11882_01/server.112/e25494.pdf" TargetMode="External"/><Relationship Id="rId2" Type="http://schemas.openxmlformats.org/officeDocument/2006/relationships/hyperlink" Target="http://docs.oracle.com/cd/E11882_01/server.112/e10897.pdf" TargetMode="External"/><Relationship Id="rId1" Type="http://schemas.openxmlformats.org/officeDocument/2006/relationships/hyperlink" Target="http://www.oracle.com/pls/db112/homepage"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docs.oracle.com/cd/E11882_01/server.112/e25494.pdf" TargetMode="External"/><Relationship Id="rId2" Type="http://schemas.openxmlformats.org/officeDocument/2006/relationships/hyperlink" Target="http://docs.oracle.com/cd/E11882_01/server.112/e10897.pdf" TargetMode="External"/><Relationship Id="rId1" Type="http://schemas.openxmlformats.org/officeDocument/2006/relationships/hyperlink" Target="http://www.oracle.com/pls/db112/homepage"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hyperlink" Target="https://www.netacad.com/"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www.owasp.org/" TargetMode="External"/><Relationship Id="rId1" Type="http://schemas.openxmlformats.org/officeDocument/2006/relationships/hyperlink" Target="http://csrc.nist.gov/publications/PubsSPs.html"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www.owasp.org/" TargetMode="External"/><Relationship Id="rId1" Type="http://schemas.openxmlformats.org/officeDocument/2006/relationships/hyperlink" Target="http://csrc.nist.gov/publications/PubsSPs.html"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s://pivotal.io/platform/pcf-tutorials/getting-started-with-pivotal-cloud-foundry-dev/introduction" TargetMode="External"/><Relationship Id="rId1" Type="http://schemas.openxmlformats.org/officeDocument/2006/relationships/hyperlink" Target="https://kubernetes.io/docs/tutorials/kubernetes-basics/"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7"/>
  <sheetViews>
    <sheetView tabSelected="1" topLeftCell="A5" workbookViewId="0">
      <selection activeCell="K28" sqref="K28"/>
    </sheetView>
  </sheetViews>
  <sheetFormatPr baseColWidth="10" defaultColWidth="8.7109375" defaultRowHeight="15" x14ac:dyDescent="0.25"/>
  <cols>
    <col min="1" max="1" width="2.140625" style="262" customWidth="1"/>
    <col min="2" max="11" width="8.7109375" style="262"/>
    <col min="12" max="12" width="53" style="262" customWidth="1"/>
    <col min="13" max="16384" width="8.7109375" style="262"/>
  </cols>
  <sheetData>
    <row r="1" spans="2:12" ht="15.75" thickBot="1" x14ac:dyDescent="0.3"/>
    <row r="2" spans="2:12" ht="14.65" customHeight="1" x14ac:dyDescent="0.25">
      <c r="B2" s="263"/>
      <c r="C2" s="264"/>
      <c r="D2" s="264"/>
      <c r="E2" s="264"/>
      <c r="F2" s="264"/>
      <c r="G2" s="264"/>
      <c r="H2" s="264"/>
      <c r="I2" s="264"/>
      <c r="J2" s="264"/>
      <c r="K2" s="264"/>
      <c r="L2" s="265"/>
    </row>
    <row r="3" spans="2:12" x14ac:dyDescent="0.25">
      <c r="B3" s="266"/>
      <c r="C3" s="108"/>
      <c r="D3" s="108"/>
      <c r="E3" s="108"/>
      <c r="F3" s="108"/>
      <c r="G3" s="108"/>
      <c r="H3" s="108"/>
      <c r="I3" s="108"/>
      <c r="J3" s="108"/>
      <c r="K3" s="108"/>
      <c r="L3" s="267"/>
    </row>
    <row r="4" spans="2:12" ht="18.75" x14ac:dyDescent="0.3">
      <c r="B4" s="266"/>
      <c r="C4" s="108"/>
      <c r="D4" s="108"/>
      <c r="E4" s="294" t="s">
        <v>1269</v>
      </c>
      <c r="F4" s="295"/>
      <c r="G4" s="295"/>
      <c r="H4" s="295"/>
      <c r="I4" s="108"/>
      <c r="J4" s="108"/>
      <c r="K4" s="108"/>
      <c r="L4" s="267"/>
    </row>
    <row r="5" spans="2:12" ht="15.75" x14ac:dyDescent="0.25">
      <c r="B5" s="266"/>
      <c r="C5" s="108"/>
      <c r="D5" s="108"/>
      <c r="E5" s="296"/>
      <c r="F5" s="296"/>
      <c r="G5" s="301">
        <v>43282</v>
      </c>
      <c r="H5" s="301"/>
      <c r="I5" s="108"/>
      <c r="J5" s="108"/>
      <c r="K5" s="108"/>
      <c r="L5" s="267"/>
    </row>
    <row r="6" spans="2:12" x14ac:dyDescent="0.25">
      <c r="B6" s="266"/>
      <c r="C6" s="108"/>
      <c r="D6" s="108"/>
      <c r="E6" s="108"/>
      <c r="F6" s="108"/>
      <c r="G6" s="108"/>
      <c r="H6" s="108"/>
      <c r="I6" s="108"/>
      <c r="J6" s="108"/>
      <c r="K6" s="108"/>
      <c r="L6" s="267"/>
    </row>
    <row r="7" spans="2:12" ht="15.75" thickBot="1" x14ac:dyDescent="0.3">
      <c r="B7" s="268"/>
      <c r="C7" s="269"/>
      <c r="D7" s="269"/>
      <c r="E7" s="269"/>
      <c r="F7" s="269"/>
      <c r="G7" s="269"/>
      <c r="H7" s="269"/>
      <c r="I7" s="269"/>
      <c r="J7" s="269"/>
      <c r="K7" s="269"/>
      <c r="L7" s="270"/>
    </row>
    <row r="8" spans="2:12" ht="14.65" customHeight="1" x14ac:dyDescent="0.25">
      <c r="B8" s="305" t="s">
        <v>1217</v>
      </c>
      <c r="C8" s="306"/>
      <c r="D8" s="306"/>
      <c r="E8" s="306"/>
      <c r="F8" s="306"/>
      <c r="G8" s="306"/>
      <c r="H8" s="306"/>
      <c r="I8" s="306"/>
      <c r="J8" s="306"/>
      <c r="K8" s="306"/>
      <c r="L8" s="307"/>
    </row>
    <row r="9" spans="2:12" x14ac:dyDescent="0.25">
      <c r="B9" s="308"/>
      <c r="C9" s="309"/>
      <c r="D9" s="309"/>
      <c r="E9" s="309"/>
      <c r="F9" s="309"/>
      <c r="G9" s="309"/>
      <c r="H9" s="309"/>
      <c r="I9" s="309"/>
      <c r="J9" s="309"/>
      <c r="K9" s="309"/>
      <c r="L9" s="310"/>
    </row>
    <row r="10" spans="2:12" x14ac:dyDescent="0.25">
      <c r="B10" s="308"/>
      <c r="C10" s="309"/>
      <c r="D10" s="309"/>
      <c r="E10" s="309"/>
      <c r="F10" s="309"/>
      <c r="G10" s="309"/>
      <c r="H10" s="309"/>
      <c r="I10" s="309"/>
      <c r="J10" s="309"/>
      <c r="K10" s="309"/>
      <c r="L10" s="310"/>
    </row>
    <row r="11" spans="2:12" x14ac:dyDescent="0.25">
      <c r="B11" s="308"/>
      <c r="C11" s="309"/>
      <c r="D11" s="309"/>
      <c r="E11" s="309"/>
      <c r="F11" s="309"/>
      <c r="G11" s="309"/>
      <c r="H11" s="309"/>
      <c r="I11" s="309"/>
      <c r="J11" s="309"/>
      <c r="K11" s="309"/>
      <c r="L11" s="310"/>
    </row>
    <row r="12" spans="2:12" ht="15.75" thickBot="1" x14ac:dyDescent="0.3">
      <c r="B12" s="311"/>
      <c r="C12" s="312"/>
      <c r="D12" s="312"/>
      <c r="E12" s="312"/>
      <c r="F12" s="312"/>
      <c r="G12" s="312"/>
      <c r="H12" s="312"/>
      <c r="I12" s="312"/>
      <c r="J12" s="312"/>
      <c r="K12" s="312"/>
      <c r="L12" s="313"/>
    </row>
    <row r="13" spans="2:12" ht="15.75" x14ac:dyDescent="0.25">
      <c r="B13" s="271"/>
      <c r="C13" s="176"/>
      <c r="D13" s="176"/>
      <c r="E13" s="176"/>
      <c r="F13" s="176"/>
      <c r="G13" s="176"/>
      <c r="H13" s="176"/>
      <c r="I13" s="176"/>
      <c r="J13" s="176"/>
      <c r="K13" s="176"/>
      <c r="L13" s="272"/>
    </row>
    <row r="14" spans="2:12" ht="13.9" customHeight="1" x14ac:dyDescent="0.25">
      <c r="B14" s="314" t="s">
        <v>1213</v>
      </c>
      <c r="C14" s="315"/>
      <c r="D14" s="315"/>
      <c r="E14" s="315"/>
      <c r="F14" s="315"/>
      <c r="G14" s="315"/>
      <c r="H14" s="315"/>
      <c r="I14" s="315"/>
      <c r="J14" s="315"/>
      <c r="K14" s="315"/>
      <c r="L14" s="316"/>
    </row>
    <row r="15" spans="2:12" x14ac:dyDescent="0.25">
      <c r="B15" s="317" t="s">
        <v>1218</v>
      </c>
      <c r="C15" s="318"/>
      <c r="D15" s="318"/>
      <c r="E15" s="318"/>
      <c r="F15" s="318"/>
      <c r="G15" s="318"/>
      <c r="H15" s="318"/>
      <c r="I15" s="318"/>
      <c r="J15" s="318"/>
      <c r="K15" s="318"/>
      <c r="L15" s="319"/>
    </row>
    <row r="16" spans="2:12" x14ac:dyDescent="0.25">
      <c r="B16" s="273" t="s">
        <v>1219</v>
      </c>
      <c r="C16" s="274"/>
      <c r="D16" s="274"/>
      <c r="E16" s="274"/>
      <c r="F16" s="274"/>
      <c r="G16" s="274"/>
      <c r="H16" s="274"/>
      <c r="I16" s="274"/>
      <c r="J16" s="274"/>
      <c r="K16" s="274"/>
      <c r="L16" s="275"/>
    </row>
    <row r="17" spans="2:12" x14ac:dyDescent="0.25">
      <c r="B17" s="317" t="s">
        <v>1220</v>
      </c>
      <c r="C17" s="318"/>
      <c r="D17" s="318"/>
      <c r="E17" s="318"/>
      <c r="F17" s="318"/>
      <c r="G17" s="318"/>
      <c r="H17" s="318"/>
      <c r="I17" s="318"/>
      <c r="J17" s="318"/>
      <c r="K17" s="318"/>
      <c r="L17" s="319"/>
    </row>
    <row r="18" spans="2:12" x14ac:dyDescent="0.25">
      <c r="B18" s="273" t="s">
        <v>1221</v>
      </c>
      <c r="C18" s="274"/>
      <c r="D18" s="274"/>
      <c r="E18" s="274"/>
      <c r="F18" s="274"/>
      <c r="G18" s="274"/>
      <c r="H18" s="274"/>
      <c r="I18" s="274"/>
      <c r="J18" s="274"/>
      <c r="K18" s="274"/>
      <c r="L18" s="275"/>
    </row>
    <row r="19" spans="2:12" x14ac:dyDescent="0.25">
      <c r="B19" s="317" t="s">
        <v>1222</v>
      </c>
      <c r="C19" s="318"/>
      <c r="D19" s="318"/>
      <c r="E19" s="318"/>
      <c r="F19" s="318"/>
      <c r="G19" s="318"/>
      <c r="H19" s="318"/>
      <c r="I19" s="318"/>
      <c r="J19" s="318"/>
      <c r="K19" s="318"/>
      <c r="L19" s="319"/>
    </row>
    <row r="20" spans="2:12" x14ac:dyDescent="0.25">
      <c r="B20" s="273" t="s">
        <v>1223</v>
      </c>
      <c r="C20" s="274"/>
      <c r="D20" s="274"/>
      <c r="E20" s="274"/>
      <c r="F20" s="274"/>
      <c r="G20" s="274"/>
      <c r="H20" s="274"/>
      <c r="I20" s="274"/>
      <c r="J20" s="274"/>
      <c r="K20" s="274"/>
      <c r="L20" s="275"/>
    </row>
    <row r="21" spans="2:12" ht="15.75" thickBot="1" x14ac:dyDescent="0.3">
      <c r="B21" s="320" t="s">
        <v>1224</v>
      </c>
      <c r="C21" s="321"/>
      <c r="D21" s="321"/>
      <c r="E21" s="321"/>
      <c r="F21" s="321"/>
      <c r="G21" s="321"/>
      <c r="H21" s="321"/>
      <c r="I21" s="321"/>
      <c r="J21" s="321"/>
      <c r="K21" s="321"/>
      <c r="L21" s="322"/>
    </row>
    <row r="22" spans="2:12" x14ac:dyDescent="0.25">
      <c r="B22" s="269"/>
      <c r="C22" s="269"/>
      <c r="D22" s="269"/>
      <c r="E22" s="269"/>
      <c r="F22" s="269"/>
      <c r="G22" s="269"/>
      <c r="H22" s="269"/>
      <c r="I22" s="269"/>
      <c r="J22" s="269"/>
      <c r="K22" s="269"/>
      <c r="L22" s="269"/>
    </row>
    <row r="24" spans="2:12" x14ac:dyDescent="0.25">
      <c r="B24" s="302" t="s">
        <v>1214</v>
      </c>
      <c r="C24" s="302"/>
      <c r="D24" s="302"/>
    </row>
    <row r="25" spans="2:12" x14ac:dyDescent="0.25">
      <c r="B25" s="303" t="s">
        <v>1215</v>
      </c>
      <c r="C25" s="303"/>
      <c r="D25" s="303"/>
    </row>
    <row r="26" spans="2:12" x14ac:dyDescent="0.25">
      <c r="B26" s="304" t="s">
        <v>1216</v>
      </c>
      <c r="C26" s="304"/>
      <c r="D26" s="304"/>
    </row>
    <row r="27" spans="2:12" x14ac:dyDescent="0.25">
      <c r="K27" s="262" t="s">
        <v>1281</v>
      </c>
    </row>
  </sheetData>
  <mergeCells count="10">
    <mergeCell ref="G5:H5"/>
    <mergeCell ref="B24:D24"/>
    <mergeCell ref="B25:D25"/>
    <mergeCell ref="B26:D26"/>
    <mergeCell ref="B8:L12"/>
    <mergeCell ref="B14:L14"/>
    <mergeCell ref="B15:L15"/>
    <mergeCell ref="B17:L17"/>
    <mergeCell ref="B19:L19"/>
    <mergeCell ref="B21:L2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B5:H26"/>
  <sheetViews>
    <sheetView topLeftCell="A4" zoomScaleNormal="100" workbookViewId="0">
      <selection activeCell="B27" sqref="B27"/>
    </sheetView>
  </sheetViews>
  <sheetFormatPr baseColWidth="10" defaultColWidth="8.7109375" defaultRowHeight="15" x14ac:dyDescent="0.25"/>
  <cols>
    <col min="1" max="2" width="8.7109375" style="1"/>
    <col min="3" max="3" width="18.85546875" style="1" customWidth="1"/>
    <col min="4" max="4" width="17.85546875" style="1" bestFit="1" customWidth="1"/>
    <col min="5" max="5" width="23.28515625" style="1" bestFit="1" customWidth="1"/>
    <col min="6" max="6" width="21.85546875" style="1" bestFit="1" customWidth="1"/>
    <col min="7" max="7" width="37.7109375" style="1" bestFit="1" customWidth="1"/>
    <col min="8" max="8" width="39.7109375" style="1" bestFit="1" customWidth="1"/>
    <col min="9" max="9" width="12.140625" style="1" bestFit="1" customWidth="1"/>
    <col min="10" max="16384" width="8.7109375" style="1"/>
  </cols>
  <sheetData>
    <row r="5" spans="2:8" x14ac:dyDescent="0.25">
      <c r="B5" s="3" t="s">
        <v>1</v>
      </c>
      <c r="C5" s="47" t="s">
        <v>2</v>
      </c>
      <c r="D5" s="47"/>
      <c r="E5" s="47"/>
      <c r="F5" s="47"/>
      <c r="G5" s="47"/>
      <c r="H5" s="47"/>
    </row>
    <row r="6" spans="2:8" s="108" customFormat="1" x14ac:dyDescent="0.25">
      <c r="B6" s="107"/>
      <c r="C6" s="109"/>
      <c r="D6" s="109"/>
      <c r="E6" s="109"/>
      <c r="F6" s="109"/>
      <c r="G6" s="109"/>
      <c r="H6" s="109"/>
    </row>
    <row r="7" spans="2:8" x14ac:dyDescent="0.25">
      <c r="C7" s="10" t="s">
        <v>5</v>
      </c>
      <c r="D7" s="10"/>
      <c r="E7" s="10"/>
      <c r="F7" s="10" t="s">
        <v>0</v>
      </c>
      <c r="G7" s="10"/>
      <c r="H7" s="10"/>
    </row>
    <row r="8" spans="2:8" x14ac:dyDescent="0.25">
      <c r="B8" s="323" t="s">
        <v>3</v>
      </c>
      <c r="C8" s="324" t="s">
        <v>7</v>
      </c>
      <c r="D8" s="324" t="s">
        <v>8</v>
      </c>
      <c r="E8" s="324" t="s">
        <v>9</v>
      </c>
      <c r="F8" s="9" t="s">
        <v>176</v>
      </c>
      <c r="G8" s="42"/>
      <c r="H8" s="42"/>
    </row>
    <row r="9" spans="2:8" x14ac:dyDescent="0.25">
      <c r="B9" s="323"/>
      <c r="C9" s="325"/>
      <c r="D9" s="325"/>
      <c r="E9" s="325"/>
      <c r="F9" s="204" t="s">
        <v>1161</v>
      </c>
      <c r="G9" s="204" t="s">
        <v>1162</v>
      </c>
      <c r="H9" s="204" t="s">
        <v>1163</v>
      </c>
    </row>
    <row r="10" spans="2:8" x14ac:dyDescent="0.25">
      <c r="B10" s="6">
        <v>1</v>
      </c>
      <c r="C10" s="8" t="s">
        <v>4</v>
      </c>
      <c r="D10" s="8" t="s">
        <v>10</v>
      </c>
      <c r="E10" s="8" t="s">
        <v>11</v>
      </c>
      <c r="F10" s="7" t="s">
        <v>165</v>
      </c>
      <c r="G10" s="7" t="s">
        <v>165</v>
      </c>
      <c r="H10" s="7"/>
    </row>
    <row r="11" spans="2:8" x14ac:dyDescent="0.25">
      <c r="B11" s="6">
        <v>2</v>
      </c>
      <c r="C11" s="8" t="s">
        <v>168</v>
      </c>
      <c r="D11" s="8" t="s">
        <v>170</v>
      </c>
      <c r="E11" s="8" t="s">
        <v>174</v>
      </c>
      <c r="F11" s="7" t="s">
        <v>165</v>
      </c>
      <c r="G11" s="7" t="s">
        <v>165</v>
      </c>
      <c r="H11" s="7"/>
    </row>
    <row r="12" spans="2:8" x14ac:dyDescent="0.25">
      <c r="B12" s="6">
        <v>3</v>
      </c>
      <c r="C12" s="8" t="s">
        <v>169</v>
      </c>
      <c r="D12" s="8" t="s">
        <v>10</v>
      </c>
      <c r="E12" s="8" t="s">
        <v>581</v>
      </c>
      <c r="F12" s="7" t="s">
        <v>165</v>
      </c>
      <c r="G12" s="7" t="s">
        <v>165</v>
      </c>
      <c r="H12" s="7"/>
    </row>
    <row r="13" spans="2:8" x14ac:dyDescent="0.25">
      <c r="B13" s="6">
        <v>4</v>
      </c>
      <c r="C13" s="8" t="s">
        <v>6</v>
      </c>
      <c r="D13" s="8" t="s">
        <v>12</v>
      </c>
      <c r="E13" s="8" t="s">
        <v>171</v>
      </c>
      <c r="F13" s="7" t="s">
        <v>165</v>
      </c>
      <c r="G13" s="7" t="s">
        <v>165</v>
      </c>
      <c r="H13" s="7"/>
    </row>
    <row r="14" spans="2:8" x14ac:dyDescent="0.25">
      <c r="B14" s="6">
        <v>5</v>
      </c>
      <c r="C14" s="8" t="s">
        <v>172</v>
      </c>
      <c r="D14" s="8" t="s">
        <v>173</v>
      </c>
      <c r="E14" s="8" t="s">
        <v>175</v>
      </c>
      <c r="F14" s="7" t="s">
        <v>165</v>
      </c>
      <c r="G14" s="7"/>
      <c r="H14" s="7"/>
    </row>
    <row r="15" spans="2:8" x14ac:dyDescent="0.25">
      <c r="B15" s="6">
        <v>6</v>
      </c>
      <c r="C15" s="132" t="s">
        <v>582</v>
      </c>
      <c r="D15" s="132" t="s">
        <v>583</v>
      </c>
      <c r="E15" s="132" t="s">
        <v>584</v>
      </c>
      <c r="F15" s="7" t="s">
        <v>165</v>
      </c>
      <c r="G15" s="8"/>
      <c r="H15" s="7" t="s">
        <v>165</v>
      </c>
    </row>
    <row r="16" spans="2:8" x14ac:dyDescent="0.25">
      <c r="B16" s="6">
        <v>7</v>
      </c>
      <c r="C16" s="132" t="s">
        <v>585</v>
      </c>
      <c r="D16" s="132" t="s">
        <v>586</v>
      </c>
      <c r="E16" s="132" t="s">
        <v>584</v>
      </c>
      <c r="F16" s="7" t="s">
        <v>165</v>
      </c>
      <c r="G16" s="8"/>
      <c r="H16" s="7" t="s">
        <v>165</v>
      </c>
    </row>
    <row r="17" spans="2:8" x14ac:dyDescent="0.25">
      <c r="B17" s="6">
        <v>8</v>
      </c>
      <c r="C17" s="132" t="s">
        <v>587</v>
      </c>
      <c r="D17" s="132" t="s">
        <v>588</v>
      </c>
      <c r="E17" s="132" t="s">
        <v>584</v>
      </c>
      <c r="F17" s="7" t="s">
        <v>165</v>
      </c>
      <c r="G17" s="8"/>
      <c r="H17" s="7" t="s">
        <v>165</v>
      </c>
    </row>
    <row r="18" spans="2:8" x14ac:dyDescent="0.25">
      <c r="B18" s="6">
        <v>9</v>
      </c>
      <c r="C18" s="132" t="s">
        <v>589</v>
      </c>
      <c r="D18" s="132" t="s">
        <v>590</v>
      </c>
      <c r="E18" s="132" t="s">
        <v>584</v>
      </c>
      <c r="F18" s="7" t="s">
        <v>165</v>
      </c>
      <c r="G18" s="8"/>
      <c r="H18" s="7" t="s">
        <v>165</v>
      </c>
    </row>
    <row r="19" spans="2:8" x14ac:dyDescent="0.25">
      <c r="B19" s="6">
        <v>10</v>
      </c>
      <c r="C19" s="132" t="s">
        <v>591</v>
      </c>
      <c r="D19" s="132" t="s">
        <v>592</v>
      </c>
      <c r="E19" s="132" t="s">
        <v>593</v>
      </c>
      <c r="F19" s="7" t="s">
        <v>165</v>
      </c>
      <c r="G19" s="8"/>
      <c r="H19" s="7" t="s">
        <v>165</v>
      </c>
    </row>
    <row r="20" spans="2:8" x14ac:dyDescent="0.25">
      <c r="B20" s="6">
        <v>11</v>
      </c>
      <c r="C20" s="132" t="s">
        <v>594</v>
      </c>
      <c r="D20" s="132" t="s">
        <v>592</v>
      </c>
      <c r="E20" s="132" t="s">
        <v>595</v>
      </c>
      <c r="F20" s="7" t="s">
        <v>165</v>
      </c>
      <c r="G20" s="8"/>
      <c r="H20" s="7" t="s">
        <v>165</v>
      </c>
    </row>
    <row r="21" spans="2:8" x14ac:dyDescent="0.25">
      <c r="B21" s="6">
        <v>12</v>
      </c>
      <c r="C21" s="132" t="s">
        <v>596</v>
      </c>
      <c r="D21" s="132" t="s">
        <v>597</v>
      </c>
      <c r="E21" s="132" t="s">
        <v>584</v>
      </c>
      <c r="F21" s="7" t="s">
        <v>165</v>
      </c>
      <c r="G21" s="8"/>
      <c r="H21" s="7" t="s">
        <v>165</v>
      </c>
    </row>
    <row r="22" spans="2:8" x14ac:dyDescent="0.25">
      <c r="B22" s="6">
        <v>13</v>
      </c>
      <c r="C22" s="132" t="s">
        <v>598</v>
      </c>
      <c r="D22" s="132" t="s">
        <v>599</v>
      </c>
      <c r="E22" s="132" t="s">
        <v>584</v>
      </c>
      <c r="F22" s="7" t="s">
        <v>165</v>
      </c>
      <c r="G22" s="8"/>
      <c r="H22" s="7" t="s">
        <v>165</v>
      </c>
    </row>
    <row r="23" spans="2:8" x14ac:dyDescent="0.25">
      <c r="B23" s="6">
        <v>14</v>
      </c>
      <c r="C23" s="132" t="s">
        <v>600</v>
      </c>
      <c r="D23" s="132" t="s">
        <v>583</v>
      </c>
      <c r="E23" s="132" t="s">
        <v>175</v>
      </c>
      <c r="F23" s="7" t="s">
        <v>165</v>
      </c>
      <c r="G23" s="8"/>
      <c r="H23" s="7" t="s">
        <v>165</v>
      </c>
    </row>
    <row r="24" spans="2:8" x14ac:dyDescent="0.25">
      <c r="B24" s="6">
        <v>15</v>
      </c>
      <c r="C24" s="8" t="s">
        <v>1204</v>
      </c>
      <c r="D24" s="8" t="s">
        <v>1207</v>
      </c>
      <c r="E24" s="8" t="s">
        <v>1208</v>
      </c>
      <c r="F24" s="2"/>
      <c r="G24" s="2"/>
      <c r="H24" s="7" t="s">
        <v>165</v>
      </c>
    </row>
    <row r="25" spans="2:8" x14ac:dyDescent="0.25">
      <c r="B25" s="6">
        <v>16</v>
      </c>
      <c r="C25" s="8" t="s">
        <v>1205</v>
      </c>
      <c r="D25" s="132" t="s">
        <v>583</v>
      </c>
      <c r="E25" s="132" t="s">
        <v>1206</v>
      </c>
      <c r="F25" s="2"/>
      <c r="G25" s="2"/>
      <c r="H25" s="7" t="s">
        <v>165</v>
      </c>
    </row>
    <row r="26" spans="2:8" x14ac:dyDescent="0.25">
      <c r="B26" s="6">
        <v>17</v>
      </c>
      <c r="C26" s="8" t="s">
        <v>1225</v>
      </c>
      <c r="D26" s="132" t="s">
        <v>583</v>
      </c>
      <c r="E26" s="132" t="s">
        <v>175</v>
      </c>
      <c r="F26" s="2"/>
      <c r="G26" s="2"/>
      <c r="H26" s="7" t="s">
        <v>165</v>
      </c>
    </row>
  </sheetData>
  <mergeCells count="4">
    <mergeCell ref="B8:B9"/>
    <mergeCell ref="C8:C9"/>
    <mergeCell ref="D8:D9"/>
    <mergeCell ref="E8:E9"/>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C2:G14"/>
  <sheetViews>
    <sheetView topLeftCell="C5" workbookViewId="0">
      <selection activeCell="D14" sqref="D14"/>
    </sheetView>
  </sheetViews>
  <sheetFormatPr baseColWidth="10" defaultColWidth="8.7109375" defaultRowHeight="15" x14ac:dyDescent="0.25"/>
  <cols>
    <col min="1" max="2" width="8.7109375" style="1"/>
    <col min="3" max="3" width="11.85546875" style="1" customWidth="1"/>
    <col min="4" max="4" width="36.140625" style="1" customWidth="1"/>
    <col min="5" max="5" width="48.140625" style="1" customWidth="1"/>
    <col min="6" max="6" width="17.5703125" style="1" bestFit="1" customWidth="1"/>
    <col min="7" max="7" width="20.7109375" style="1" bestFit="1" customWidth="1"/>
    <col min="8" max="16384" width="8.7109375" style="1"/>
  </cols>
  <sheetData>
    <row r="2" spans="3:7" x14ac:dyDescent="0.25">
      <c r="C2" s="3" t="s">
        <v>1</v>
      </c>
      <c r="D2" s="47" t="s">
        <v>2</v>
      </c>
      <c r="E2" s="110"/>
      <c r="F2" s="110"/>
      <c r="G2" s="110"/>
    </row>
    <row r="4" spans="3:7" ht="15.75" x14ac:dyDescent="0.25">
      <c r="C4" s="48" t="s">
        <v>3</v>
      </c>
      <c r="D4" s="48" t="s">
        <v>177</v>
      </c>
      <c r="E4" s="48" t="s">
        <v>17</v>
      </c>
      <c r="F4" s="48" t="s">
        <v>187</v>
      </c>
      <c r="G4" s="48" t="s">
        <v>180</v>
      </c>
    </row>
    <row r="5" spans="3:7" ht="63" x14ac:dyDescent="0.25">
      <c r="C5" s="17">
        <v>1</v>
      </c>
      <c r="D5" s="4" t="s">
        <v>14</v>
      </c>
      <c r="E5" s="45" t="s">
        <v>182</v>
      </c>
      <c r="F5" s="49" t="s">
        <v>186</v>
      </c>
      <c r="G5" s="46" t="s">
        <v>183</v>
      </c>
    </row>
    <row r="6" spans="3:7" ht="78.75" x14ac:dyDescent="0.25">
      <c r="C6" s="17">
        <v>2</v>
      </c>
      <c r="D6" s="4" t="s">
        <v>13</v>
      </c>
      <c r="E6" s="45" t="s">
        <v>178</v>
      </c>
      <c r="F6" s="49" t="s">
        <v>186</v>
      </c>
      <c r="G6" s="46"/>
    </row>
    <row r="7" spans="3:7" ht="63" x14ac:dyDescent="0.25">
      <c r="C7" s="17">
        <v>3</v>
      </c>
      <c r="D7" s="5" t="s">
        <v>16</v>
      </c>
      <c r="E7" s="45" t="s">
        <v>181</v>
      </c>
      <c r="F7" s="49" t="s">
        <v>186</v>
      </c>
      <c r="G7" s="46"/>
    </row>
    <row r="8" spans="3:7" ht="63" x14ac:dyDescent="0.25">
      <c r="C8" s="17">
        <v>4</v>
      </c>
      <c r="D8" s="4" t="s">
        <v>15</v>
      </c>
      <c r="E8" s="45" t="s">
        <v>179</v>
      </c>
      <c r="F8" s="49" t="s">
        <v>186</v>
      </c>
      <c r="G8" s="46" t="s">
        <v>184</v>
      </c>
    </row>
    <row r="9" spans="3:7" ht="15.75" x14ac:dyDescent="0.25">
      <c r="C9" s="17">
        <v>5</v>
      </c>
      <c r="D9" s="4" t="s">
        <v>188</v>
      </c>
      <c r="E9" s="45"/>
      <c r="F9" s="49" t="s">
        <v>186</v>
      </c>
      <c r="G9" s="46" t="s">
        <v>185</v>
      </c>
    </row>
    <row r="11" spans="3:7" x14ac:dyDescent="0.25">
      <c r="D11" s="50" t="s">
        <v>189</v>
      </c>
    </row>
    <row r="13" spans="3:7" x14ac:dyDescent="0.25">
      <c r="C13" s="111" t="s">
        <v>519</v>
      </c>
      <c r="D13" s="106" t="s">
        <v>518</v>
      </c>
    </row>
    <row r="14" spans="3:7" x14ac:dyDescent="0.25">
      <c r="D14" s="106" t="s">
        <v>517</v>
      </c>
    </row>
  </sheetData>
  <autoFilter ref="C4:F9">
    <sortState ref="C5:F9">
      <sortCondition ref="C4:C9"/>
    </sortState>
  </autoFilter>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1"/>
  </sheetPr>
  <dimension ref="B2:C53"/>
  <sheetViews>
    <sheetView topLeftCell="A31" workbookViewId="0">
      <selection activeCell="C38" sqref="C38:C40"/>
    </sheetView>
  </sheetViews>
  <sheetFormatPr baseColWidth="10" defaultColWidth="8.7109375" defaultRowHeight="15" x14ac:dyDescent="0.25"/>
  <cols>
    <col min="1" max="2" width="8.7109375" style="1"/>
    <col min="3" max="3" width="54.7109375" style="1" customWidth="1"/>
    <col min="4" max="16384" width="8.7109375" style="1"/>
  </cols>
  <sheetData>
    <row r="2" spans="2:3" x14ac:dyDescent="0.25">
      <c r="B2" s="3" t="s">
        <v>1</v>
      </c>
      <c r="C2" s="47" t="s">
        <v>2</v>
      </c>
    </row>
    <row r="4" spans="2:3" x14ac:dyDescent="0.25">
      <c r="B4" s="19" t="s">
        <v>3</v>
      </c>
      <c r="C4" s="19" t="s">
        <v>61</v>
      </c>
    </row>
    <row r="5" spans="2:3" x14ac:dyDescent="0.25">
      <c r="B5" s="43">
        <v>1</v>
      </c>
      <c r="C5" s="11" t="s">
        <v>18</v>
      </c>
    </row>
    <row r="6" spans="2:3" x14ac:dyDescent="0.25">
      <c r="B6" s="43">
        <v>2</v>
      </c>
      <c r="C6" s="12" t="s">
        <v>19</v>
      </c>
    </row>
    <row r="7" spans="2:3" x14ac:dyDescent="0.25">
      <c r="B7" s="43">
        <v>3</v>
      </c>
      <c r="C7" s="11" t="s">
        <v>20</v>
      </c>
    </row>
    <row r="8" spans="2:3" x14ac:dyDescent="0.25">
      <c r="B8" s="43">
        <v>4</v>
      </c>
      <c r="C8" s="13" t="s">
        <v>21</v>
      </c>
    </row>
    <row r="9" spans="2:3" x14ac:dyDescent="0.25">
      <c r="B9" s="43">
        <v>5</v>
      </c>
      <c r="C9" s="14" t="s">
        <v>22</v>
      </c>
    </row>
    <row r="10" spans="2:3" x14ac:dyDescent="0.25">
      <c r="B10" s="43">
        <v>6</v>
      </c>
      <c r="C10" s="14" t="s">
        <v>23</v>
      </c>
    </row>
    <row r="11" spans="2:3" x14ac:dyDescent="0.25">
      <c r="B11" s="43">
        <v>7</v>
      </c>
      <c r="C11" s="13" t="s">
        <v>24</v>
      </c>
    </row>
    <row r="12" spans="2:3" x14ac:dyDescent="0.25">
      <c r="B12" s="43">
        <v>8</v>
      </c>
      <c r="C12" s="12" t="s">
        <v>25</v>
      </c>
    </row>
    <row r="13" spans="2:3" ht="30" x14ac:dyDescent="0.25">
      <c r="B13" s="43">
        <v>9</v>
      </c>
      <c r="C13" s="11" t="s">
        <v>63</v>
      </c>
    </row>
    <row r="14" spans="2:3" x14ac:dyDescent="0.25">
      <c r="B14" s="43">
        <v>10</v>
      </c>
      <c r="C14" s="12" t="s">
        <v>26</v>
      </c>
    </row>
    <row r="15" spans="2:3" x14ac:dyDescent="0.25">
      <c r="B15" s="43">
        <v>11</v>
      </c>
      <c r="C15" s="12" t="s">
        <v>27</v>
      </c>
    </row>
    <row r="16" spans="2:3" x14ac:dyDescent="0.25">
      <c r="B16" s="43">
        <v>12</v>
      </c>
      <c r="C16" s="13" t="s">
        <v>28</v>
      </c>
    </row>
    <row r="17" spans="2:3" x14ac:dyDescent="0.25">
      <c r="B17" s="43">
        <v>13</v>
      </c>
      <c r="C17" s="13" t="s">
        <v>29</v>
      </c>
    </row>
    <row r="18" spans="2:3" x14ac:dyDescent="0.25">
      <c r="B18" s="43">
        <v>14</v>
      </c>
      <c r="C18" s="11" t="s">
        <v>30</v>
      </c>
    </row>
    <row r="19" spans="2:3" x14ac:dyDescent="0.25">
      <c r="B19" s="43">
        <v>15</v>
      </c>
      <c r="C19" s="11" t="s">
        <v>31</v>
      </c>
    </row>
    <row r="20" spans="2:3" x14ac:dyDescent="0.25">
      <c r="B20" s="43">
        <v>16</v>
      </c>
      <c r="C20" s="11" t="s">
        <v>32</v>
      </c>
    </row>
    <row r="21" spans="2:3" x14ac:dyDescent="0.25">
      <c r="B21" s="43">
        <v>17</v>
      </c>
      <c r="C21" s="15" t="s">
        <v>33</v>
      </c>
    </row>
    <row r="22" spans="2:3" x14ac:dyDescent="0.25">
      <c r="B22" s="43">
        <v>18</v>
      </c>
      <c r="C22" s="13" t="s">
        <v>34</v>
      </c>
    </row>
    <row r="23" spans="2:3" x14ac:dyDescent="0.25">
      <c r="B23" s="43">
        <v>19</v>
      </c>
      <c r="C23" s="11" t="s">
        <v>35</v>
      </c>
    </row>
    <row r="24" spans="2:3" x14ac:dyDescent="0.25">
      <c r="B24" s="43">
        <v>20</v>
      </c>
      <c r="C24" s="11" t="s">
        <v>36</v>
      </c>
    </row>
    <row r="25" spans="2:3" x14ac:dyDescent="0.25">
      <c r="B25" s="43">
        <v>21</v>
      </c>
      <c r="C25" s="13" t="s">
        <v>37</v>
      </c>
    </row>
    <row r="26" spans="2:3" x14ac:dyDescent="0.25">
      <c r="B26" s="43">
        <v>22</v>
      </c>
      <c r="C26" s="13" t="s">
        <v>38</v>
      </c>
    </row>
    <row r="27" spans="2:3" x14ac:dyDescent="0.25">
      <c r="B27" s="43">
        <v>23</v>
      </c>
      <c r="C27" s="14" t="s">
        <v>39</v>
      </c>
    </row>
    <row r="28" spans="2:3" x14ac:dyDescent="0.25">
      <c r="B28" s="43">
        <v>24</v>
      </c>
      <c r="C28" s="12" t="s">
        <v>40</v>
      </c>
    </row>
    <row r="29" spans="2:3" x14ac:dyDescent="0.25">
      <c r="B29" s="43">
        <v>25</v>
      </c>
      <c r="C29" s="12" t="s">
        <v>41</v>
      </c>
    </row>
    <row r="30" spans="2:3" x14ac:dyDescent="0.25">
      <c r="B30" s="43">
        <v>26</v>
      </c>
      <c r="C30" s="14" t="s">
        <v>42</v>
      </c>
    </row>
    <row r="31" spans="2:3" x14ac:dyDescent="0.25">
      <c r="B31" s="43">
        <v>27</v>
      </c>
      <c r="C31" s="15" t="s">
        <v>43</v>
      </c>
    </row>
    <row r="32" spans="2:3" x14ac:dyDescent="0.25">
      <c r="B32" s="43">
        <v>28</v>
      </c>
      <c r="C32" s="13" t="s">
        <v>44</v>
      </c>
    </row>
    <row r="33" spans="2:3" x14ac:dyDescent="0.25">
      <c r="B33" s="43">
        <v>29</v>
      </c>
      <c r="C33" s="13" t="s">
        <v>45</v>
      </c>
    </row>
    <row r="34" spans="2:3" x14ac:dyDescent="0.25">
      <c r="B34" s="43">
        <v>30</v>
      </c>
      <c r="C34" s="12" t="s">
        <v>46</v>
      </c>
    </row>
    <row r="35" spans="2:3" x14ac:dyDescent="0.25">
      <c r="B35" s="43">
        <v>31</v>
      </c>
      <c r="C35" s="15" t="s">
        <v>47</v>
      </c>
    </row>
    <row r="36" spans="2:3" x14ac:dyDescent="0.25">
      <c r="B36" s="43">
        <v>32</v>
      </c>
      <c r="C36" s="14" t="s">
        <v>48</v>
      </c>
    </row>
    <row r="37" spans="2:3" x14ac:dyDescent="0.25">
      <c r="B37" s="18" t="s">
        <v>3</v>
      </c>
      <c r="C37" s="18" t="s">
        <v>62</v>
      </c>
    </row>
    <row r="38" spans="2:3" x14ac:dyDescent="0.25">
      <c r="B38" s="43">
        <v>1</v>
      </c>
      <c r="C38" s="16" t="s">
        <v>49</v>
      </c>
    </row>
    <row r="39" spans="2:3" x14ac:dyDescent="0.25">
      <c r="B39" s="43">
        <v>2</v>
      </c>
      <c r="C39" s="16" t="s">
        <v>50</v>
      </c>
    </row>
    <row r="40" spans="2:3" x14ac:dyDescent="0.25">
      <c r="B40" s="43">
        <v>3</v>
      </c>
      <c r="C40" s="16" t="s">
        <v>51</v>
      </c>
    </row>
    <row r="41" spans="2:3" x14ac:dyDescent="0.25">
      <c r="B41" s="73">
        <v>4</v>
      </c>
      <c r="C41" s="248" t="s">
        <v>52</v>
      </c>
    </row>
    <row r="42" spans="2:3" x14ac:dyDescent="0.25">
      <c r="B42" s="73">
        <v>5</v>
      </c>
      <c r="C42" s="248" t="s">
        <v>53</v>
      </c>
    </row>
    <row r="43" spans="2:3" x14ac:dyDescent="0.25">
      <c r="B43" s="73">
        <v>6</v>
      </c>
      <c r="C43" s="248" t="s">
        <v>54</v>
      </c>
    </row>
    <row r="44" spans="2:3" x14ac:dyDescent="0.25">
      <c r="B44" s="73">
        <v>7</v>
      </c>
      <c r="C44" s="248" t="s">
        <v>34</v>
      </c>
    </row>
    <row r="45" spans="2:3" x14ac:dyDescent="0.25">
      <c r="B45" s="73">
        <v>8</v>
      </c>
      <c r="C45" s="248" t="s">
        <v>55</v>
      </c>
    </row>
    <row r="46" spans="2:3" x14ac:dyDescent="0.25">
      <c r="B46" s="73">
        <v>9</v>
      </c>
      <c r="C46" s="249" t="s">
        <v>56</v>
      </c>
    </row>
    <row r="47" spans="2:3" x14ac:dyDescent="0.25">
      <c r="B47" s="73">
        <v>10</v>
      </c>
      <c r="C47" s="250" t="s">
        <v>57</v>
      </c>
    </row>
    <row r="48" spans="2:3" x14ac:dyDescent="0.25">
      <c r="B48" s="73">
        <v>11</v>
      </c>
      <c r="C48" s="248" t="s">
        <v>58</v>
      </c>
    </row>
    <row r="49" spans="2:3" x14ac:dyDescent="0.25">
      <c r="B49" s="73">
        <v>12</v>
      </c>
      <c r="C49" s="251" t="s">
        <v>59</v>
      </c>
    </row>
    <row r="50" spans="2:3" x14ac:dyDescent="0.25">
      <c r="B50" s="73">
        <v>13</v>
      </c>
      <c r="C50" s="252" t="s">
        <v>60</v>
      </c>
    </row>
    <row r="53" spans="2:3" x14ac:dyDescent="0.25">
      <c r="B53" s="247"/>
    </row>
  </sheetData>
  <conditionalFormatting sqref="C28">
    <cfRule type="iconSet" priority="1">
      <iconSet iconSet="5Rating">
        <cfvo type="percent" val="0"/>
        <cfvo type="percent" val="20"/>
        <cfvo type="percent" val="40"/>
        <cfvo type="percent" val="60"/>
        <cfvo type="percent" val="80"/>
      </iconSet>
    </cfRule>
  </conditionalFormatting>
  <conditionalFormatting sqref="C31:C35">
    <cfRule type="iconSet" priority="2">
      <iconSet iconSet="5Rating">
        <cfvo type="percent" val="0"/>
        <cfvo type="percent" val="20"/>
        <cfvo type="percent" val="40"/>
        <cfvo type="percent" val="60"/>
        <cfvo type="percent" val="80"/>
      </iconSet>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'[1]compétence REM-REC'!#REF!</xm:f>
          </x14:formula1>
          <xm:sqref>C20:C23 C25:C28 C41:C50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1"/>
  </sheetPr>
  <dimension ref="C2:Q54"/>
  <sheetViews>
    <sheetView topLeftCell="C1" zoomScale="90" zoomScaleNormal="90" workbookViewId="0">
      <selection activeCell="E7" sqref="E7"/>
    </sheetView>
  </sheetViews>
  <sheetFormatPr baseColWidth="10" defaultColWidth="8.7109375" defaultRowHeight="15" x14ac:dyDescent="0.25"/>
  <cols>
    <col min="1" max="2" width="8.7109375" style="1"/>
    <col min="3" max="3" width="10.28515625" style="1" customWidth="1"/>
    <col min="4" max="4" width="15.7109375" style="1" customWidth="1"/>
    <col min="5" max="5" width="38.5703125" style="1" bestFit="1" customWidth="1"/>
    <col min="6" max="6" width="10.28515625" style="1" customWidth="1"/>
    <col min="7" max="7" width="33.85546875" style="1" bestFit="1" customWidth="1"/>
    <col min="8" max="8" width="11.7109375" style="280" customWidth="1"/>
    <col min="9" max="9" width="11.42578125" style="280" customWidth="1"/>
    <col min="10" max="17" width="8.7109375" style="280"/>
    <col min="18" max="16384" width="8.7109375" style="1"/>
  </cols>
  <sheetData>
    <row r="2" spans="3:17" x14ac:dyDescent="0.25">
      <c r="C2" s="3" t="s">
        <v>1</v>
      </c>
      <c r="D2" s="327" t="s">
        <v>2</v>
      </c>
      <c r="E2" s="328"/>
      <c r="F2" s="328"/>
      <c r="G2" s="328"/>
      <c r="H2" s="328"/>
      <c r="I2" s="328"/>
      <c r="J2" s="328"/>
      <c r="K2" s="328"/>
      <c r="L2" s="328"/>
      <c r="M2" s="328"/>
      <c r="N2" s="328"/>
      <c r="O2" s="328"/>
      <c r="P2" s="328"/>
      <c r="Q2" s="328"/>
    </row>
    <row r="3" spans="3:17" s="262" customFormat="1" x14ac:dyDescent="0.25">
      <c r="H3" s="280"/>
      <c r="I3" s="280"/>
      <c r="J3" s="280"/>
      <c r="K3" s="280"/>
      <c r="L3" s="280"/>
      <c r="M3" s="280"/>
      <c r="N3" s="280"/>
      <c r="O3" s="280"/>
      <c r="P3" s="280"/>
      <c r="Q3" s="280"/>
    </row>
    <row r="4" spans="3:17" x14ac:dyDescent="0.25">
      <c r="C4" s="332" t="s">
        <v>190</v>
      </c>
      <c r="D4" s="23" t="s">
        <v>65</v>
      </c>
      <c r="E4" s="23"/>
      <c r="F4" s="23"/>
      <c r="G4" s="23" t="s">
        <v>64</v>
      </c>
      <c r="H4" s="339" t="s">
        <v>1250</v>
      </c>
      <c r="I4" s="340"/>
      <c r="J4" s="340"/>
      <c r="K4" s="341"/>
      <c r="L4" s="279" t="s">
        <v>1251</v>
      </c>
      <c r="M4" s="279"/>
      <c r="N4" s="279" t="s">
        <v>1252</v>
      </c>
      <c r="O4" s="279"/>
      <c r="P4" s="279" t="s">
        <v>1253</v>
      </c>
      <c r="Q4" s="279"/>
    </row>
    <row r="5" spans="3:17" ht="15" customHeight="1" x14ac:dyDescent="0.25">
      <c r="C5" s="333"/>
      <c r="D5" s="335" t="s">
        <v>115</v>
      </c>
      <c r="E5" s="335" t="s">
        <v>66</v>
      </c>
      <c r="F5" s="335" t="s">
        <v>67</v>
      </c>
      <c r="G5" s="335" t="s">
        <v>66</v>
      </c>
      <c r="H5" s="336" t="s">
        <v>1254</v>
      </c>
      <c r="I5" s="336"/>
      <c r="J5" s="336"/>
      <c r="K5" s="336"/>
      <c r="L5" s="276" t="s">
        <v>1255</v>
      </c>
      <c r="M5" s="337" t="s">
        <v>1256</v>
      </c>
      <c r="N5" s="276" t="s">
        <v>1255</v>
      </c>
      <c r="O5" s="337" t="s">
        <v>1256</v>
      </c>
      <c r="P5" s="276" t="s">
        <v>1257</v>
      </c>
      <c r="Q5" s="337" t="s">
        <v>608</v>
      </c>
    </row>
    <row r="6" spans="3:17" ht="28.5" x14ac:dyDescent="0.25">
      <c r="C6" s="334"/>
      <c r="D6" s="335"/>
      <c r="E6" s="335"/>
      <c r="F6" s="335"/>
      <c r="G6" s="335"/>
      <c r="H6" s="277" t="s">
        <v>1258</v>
      </c>
      <c r="I6" s="277" t="s">
        <v>1259</v>
      </c>
      <c r="J6" s="277" t="s">
        <v>1260</v>
      </c>
      <c r="K6" s="277" t="s">
        <v>309</v>
      </c>
      <c r="L6" s="278" t="s">
        <v>1261</v>
      </c>
      <c r="M6" s="338"/>
      <c r="N6" s="278" t="s">
        <v>1261</v>
      </c>
      <c r="O6" s="338"/>
      <c r="P6" s="277" t="s">
        <v>1262</v>
      </c>
      <c r="Q6" s="338"/>
    </row>
    <row r="7" spans="3:17" ht="19.5" customHeight="1" x14ac:dyDescent="0.25">
      <c r="C7" s="326" t="s">
        <v>191</v>
      </c>
      <c r="D7" s="1035" t="s">
        <v>116</v>
      </c>
      <c r="E7" s="31" t="s">
        <v>499</v>
      </c>
      <c r="F7" s="242">
        <f>SUM(H7)</f>
        <v>42</v>
      </c>
      <c r="G7" s="288" t="s">
        <v>68</v>
      </c>
      <c r="H7" s="239">
        <v>42</v>
      </c>
      <c r="I7" s="281">
        <v>0</v>
      </c>
      <c r="J7" s="281">
        <v>0</v>
      </c>
      <c r="K7" s="281">
        <v>3</v>
      </c>
      <c r="L7" s="281">
        <v>4</v>
      </c>
      <c r="M7" s="281">
        <v>4</v>
      </c>
      <c r="N7" s="281">
        <v>4</v>
      </c>
      <c r="O7" s="281">
        <v>4</v>
      </c>
      <c r="P7" s="281" t="s">
        <v>165</v>
      </c>
      <c r="Q7" s="281"/>
    </row>
    <row r="8" spans="3:17" ht="30" x14ac:dyDescent="0.25">
      <c r="C8" s="326"/>
      <c r="D8" s="1040" t="s">
        <v>116</v>
      </c>
      <c r="E8" s="1038" t="s">
        <v>1273</v>
      </c>
      <c r="F8" s="1037">
        <f>SUM(H8:H9)</f>
        <v>84</v>
      </c>
      <c r="G8" s="288" t="s">
        <v>70</v>
      </c>
      <c r="H8" s="240">
        <v>42</v>
      </c>
      <c r="I8" s="281">
        <v>2</v>
      </c>
      <c r="J8" s="281">
        <v>1</v>
      </c>
      <c r="K8" s="281">
        <v>0</v>
      </c>
      <c r="L8" s="281">
        <v>3</v>
      </c>
      <c r="M8" s="329">
        <v>6</v>
      </c>
      <c r="N8" s="281">
        <v>3</v>
      </c>
      <c r="O8" s="329">
        <v>6</v>
      </c>
      <c r="P8" s="281" t="s">
        <v>165</v>
      </c>
      <c r="Q8" s="281"/>
    </row>
    <row r="9" spans="3:17" x14ac:dyDescent="0.25">
      <c r="C9" s="326"/>
      <c r="D9" s="1041"/>
      <c r="E9" s="1039"/>
      <c r="F9" s="1036"/>
      <c r="G9" s="288" t="s">
        <v>71</v>
      </c>
      <c r="H9" s="240">
        <v>42</v>
      </c>
      <c r="I9" s="281">
        <v>0</v>
      </c>
      <c r="J9" s="281">
        <v>0</v>
      </c>
      <c r="K9" s="281">
        <v>3</v>
      </c>
      <c r="L9" s="281">
        <v>3</v>
      </c>
      <c r="M9" s="331"/>
      <c r="N9" s="281">
        <v>3</v>
      </c>
      <c r="O9" s="331"/>
      <c r="P9" s="281" t="s">
        <v>165</v>
      </c>
      <c r="Q9" s="281"/>
    </row>
    <row r="10" spans="3:17" x14ac:dyDescent="0.25">
      <c r="C10" s="326"/>
      <c r="D10" s="55" t="s">
        <v>116</v>
      </c>
      <c r="E10" s="32" t="s">
        <v>73</v>
      </c>
      <c r="F10" s="62">
        <f>SUM(H10:H11)</f>
        <v>42</v>
      </c>
      <c r="G10" s="288" t="s">
        <v>72</v>
      </c>
      <c r="H10" s="240">
        <v>21</v>
      </c>
      <c r="I10" s="281">
        <v>1</v>
      </c>
      <c r="J10" s="281">
        <v>0.5</v>
      </c>
      <c r="K10" s="281">
        <v>0</v>
      </c>
      <c r="L10" s="281">
        <v>3</v>
      </c>
      <c r="M10" s="329">
        <v>6</v>
      </c>
      <c r="N10" s="281">
        <v>3</v>
      </c>
      <c r="O10" s="329">
        <v>6</v>
      </c>
      <c r="P10" s="281" t="s">
        <v>165</v>
      </c>
      <c r="Q10" s="281"/>
    </row>
    <row r="11" spans="3:17" x14ac:dyDescent="0.25">
      <c r="C11" s="326"/>
      <c r="D11" s="57"/>
      <c r="E11" s="33"/>
      <c r="F11" s="61"/>
      <c r="G11" s="288" t="s">
        <v>74</v>
      </c>
      <c r="H11" s="240">
        <v>21</v>
      </c>
      <c r="I11" s="281">
        <v>0</v>
      </c>
      <c r="J11" s="281">
        <v>0</v>
      </c>
      <c r="K11" s="281">
        <v>1.5</v>
      </c>
      <c r="L11" s="281">
        <v>3</v>
      </c>
      <c r="M11" s="331"/>
      <c r="N11" s="281">
        <v>3</v>
      </c>
      <c r="O11" s="331"/>
      <c r="P11" s="281" t="s">
        <v>165</v>
      </c>
      <c r="Q11" s="281"/>
    </row>
    <row r="12" spans="3:17" ht="21" customHeight="1" x14ac:dyDescent="0.25">
      <c r="C12" s="326"/>
      <c r="D12" s="55" t="s">
        <v>116</v>
      </c>
      <c r="E12" s="1038" t="s">
        <v>76</v>
      </c>
      <c r="F12" s="62">
        <f>SUM(H12:H13)</f>
        <v>63</v>
      </c>
      <c r="G12" s="288" t="s">
        <v>75</v>
      </c>
      <c r="H12" s="240">
        <v>21</v>
      </c>
      <c r="I12" s="281">
        <v>1</v>
      </c>
      <c r="J12" s="281">
        <v>0.5</v>
      </c>
      <c r="K12" s="281">
        <v>0</v>
      </c>
      <c r="L12" s="281">
        <v>3</v>
      </c>
      <c r="M12" s="329">
        <v>6</v>
      </c>
      <c r="N12" s="281">
        <v>3</v>
      </c>
      <c r="O12" s="329">
        <v>6</v>
      </c>
      <c r="P12" s="281" t="s">
        <v>165</v>
      </c>
      <c r="Q12" s="281"/>
    </row>
    <row r="13" spans="3:17" x14ac:dyDescent="0.25">
      <c r="C13" s="326"/>
      <c r="D13" s="57"/>
      <c r="E13" s="1039"/>
      <c r="F13" s="61"/>
      <c r="G13" s="288" t="s">
        <v>77</v>
      </c>
      <c r="H13" s="240">
        <v>42</v>
      </c>
      <c r="I13" s="281">
        <v>0</v>
      </c>
      <c r="J13" s="281">
        <v>0</v>
      </c>
      <c r="K13" s="281">
        <v>3</v>
      </c>
      <c r="L13" s="281">
        <v>3</v>
      </c>
      <c r="M13" s="331"/>
      <c r="N13" s="281">
        <v>3</v>
      </c>
      <c r="O13" s="331"/>
      <c r="P13" s="281" t="s">
        <v>165</v>
      </c>
      <c r="Q13" s="281"/>
    </row>
    <row r="14" spans="3:17" x14ac:dyDescent="0.25">
      <c r="C14" s="326"/>
      <c r="D14" s="55" t="s">
        <v>117</v>
      </c>
      <c r="E14" s="32" t="s">
        <v>78</v>
      </c>
      <c r="F14" s="62">
        <f>SUM(H14:H15)</f>
        <v>63</v>
      </c>
      <c r="G14" s="289" t="s">
        <v>96</v>
      </c>
      <c r="H14" s="240">
        <v>21</v>
      </c>
      <c r="I14" s="281">
        <v>1</v>
      </c>
      <c r="J14" s="281">
        <v>0.5</v>
      </c>
      <c r="K14" s="281">
        <v>0</v>
      </c>
      <c r="L14" s="281">
        <v>2</v>
      </c>
      <c r="M14" s="329">
        <v>4</v>
      </c>
      <c r="N14" s="281">
        <v>2</v>
      </c>
      <c r="O14" s="329">
        <v>4</v>
      </c>
      <c r="P14" s="281" t="s">
        <v>165</v>
      </c>
      <c r="Q14" s="281"/>
    </row>
    <row r="15" spans="3:17" x14ac:dyDescent="0.25">
      <c r="C15" s="326"/>
      <c r="D15" s="57"/>
      <c r="E15" s="33"/>
      <c r="F15" s="61"/>
      <c r="G15" s="288" t="s">
        <v>161</v>
      </c>
      <c r="H15" s="244">
        <v>42</v>
      </c>
      <c r="I15" s="281">
        <v>1</v>
      </c>
      <c r="J15" s="281">
        <v>2</v>
      </c>
      <c r="K15" s="281">
        <v>0</v>
      </c>
      <c r="L15" s="281">
        <v>2</v>
      </c>
      <c r="M15" s="331"/>
      <c r="N15" s="281">
        <v>2</v>
      </c>
      <c r="O15" s="331"/>
      <c r="P15" s="281" t="s">
        <v>165</v>
      </c>
      <c r="Q15" s="281"/>
    </row>
    <row r="16" spans="3:17" x14ac:dyDescent="0.25">
      <c r="C16" s="326"/>
      <c r="D16" s="55" t="s">
        <v>118</v>
      </c>
      <c r="E16" s="32" t="s">
        <v>80</v>
      </c>
      <c r="F16" s="62">
        <f>SUM(H16:H17)</f>
        <v>63</v>
      </c>
      <c r="G16" s="290" t="s">
        <v>1164</v>
      </c>
      <c r="H16" s="244">
        <v>63</v>
      </c>
      <c r="I16" s="281" t="s">
        <v>1263</v>
      </c>
      <c r="J16" s="281" t="s">
        <v>1263</v>
      </c>
      <c r="K16" s="281" t="s">
        <v>1263</v>
      </c>
      <c r="L16" s="281">
        <v>2</v>
      </c>
      <c r="M16" s="329">
        <v>4</v>
      </c>
      <c r="N16" s="281">
        <v>2</v>
      </c>
      <c r="O16" s="329">
        <v>4</v>
      </c>
      <c r="P16" s="281" t="s">
        <v>165</v>
      </c>
      <c r="Q16" s="281"/>
    </row>
    <row r="17" spans="3:17" x14ac:dyDescent="0.25">
      <c r="C17" s="326"/>
      <c r="D17" s="57"/>
      <c r="E17" s="33"/>
      <c r="F17" s="61"/>
      <c r="G17" s="290" t="s">
        <v>1164</v>
      </c>
      <c r="H17" s="246"/>
      <c r="I17" s="281" t="s">
        <v>1263</v>
      </c>
      <c r="J17" s="281" t="s">
        <v>1263</v>
      </c>
      <c r="K17" s="281" t="s">
        <v>1263</v>
      </c>
      <c r="L17" s="281">
        <v>2</v>
      </c>
      <c r="M17" s="331"/>
      <c r="N17" s="281">
        <v>2</v>
      </c>
      <c r="O17" s="331"/>
      <c r="P17" s="281" t="s">
        <v>165</v>
      </c>
      <c r="Q17" s="281"/>
    </row>
    <row r="18" spans="3:17" x14ac:dyDescent="0.25">
      <c r="C18" s="51"/>
      <c r="D18" s="52" t="s">
        <v>82</v>
      </c>
      <c r="E18" s="282"/>
      <c r="F18" s="26">
        <f>SUM(F7:F17)</f>
        <v>357</v>
      </c>
      <c r="G18" s="283" t="s">
        <v>82</v>
      </c>
      <c r="H18" s="245">
        <f>SUM(H7:H17)</f>
        <v>357</v>
      </c>
      <c r="I18" s="285">
        <f>SUM(I7:I17)+4.5</f>
        <v>10.5</v>
      </c>
      <c r="J18" s="285">
        <f t="shared" ref="J18:O18" si="0">SUM(J7:J17)</f>
        <v>4.5</v>
      </c>
      <c r="K18" s="285">
        <f t="shared" si="0"/>
        <v>10.5</v>
      </c>
      <c r="L18" s="283">
        <f t="shared" si="0"/>
        <v>30</v>
      </c>
      <c r="M18" s="283">
        <f t="shared" si="0"/>
        <v>30</v>
      </c>
      <c r="N18" s="283">
        <f t="shared" si="0"/>
        <v>30</v>
      </c>
      <c r="O18" s="283">
        <f t="shared" si="0"/>
        <v>30</v>
      </c>
      <c r="P18" s="283"/>
      <c r="Q18" s="283"/>
    </row>
    <row r="19" spans="3:17" x14ac:dyDescent="0.25">
      <c r="C19" s="326" t="s">
        <v>192</v>
      </c>
      <c r="D19" s="55" t="s">
        <v>116</v>
      </c>
      <c r="E19" s="35" t="s">
        <v>84</v>
      </c>
      <c r="F19" s="62">
        <f>SUM(H19:H21)</f>
        <v>63</v>
      </c>
      <c r="G19" s="291" t="s">
        <v>83</v>
      </c>
      <c r="H19" s="241">
        <v>21</v>
      </c>
      <c r="I19" s="281">
        <v>1</v>
      </c>
      <c r="J19" s="281">
        <v>0.5</v>
      </c>
      <c r="K19" s="281">
        <v>0</v>
      </c>
      <c r="L19" s="281">
        <v>2</v>
      </c>
      <c r="M19" s="329">
        <v>6</v>
      </c>
      <c r="N19" s="281">
        <v>2</v>
      </c>
      <c r="O19" s="329">
        <v>6</v>
      </c>
      <c r="P19" s="281" t="s">
        <v>165</v>
      </c>
      <c r="Q19" s="281"/>
    </row>
    <row r="20" spans="3:17" x14ac:dyDescent="0.25">
      <c r="C20" s="326"/>
      <c r="D20" s="56"/>
      <c r="E20" s="37"/>
      <c r="F20" s="60"/>
      <c r="G20" s="291" t="s">
        <v>85</v>
      </c>
      <c r="H20" s="241">
        <v>21</v>
      </c>
      <c r="I20" s="281">
        <v>1</v>
      </c>
      <c r="J20" s="281">
        <v>0.5</v>
      </c>
      <c r="K20" s="281">
        <v>0</v>
      </c>
      <c r="L20" s="281">
        <v>2</v>
      </c>
      <c r="M20" s="330"/>
      <c r="N20" s="281">
        <v>2</v>
      </c>
      <c r="O20" s="330"/>
      <c r="P20" s="281" t="s">
        <v>165</v>
      </c>
      <c r="Q20" s="281"/>
    </row>
    <row r="21" spans="3:17" x14ac:dyDescent="0.25">
      <c r="C21" s="326"/>
      <c r="D21" s="57"/>
      <c r="E21" s="37"/>
      <c r="F21" s="61"/>
      <c r="G21" s="291" t="s">
        <v>86</v>
      </c>
      <c r="H21" s="241">
        <v>21</v>
      </c>
      <c r="I21" s="281">
        <v>0</v>
      </c>
      <c r="J21" s="281">
        <v>0</v>
      </c>
      <c r="K21" s="281">
        <v>1.5</v>
      </c>
      <c r="L21" s="281">
        <v>2</v>
      </c>
      <c r="M21" s="331"/>
      <c r="N21" s="281">
        <v>2</v>
      </c>
      <c r="O21" s="331"/>
      <c r="P21" s="281" t="s">
        <v>165</v>
      </c>
      <c r="Q21" s="281"/>
    </row>
    <row r="22" spans="3:17" x14ac:dyDescent="0.25">
      <c r="C22" s="326"/>
      <c r="D22" s="55" t="s">
        <v>116</v>
      </c>
      <c r="E22" s="35" t="s">
        <v>194</v>
      </c>
      <c r="F22" s="65">
        <f>SUM(H22:H23)</f>
        <v>63</v>
      </c>
      <c r="G22" s="291" t="s">
        <v>87</v>
      </c>
      <c r="H22" s="241">
        <v>21</v>
      </c>
      <c r="I22" s="281">
        <v>1</v>
      </c>
      <c r="J22" s="281">
        <v>0.5</v>
      </c>
      <c r="K22" s="281">
        <v>0</v>
      </c>
      <c r="L22" s="281">
        <v>2</v>
      </c>
      <c r="M22" s="329">
        <v>5</v>
      </c>
      <c r="N22" s="281">
        <v>2</v>
      </c>
      <c r="O22" s="329">
        <v>5</v>
      </c>
      <c r="P22" s="281" t="s">
        <v>165</v>
      </c>
      <c r="Q22" s="281"/>
    </row>
    <row r="23" spans="3:17" ht="30" x14ac:dyDescent="0.25">
      <c r="C23" s="326"/>
      <c r="D23" s="57"/>
      <c r="E23" s="37"/>
      <c r="F23" s="66"/>
      <c r="G23" s="291" t="s">
        <v>88</v>
      </c>
      <c r="H23" s="241">
        <v>42</v>
      </c>
      <c r="I23" s="281">
        <v>0</v>
      </c>
      <c r="J23" s="281">
        <v>0</v>
      </c>
      <c r="K23" s="281">
        <v>3</v>
      </c>
      <c r="L23" s="281">
        <v>3</v>
      </c>
      <c r="M23" s="331"/>
      <c r="N23" s="281">
        <v>3</v>
      </c>
      <c r="O23" s="331"/>
      <c r="P23" s="281" t="s">
        <v>165</v>
      </c>
      <c r="Q23" s="281"/>
    </row>
    <row r="24" spans="3:17" ht="34.5" customHeight="1" x14ac:dyDescent="0.25">
      <c r="C24" s="326"/>
      <c r="D24" s="55" t="s">
        <v>116</v>
      </c>
      <c r="E24" s="35" t="s">
        <v>90</v>
      </c>
      <c r="F24" s="62">
        <f>SUM(H24:H26)</f>
        <v>63</v>
      </c>
      <c r="G24" s="291" t="s">
        <v>89</v>
      </c>
      <c r="H24" s="241">
        <v>21</v>
      </c>
      <c r="I24" s="281">
        <v>1</v>
      </c>
      <c r="J24" s="281">
        <v>0.5</v>
      </c>
      <c r="K24" s="281">
        <v>0</v>
      </c>
      <c r="L24" s="281">
        <v>2</v>
      </c>
      <c r="M24" s="329">
        <v>6</v>
      </c>
      <c r="N24" s="281">
        <v>2</v>
      </c>
      <c r="O24" s="329">
        <v>6</v>
      </c>
      <c r="P24" s="281" t="s">
        <v>165</v>
      </c>
      <c r="Q24" s="281"/>
    </row>
    <row r="25" spans="3:17" x14ac:dyDescent="0.25">
      <c r="C25" s="326"/>
      <c r="D25" s="56"/>
      <c r="E25" s="37"/>
      <c r="F25" s="60"/>
      <c r="G25" s="291" t="s">
        <v>91</v>
      </c>
      <c r="H25" s="241">
        <v>21</v>
      </c>
      <c r="I25" s="281">
        <v>0</v>
      </c>
      <c r="J25" s="281">
        <v>0</v>
      </c>
      <c r="K25" s="281">
        <v>1.5</v>
      </c>
      <c r="L25" s="281">
        <v>2</v>
      </c>
      <c r="M25" s="330"/>
      <c r="N25" s="281">
        <v>2</v>
      </c>
      <c r="O25" s="330"/>
      <c r="P25" s="281" t="s">
        <v>165</v>
      </c>
      <c r="Q25" s="281"/>
    </row>
    <row r="26" spans="3:17" x14ac:dyDescent="0.25">
      <c r="C26" s="326"/>
      <c r="D26" s="57"/>
      <c r="E26" s="38"/>
      <c r="F26" s="61"/>
      <c r="G26" s="291" t="s">
        <v>92</v>
      </c>
      <c r="H26" s="241">
        <v>21</v>
      </c>
      <c r="I26" s="281">
        <v>0</v>
      </c>
      <c r="J26" s="281">
        <v>0</v>
      </c>
      <c r="K26" s="281">
        <v>1.5</v>
      </c>
      <c r="L26" s="281">
        <v>2</v>
      </c>
      <c r="M26" s="331"/>
      <c r="N26" s="281">
        <v>2</v>
      </c>
      <c r="O26" s="331"/>
      <c r="P26" s="281" t="s">
        <v>165</v>
      </c>
      <c r="Q26" s="281"/>
    </row>
    <row r="27" spans="3:17" x14ac:dyDescent="0.25">
      <c r="C27" s="326"/>
      <c r="D27" s="55" t="s">
        <v>116</v>
      </c>
      <c r="E27" s="35" t="s">
        <v>94</v>
      </c>
      <c r="F27" s="62">
        <f>SUM(H27:H28)</f>
        <v>42</v>
      </c>
      <c r="G27" s="291" t="s">
        <v>93</v>
      </c>
      <c r="H27" s="241">
        <v>21</v>
      </c>
      <c r="I27" s="281">
        <v>1</v>
      </c>
      <c r="J27" s="281">
        <v>0.5</v>
      </c>
      <c r="K27" s="281">
        <v>0</v>
      </c>
      <c r="L27" s="281">
        <v>2</v>
      </c>
      <c r="M27" s="329">
        <v>4</v>
      </c>
      <c r="N27" s="281">
        <v>2</v>
      </c>
      <c r="O27" s="329">
        <v>4</v>
      </c>
      <c r="P27" s="281" t="s">
        <v>165</v>
      </c>
      <c r="Q27" s="281"/>
    </row>
    <row r="28" spans="3:17" x14ac:dyDescent="0.25">
      <c r="C28" s="326"/>
      <c r="D28" s="57"/>
      <c r="E28" s="39"/>
      <c r="F28" s="61"/>
      <c r="G28" s="291" t="s">
        <v>95</v>
      </c>
      <c r="H28" s="241">
        <v>21</v>
      </c>
      <c r="I28" s="281">
        <v>0</v>
      </c>
      <c r="J28" s="281">
        <v>0</v>
      </c>
      <c r="K28" s="281">
        <v>1.5</v>
      </c>
      <c r="L28" s="281">
        <v>2</v>
      </c>
      <c r="M28" s="331"/>
      <c r="N28" s="281">
        <v>2</v>
      </c>
      <c r="O28" s="331"/>
      <c r="P28" s="281" t="s">
        <v>165</v>
      </c>
      <c r="Q28" s="281"/>
    </row>
    <row r="29" spans="3:17" x14ac:dyDescent="0.25">
      <c r="C29" s="326"/>
      <c r="D29" s="55" t="s">
        <v>117</v>
      </c>
      <c r="E29" s="40" t="s">
        <v>97</v>
      </c>
      <c r="F29" s="59">
        <f>SUM(H29:H30)</f>
        <v>63</v>
      </c>
      <c r="G29" s="292" t="s">
        <v>1226</v>
      </c>
      <c r="H29" s="242">
        <v>21</v>
      </c>
      <c r="I29" s="281">
        <v>1</v>
      </c>
      <c r="J29" s="281">
        <v>0.5</v>
      </c>
      <c r="K29" s="281">
        <v>0</v>
      </c>
      <c r="L29" s="281">
        <v>2</v>
      </c>
      <c r="M29" s="329">
        <v>4</v>
      </c>
      <c r="N29" s="281">
        <v>2</v>
      </c>
      <c r="O29" s="329">
        <v>4</v>
      </c>
      <c r="P29" s="281" t="s">
        <v>165</v>
      </c>
      <c r="Q29" s="281"/>
    </row>
    <row r="30" spans="3:17" ht="30" x14ac:dyDescent="0.25">
      <c r="C30" s="326"/>
      <c r="D30" s="57"/>
      <c r="E30" s="33"/>
      <c r="F30" s="61"/>
      <c r="G30" s="292" t="s">
        <v>160</v>
      </c>
      <c r="H30" s="242">
        <v>42</v>
      </c>
      <c r="I30" s="281">
        <v>1</v>
      </c>
      <c r="J30" s="281">
        <v>2</v>
      </c>
      <c r="K30" s="281">
        <v>0</v>
      </c>
      <c r="L30" s="281">
        <v>2</v>
      </c>
      <c r="M30" s="331"/>
      <c r="N30" s="281">
        <v>2</v>
      </c>
      <c r="O30" s="331"/>
      <c r="P30" s="281" t="s">
        <v>165</v>
      </c>
      <c r="Q30" s="281"/>
    </row>
    <row r="31" spans="3:17" x14ac:dyDescent="0.25">
      <c r="C31" s="326"/>
      <c r="D31" s="55" t="s">
        <v>118</v>
      </c>
      <c r="E31" s="32" t="s">
        <v>80</v>
      </c>
      <c r="F31" s="62">
        <f>SUM(H31:H32)</f>
        <v>63</v>
      </c>
      <c r="G31" s="290" t="s">
        <v>1164</v>
      </c>
      <c r="H31" s="244">
        <v>63</v>
      </c>
      <c r="I31" s="281" t="s">
        <v>1263</v>
      </c>
      <c r="J31" s="281" t="s">
        <v>1263</v>
      </c>
      <c r="K31" s="281" t="s">
        <v>1263</v>
      </c>
      <c r="L31" s="281">
        <v>3</v>
      </c>
      <c r="M31" s="329">
        <v>5</v>
      </c>
      <c r="N31" s="281">
        <v>3</v>
      </c>
      <c r="O31" s="329">
        <v>5</v>
      </c>
      <c r="P31" s="281" t="s">
        <v>165</v>
      </c>
      <c r="Q31" s="281"/>
    </row>
    <row r="32" spans="3:17" x14ac:dyDescent="0.25">
      <c r="C32" s="326"/>
      <c r="D32" s="57"/>
      <c r="E32" s="33"/>
      <c r="F32" s="61"/>
      <c r="G32" s="290" t="s">
        <v>1164</v>
      </c>
      <c r="H32" s="246"/>
      <c r="I32" s="281" t="s">
        <v>1263</v>
      </c>
      <c r="J32" s="281" t="s">
        <v>1263</v>
      </c>
      <c r="K32" s="281" t="s">
        <v>1263</v>
      </c>
      <c r="L32" s="281">
        <v>2</v>
      </c>
      <c r="M32" s="331"/>
      <c r="N32" s="281">
        <v>2</v>
      </c>
      <c r="O32" s="331"/>
      <c r="P32" s="281" t="s">
        <v>165</v>
      </c>
      <c r="Q32" s="281"/>
    </row>
    <row r="33" spans="3:17" x14ac:dyDescent="0.25">
      <c r="C33" s="44"/>
      <c r="D33" s="52" t="s">
        <v>82</v>
      </c>
      <c r="E33" s="52"/>
      <c r="F33" s="29">
        <f>SUM(F19:F32)</f>
        <v>357</v>
      </c>
      <c r="G33" s="27" t="s">
        <v>82</v>
      </c>
      <c r="H33" s="243">
        <f>SUM(H19:H32)</f>
        <v>357</v>
      </c>
      <c r="I33" s="284">
        <f>SUM(I19:I32)+4.5</f>
        <v>11.5</v>
      </c>
      <c r="J33" s="284">
        <f t="shared" ref="J33:O33" si="1">SUM(J19:J32)</f>
        <v>5</v>
      </c>
      <c r="K33" s="284">
        <f t="shared" si="1"/>
        <v>9</v>
      </c>
      <c r="L33" s="243">
        <f t="shared" si="1"/>
        <v>30</v>
      </c>
      <c r="M33" s="243">
        <f t="shared" si="1"/>
        <v>30</v>
      </c>
      <c r="N33" s="243">
        <f t="shared" si="1"/>
        <v>30</v>
      </c>
      <c r="O33" s="243">
        <f t="shared" si="1"/>
        <v>30</v>
      </c>
      <c r="P33" s="243"/>
      <c r="Q33" s="243"/>
    </row>
    <row r="34" spans="3:17" ht="30" x14ac:dyDescent="0.25">
      <c r="C34" s="326" t="s">
        <v>193</v>
      </c>
      <c r="D34" s="55" t="s">
        <v>116</v>
      </c>
      <c r="E34" s="35" t="s">
        <v>101</v>
      </c>
      <c r="F34" s="62">
        <f>SUM(H34:H36)</f>
        <v>63</v>
      </c>
      <c r="G34" s="291" t="s">
        <v>100</v>
      </c>
      <c r="H34" s="241">
        <v>21</v>
      </c>
      <c r="I34" s="281">
        <v>1</v>
      </c>
      <c r="J34" s="281">
        <v>0.5</v>
      </c>
      <c r="K34" s="281">
        <v>0</v>
      </c>
      <c r="L34" s="281">
        <v>2</v>
      </c>
      <c r="M34" s="329">
        <v>6</v>
      </c>
      <c r="N34" s="281">
        <v>2</v>
      </c>
      <c r="O34" s="329">
        <v>6</v>
      </c>
      <c r="P34" s="281" t="s">
        <v>165</v>
      </c>
      <c r="Q34" s="281"/>
    </row>
    <row r="35" spans="3:17" x14ac:dyDescent="0.25">
      <c r="C35" s="326"/>
      <c r="D35" s="56"/>
      <c r="E35" s="37"/>
      <c r="F35" s="60"/>
      <c r="G35" s="291" t="s">
        <v>102</v>
      </c>
      <c r="H35" s="241">
        <v>21</v>
      </c>
      <c r="I35" s="281">
        <v>1</v>
      </c>
      <c r="J35" s="281">
        <v>0.5</v>
      </c>
      <c r="K35" s="281">
        <v>0</v>
      </c>
      <c r="L35" s="281">
        <v>2</v>
      </c>
      <c r="M35" s="330"/>
      <c r="N35" s="281">
        <v>2</v>
      </c>
      <c r="O35" s="330"/>
      <c r="P35" s="281" t="s">
        <v>165</v>
      </c>
      <c r="Q35" s="281"/>
    </row>
    <row r="36" spans="3:17" x14ac:dyDescent="0.25">
      <c r="C36" s="326"/>
      <c r="D36" s="57"/>
      <c r="E36" s="37"/>
      <c r="F36" s="61"/>
      <c r="G36" s="291" t="s">
        <v>103</v>
      </c>
      <c r="H36" s="241">
        <v>21</v>
      </c>
      <c r="I36" s="281">
        <v>0</v>
      </c>
      <c r="J36" s="281">
        <v>0</v>
      </c>
      <c r="K36" s="281">
        <v>1.5</v>
      </c>
      <c r="L36" s="281">
        <v>2</v>
      </c>
      <c r="M36" s="331"/>
      <c r="N36" s="281">
        <v>2</v>
      </c>
      <c r="O36" s="331"/>
      <c r="P36" s="281" t="s">
        <v>165</v>
      </c>
      <c r="Q36" s="281"/>
    </row>
    <row r="37" spans="3:17" x14ac:dyDescent="0.25">
      <c r="C37" s="326"/>
      <c r="D37" s="55" t="s">
        <v>116</v>
      </c>
      <c r="E37" s="35" t="s">
        <v>104</v>
      </c>
      <c r="F37" s="62">
        <f>SUM(H37:H38)</f>
        <v>63</v>
      </c>
      <c r="G37" s="291" t="s">
        <v>104</v>
      </c>
      <c r="H37" s="241">
        <v>21</v>
      </c>
      <c r="I37" s="281">
        <v>1</v>
      </c>
      <c r="J37" s="281">
        <v>0.5</v>
      </c>
      <c r="K37" s="281">
        <v>0</v>
      </c>
      <c r="L37" s="281">
        <v>2</v>
      </c>
      <c r="M37" s="329">
        <v>5</v>
      </c>
      <c r="N37" s="281">
        <v>2</v>
      </c>
      <c r="O37" s="329">
        <v>5</v>
      </c>
      <c r="P37" s="281" t="s">
        <v>165</v>
      </c>
      <c r="Q37" s="281"/>
    </row>
    <row r="38" spans="3:17" ht="30" x14ac:dyDescent="0.25">
      <c r="C38" s="326"/>
      <c r="D38" s="57"/>
      <c r="E38" s="37"/>
      <c r="F38" s="61"/>
      <c r="G38" s="291" t="s">
        <v>105</v>
      </c>
      <c r="H38" s="241">
        <v>42</v>
      </c>
      <c r="I38" s="281">
        <v>0</v>
      </c>
      <c r="J38" s="281">
        <v>0</v>
      </c>
      <c r="K38" s="281">
        <v>3</v>
      </c>
      <c r="L38" s="281">
        <v>3</v>
      </c>
      <c r="M38" s="331"/>
      <c r="N38" s="281">
        <v>3</v>
      </c>
      <c r="O38" s="331"/>
      <c r="P38" s="281" t="s">
        <v>165</v>
      </c>
      <c r="Q38" s="281"/>
    </row>
    <row r="39" spans="3:17" x14ac:dyDescent="0.25">
      <c r="C39" s="326"/>
      <c r="D39" s="55" t="s">
        <v>116</v>
      </c>
      <c r="E39" s="35" t="s">
        <v>107</v>
      </c>
      <c r="F39" s="62">
        <f>SUM(H39:H40)</f>
        <v>42</v>
      </c>
      <c r="G39" s="291" t="s">
        <v>106</v>
      </c>
      <c r="H39" s="241">
        <v>21</v>
      </c>
      <c r="I39" s="281">
        <v>1</v>
      </c>
      <c r="J39" s="281">
        <v>0.5</v>
      </c>
      <c r="K39" s="281">
        <v>0</v>
      </c>
      <c r="L39" s="281">
        <v>2</v>
      </c>
      <c r="M39" s="329">
        <v>5</v>
      </c>
      <c r="N39" s="281">
        <v>2</v>
      </c>
      <c r="O39" s="329">
        <v>5</v>
      </c>
      <c r="P39" s="281" t="s">
        <v>165</v>
      </c>
      <c r="Q39" s="281"/>
    </row>
    <row r="40" spans="3:17" ht="30" x14ac:dyDescent="0.25">
      <c r="C40" s="326"/>
      <c r="D40" s="57"/>
      <c r="E40" s="37"/>
      <c r="F40" s="61"/>
      <c r="G40" s="291" t="s">
        <v>108</v>
      </c>
      <c r="H40" s="241">
        <v>21</v>
      </c>
      <c r="I40" s="281">
        <v>0</v>
      </c>
      <c r="J40" s="281">
        <v>0</v>
      </c>
      <c r="K40" s="281">
        <v>1.5</v>
      </c>
      <c r="L40" s="281">
        <v>3</v>
      </c>
      <c r="M40" s="331"/>
      <c r="N40" s="281">
        <v>3</v>
      </c>
      <c r="O40" s="331"/>
      <c r="P40" s="281" t="s">
        <v>165</v>
      </c>
      <c r="Q40" s="281"/>
    </row>
    <row r="41" spans="3:17" ht="30" x14ac:dyDescent="0.25">
      <c r="C41" s="326"/>
      <c r="D41" s="55" t="s">
        <v>116</v>
      </c>
      <c r="E41" s="35" t="s">
        <v>92</v>
      </c>
      <c r="F41" s="62">
        <f>SUM(H41:H42)</f>
        <v>63</v>
      </c>
      <c r="G41" s="291" t="s">
        <v>109</v>
      </c>
      <c r="H41" s="241">
        <v>21</v>
      </c>
      <c r="I41" s="281">
        <v>0</v>
      </c>
      <c r="J41" s="281">
        <v>0</v>
      </c>
      <c r="K41" s="281">
        <v>1.5</v>
      </c>
      <c r="L41" s="281">
        <v>2</v>
      </c>
      <c r="M41" s="329">
        <v>5</v>
      </c>
      <c r="N41" s="281">
        <v>2</v>
      </c>
      <c r="O41" s="329">
        <v>5</v>
      </c>
      <c r="P41" s="281" t="s">
        <v>165</v>
      </c>
      <c r="Q41" s="281"/>
    </row>
    <row r="42" spans="3:17" ht="45" x14ac:dyDescent="0.25">
      <c r="C42" s="326"/>
      <c r="D42" s="57"/>
      <c r="E42" s="37"/>
      <c r="F42" s="61"/>
      <c r="G42" s="291" t="s">
        <v>110</v>
      </c>
      <c r="H42" s="241">
        <v>42</v>
      </c>
      <c r="I42" s="281">
        <v>0</v>
      </c>
      <c r="J42" s="281">
        <v>0</v>
      </c>
      <c r="K42" s="281">
        <v>3</v>
      </c>
      <c r="L42" s="281">
        <v>3</v>
      </c>
      <c r="M42" s="331"/>
      <c r="N42" s="281">
        <v>3</v>
      </c>
      <c r="O42" s="331"/>
      <c r="P42" s="281" t="s">
        <v>165</v>
      </c>
      <c r="Q42" s="281"/>
    </row>
    <row r="43" spans="3:17" x14ac:dyDescent="0.25">
      <c r="C43" s="326"/>
      <c r="D43" s="55" t="s">
        <v>117</v>
      </c>
      <c r="E43" s="40" t="s">
        <v>97</v>
      </c>
      <c r="F43" s="59">
        <f>SUM(H43:H44)</f>
        <v>63</v>
      </c>
      <c r="G43" s="288" t="s">
        <v>1227</v>
      </c>
      <c r="H43" s="242">
        <v>21</v>
      </c>
      <c r="I43" s="281">
        <v>1</v>
      </c>
      <c r="J43" s="281">
        <v>0.5</v>
      </c>
      <c r="K43" s="281">
        <v>0</v>
      </c>
      <c r="L43" s="281">
        <v>2</v>
      </c>
      <c r="M43" s="329">
        <v>4</v>
      </c>
      <c r="N43" s="281">
        <v>2</v>
      </c>
      <c r="O43" s="329">
        <v>4</v>
      </c>
      <c r="P43" s="281" t="s">
        <v>165</v>
      </c>
      <c r="Q43" s="281"/>
    </row>
    <row r="44" spans="3:17" ht="30" x14ac:dyDescent="0.25">
      <c r="C44" s="326"/>
      <c r="D44" s="56"/>
      <c r="E44" s="33"/>
      <c r="F44" s="61"/>
      <c r="G44" s="293" t="s">
        <v>111</v>
      </c>
      <c r="H44" s="242">
        <v>42</v>
      </c>
      <c r="I44" s="281">
        <v>1</v>
      </c>
      <c r="J44" s="281">
        <v>2</v>
      </c>
      <c r="K44" s="281">
        <v>0</v>
      </c>
      <c r="L44" s="281">
        <v>2</v>
      </c>
      <c r="M44" s="331"/>
      <c r="N44" s="281">
        <v>2</v>
      </c>
      <c r="O44" s="331"/>
      <c r="P44" s="281" t="s">
        <v>165</v>
      </c>
      <c r="Q44" s="281"/>
    </row>
    <row r="45" spans="3:17" x14ac:dyDescent="0.25">
      <c r="C45" s="326"/>
      <c r="D45" s="55" t="s">
        <v>118</v>
      </c>
      <c r="E45" s="32" t="s">
        <v>80</v>
      </c>
      <c r="F45" s="62">
        <f>SUM(H45:H46)</f>
        <v>63</v>
      </c>
      <c r="G45" s="290" t="s">
        <v>1164</v>
      </c>
      <c r="H45" s="244">
        <v>63</v>
      </c>
      <c r="I45" s="281" t="s">
        <v>1263</v>
      </c>
      <c r="J45" s="281" t="s">
        <v>1263</v>
      </c>
      <c r="K45" s="281" t="s">
        <v>1263</v>
      </c>
      <c r="L45" s="281">
        <v>3</v>
      </c>
      <c r="M45" s="329">
        <v>5</v>
      </c>
      <c r="N45" s="281">
        <v>3</v>
      </c>
      <c r="O45" s="329">
        <v>5</v>
      </c>
      <c r="P45" s="281" t="s">
        <v>165</v>
      </c>
      <c r="Q45" s="281"/>
    </row>
    <row r="46" spans="3:17" x14ac:dyDescent="0.25">
      <c r="C46" s="326"/>
      <c r="D46" s="58"/>
      <c r="E46" s="33"/>
      <c r="F46" s="61"/>
      <c r="G46" s="290" t="s">
        <v>1164</v>
      </c>
      <c r="H46" s="246"/>
      <c r="I46" s="281" t="s">
        <v>1263</v>
      </c>
      <c r="J46" s="281" t="s">
        <v>1263</v>
      </c>
      <c r="K46" s="281" t="s">
        <v>1263</v>
      </c>
      <c r="L46" s="281">
        <v>2</v>
      </c>
      <c r="M46" s="331"/>
      <c r="N46" s="281">
        <v>2</v>
      </c>
      <c r="O46" s="331"/>
      <c r="P46" s="281" t="s">
        <v>165</v>
      </c>
      <c r="Q46" s="281"/>
    </row>
    <row r="47" spans="3:17" x14ac:dyDescent="0.25">
      <c r="C47" s="25"/>
      <c r="D47" s="52" t="s">
        <v>82</v>
      </c>
      <c r="E47" s="52"/>
      <c r="F47" s="29">
        <f>SUM(F34:F46)</f>
        <v>357</v>
      </c>
      <c r="G47" s="27" t="s">
        <v>82</v>
      </c>
      <c r="H47" s="243">
        <f>SUM(H34:H46)</f>
        <v>357</v>
      </c>
      <c r="I47" s="286">
        <f>SUM(I34:I46)+4.5</f>
        <v>10.5</v>
      </c>
      <c r="J47" s="286">
        <f t="shared" ref="J47:O47" si="2">SUM(J34:J46)</f>
        <v>4.5</v>
      </c>
      <c r="K47" s="286">
        <f t="shared" si="2"/>
        <v>10.5</v>
      </c>
      <c r="L47" s="27">
        <f t="shared" si="2"/>
        <v>30</v>
      </c>
      <c r="M47" s="27">
        <f t="shared" si="2"/>
        <v>30</v>
      </c>
      <c r="N47" s="27">
        <f t="shared" si="2"/>
        <v>30</v>
      </c>
      <c r="O47" s="27">
        <f t="shared" si="2"/>
        <v>30</v>
      </c>
      <c r="P47" s="27"/>
      <c r="Q47" s="27"/>
    </row>
    <row r="48" spans="3:17" x14ac:dyDescent="0.25">
      <c r="C48" s="54"/>
      <c r="D48" s="53" t="s">
        <v>114</v>
      </c>
      <c r="E48" s="53"/>
      <c r="F48" s="21">
        <f>F47+F33+F18</f>
        <v>1071</v>
      </c>
      <c r="G48" s="22"/>
      <c r="H48" s="21">
        <f>H47+H33+H18</f>
        <v>1071</v>
      </c>
      <c r="I48" s="22"/>
      <c r="J48" s="21"/>
      <c r="K48" s="21"/>
      <c r="L48" s="21"/>
      <c r="M48" s="21"/>
      <c r="N48" s="21"/>
      <c r="O48" s="21"/>
      <c r="P48" s="21"/>
      <c r="Q48" s="21"/>
    </row>
    <row r="49" spans="3:17" s="262" customFormat="1" x14ac:dyDescent="0.25">
      <c r="C49" s="108"/>
      <c r="D49" s="298"/>
      <c r="E49" s="298"/>
      <c r="F49" s="299"/>
      <c r="G49" s="300"/>
      <c r="H49" s="299"/>
      <c r="I49" s="300"/>
      <c r="J49" s="299"/>
      <c r="K49" s="299"/>
      <c r="L49" s="299"/>
      <c r="M49" s="299"/>
      <c r="N49" s="299"/>
      <c r="O49" s="299"/>
      <c r="P49" s="299"/>
      <c r="Q49" s="299"/>
    </row>
    <row r="50" spans="3:17" ht="63.75" customHeight="1" x14ac:dyDescent="0.25">
      <c r="H50" s="297" t="s">
        <v>1271</v>
      </c>
      <c r="I50" s="297" t="s">
        <v>1272</v>
      </c>
    </row>
    <row r="51" spans="3:17" x14ac:dyDescent="0.25">
      <c r="G51" s="297" t="s">
        <v>1264</v>
      </c>
      <c r="H51" s="297">
        <f>H18/14</f>
        <v>25.5</v>
      </c>
      <c r="I51" s="297">
        <f>SUM(I18:K18)</f>
        <v>25.5</v>
      </c>
    </row>
    <row r="52" spans="3:17" x14ac:dyDescent="0.25">
      <c r="G52" s="297" t="s">
        <v>1265</v>
      </c>
      <c r="H52" s="297">
        <f>H33/14</f>
        <v>25.5</v>
      </c>
      <c r="I52" s="297">
        <f>SUM(I33:K33)</f>
        <v>25.5</v>
      </c>
    </row>
    <row r="53" spans="3:17" x14ac:dyDescent="0.25">
      <c r="G53" s="297" t="s">
        <v>1266</v>
      </c>
      <c r="H53" s="297">
        <f>H47/14</f>
        <v>25.5</v>
      </c>
      <c r="I53" s="297">
        <f>SUM(I47:K47)</f>
        <v>25.5</v>
      </c>
    </row>
    <row r="54" spans="3:17" x14ac:dyDescent="0.25">
      <c r="G54" s="262"/>
    </row>
  </sheetData>
  <mergeCells count="52">
    <mergeCell ref="E12:E13"/>
    <mergeCell ref="D8:D9"/>
    <mergeCell ref="E8:E9"/>
    <mergeCell ref="F8:F9"/>
    <mergeCell ref="M8:M9"/>
    <mergeCell ref="O8:O9"/>
    <mergeCell ref="Q5:Q6"/>
    <mergeCell ref="M41:M42"/>
    <mergeCell ref="O41:O42"/>
    <mergeCell ref="M43:M44"/>
    <mergeCell ref="O43:O44"/>
    <mergeCell ref="M27:M28"/>
    <mergeCell ref="O27:O28"/>
    <mergeCell ref="M29:M30"/>
    <mergeCell ref="O29:O30"/>
    <mergeCell ref="M31:M32"/>
    <mergeCell ref="O31:O32"/>
    <mergeCell ref="M19:M21"/>
    <mergeCell ref="O19:O21"/>
    <mergeCell ref="M22:M23"/>
    <mergeCell ref="O22:O23"/>
    <mergeCell ref="M24:M26"/>
    <mergeCell ref="M45:M46"/>
    <mergeCell ref="O45:O46"/>
    <mergeCell ref="M34:M36"/>
    <mergeCell ref="O34:O36"/>
    <mergeCell ref="M37:M38"/>
    <mergeCell ref="O37:O38"/>
    <mergeCell ref="O39:O40"/>
    <mergeCell ref="M39:M40"/>
    <mergeCell ref="O24:O26"/>
    <mergeCell ref="O10:O11"/>
    <mergeCell ref="M12:M13"/>
    <mergeCell ref="O12:O13"/>
    <mergeCell ref="M16:M17"/>
    <mergeCell ref="O16:O17"/>
    <mergeCell ref="M14:M15"/>
    <mergeCell ref="O14:O15"/>
    <mergeCell ref="C19:C32"/>
    <mergeCell ref="C34:C46"/>
    <mergeCell ref="D2:Q2"/>
    <mergeCell ref="C4:C6"/>
    <mergeCell ref="D5:D6"/>
    <mergeCell ref="E5:E6"/>
    <mergeCell ref="F5:F6"/>
    <mergeCell ref="G5:G6"/>
    <mergeCell ref="H5:K5"/>
    <mergeCell ref="M5:M6"/>
    <mergeCell ref="O5:O6"/>
    <mergeCell ref="H4:K4"/>
    <mergeCell ref="C7:C17"/>
    <mergeCell ref="M10:M11"/>
  </mergeCells>
  <conditionalFormatting sqref="E30:E32 E44:E46 G44 G16:G17">
    <cfRule type="colorScale" priority="9">
      <colorScale>
        <cfvo type="num" val="0"/>
        <cfvo type="num" val="0"/>
        <color rgb="FFFF0000"/>
        <color rgb="FF00B050"/>
      </colorScale>
    </cfRule>
  </conditionalFormatting>
  <conditionalFormatting sqref="G31:G32">
    <cfRule type="colorScale" priority="2">
      <colorScale>
        <cfvo type="num" val="0"/>
        <cfvo type="num" val="0"/>
        <color rgb="FFFF0000"/>
        <color rgb="FF00B050"/>
      </colorScale>
    </cfRule>
  </conditionalFormatting>
  <conditionalFormatting sqref="G45:G46">
    <cfRule type="colorScale" priority="1">
      <colorScale>
        <cfvo type="num" val="0"/>
        <cfvo type="num" val="0"/>
        <color rgb="FFFF0000"/>
        <color rgb="FF00B050"/>
      </colorScale>
    </cfRule>
  </conditionalFormatting>
  <hyperlinks>
    <hyperlink ref="G7" location="AtAdminSystem" display="Atelier Administration Systèmes"/>
    <hyperlink ref="G8" location="RLETCPIP" display="Réseaux Locaux et architecture TCP/IP"/>
    <hyperlink ref="G9" location="AtReseauTCPIP" display="Atelier Réseaux locaux et TCP/IP"/>
    <hyperlink ref="G10" location="BaseDonnées" display="Bases de Données"/>
    <hyperlink ref="G11" location="AtBaseDonnées" display="Atelier bases de données"/>
    <hyperlink ref="G12" location="ProgObjet" display="Programmation Objet"/>
    <hyperlink ref="G13" location="AtProgAobjet" display="Atelier Programmation Objet"/>
    <hyperlink ref="G14" location="HigTechEnglish" display="High tech english "/>
    <hyperlink ref="G15" location="CommEntreprise" display="Communication en entreprise"/>
    <hyperlink ref="G19" location="RoutageIP" display="Routage IP"/>
    <hyperlink ref="G20" location="ProtocolIPV6" display="Protocole IPv6"/>
    <hyperlink ref="G21" location="AtInterconnexion" display="Atelier Interconnexion des Réseaux"/>
    <hyperlink ref="G22" location="AdmServiceReseau" display="Administration des services réseaux"/>
    <hyperlink ref="G23" location="AtAdmServReseau" display="Atelier Administration des services réseau"/>
    <hyperlink ref="G24" location="IntroVirtualisation" display="Introduction virtualisation et cloud"/>
    <hyperlink ref="G25" location="AtCloud" display="Atelier virtualisation et cloud"/>
    <hyperlink ref="G26" location="ProjetIntegration" display="Projet d’Intégration"/>
    <hyperlink ref="G27" location="AdminBDonnées" display="Administration BD"/>
    <hyperlink ref="G28" location="AtAdminBD" display="Atelier Administration BD"/>
    <hyperlink ref="G29" location="BusinessEnglish" display="Business english"/>
    <hyperlink ref="G30" location="EtudeMgProjetInnov" display="Etude et management de projets innovants"/>
    <hyperlink ref="G34" location="IntroIoT" display="Introduction à l’Internet des Objets"/>
    <hyperlink ref="G35" location="TechWan" display="Technologies WAN"/>
    <hyperlink ref="G36" location="AtTechWan" display="Atelier Technologies WAN"/>
    <hyperlink ref="G37" location="SecSystReseau" display="Sécurité systèmes et réseaux"/>
    <hyperlink ref="G38" location="AtSecSystReseau" display="Atelier Sécurité Systèmes et réseaux"/>
    <hyperlink ref="G39" location="GestDataCenter" display="Gestion d’un Data Center"/>
    <hyperlink ref="G40" location="AtCloud" display="Atelier cloud Computing (PaaS, SaaS)"/>
    <hyperlink ref="G41" location="AtConceptionGestion" display="Atelier conception et gestion de projets"/>
    <hyperlink ref="G42" location="ProjetIntegS5" display="ProjetIntegS5"/>
    <hyperlink ref="G43" location="TOIEC" display="Preparing TOEIC "/>
    <hyperlink ref="G44" location="TechRechEmploi" display="Technique de recherche d'emploi et marketing de soi "/>
  </hyperlink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B2:BB19"/>
  <sheetViews>
    <sheetView topLeftCell="S5" zoomScale="70" zoomScaleNormal="70" workbookViewId="0">
      <selection activeCell="AC17" sqref="AC17"/>
    </sheetView>
  </sheetViews>
  <sheetFormatPr baseColWidth="10" defaultColWidth="8.7109375" defaultRowHeight="15" x14ac:dyDescent="0.25"/>
  <cols>
    <col min="1" max="1" width="8.7109375" style="1"/>
    <col min="2" max="4" width="6" style="1" bestFit="1" customWidth="1"/>
    <col min="5" max="5" width="3.28515625" style="1" bestFit="1" customWidth="1"/>
    <col min="6" max="6" width="6" style="1" bestFit="1" customWidth="1"/>
    <col min="7" max="7" width="7.28515625" style="1" customWidth="1"/>
    <col min="8" max="8" width="10.7109375" style="1" customWidth="1"/>
    <col min="9" max="11" width="6" style="1" customWidth="1"/>
    <col min="12" max="13" width="10.5703125" style="1" customWidth="1"/>
    <col min="14" max="15" width="6" style="1" bestFit="1" customWidth="1"/>
    <col min="16" max="16" width="3.28515625" style="1" customWidth="1"/>
    <col min="17" max="18" width="8.28515625" style="1" customWidth="1"/>
    <col min="19" max="19" width="6" style="1" bestFit="1" customWidth="1"/>
    <col min="20" max="20" width="3.28515625" style="1" bestFit="1" customWidth="1"/>
    <col min="21" max="26" width="6" style="1" bestFit="1" customWidth="1"/>
    <col min="27" max="27" width="8.5703125" style="1" bestFit="1" customWidth="1"/>
    <col min="28" max="28" width="26.28515625" style="1" bestFit="1" customWidth="1"/>
    <col min="29" max="29" width="22.42578125" style="1" customWidth="1"/>
    <col min="30" max="30" width="8.42578125" style="1" customWidth="1"/>
    <col min="31" max="31" width="8.28515625" style="1" customWidth="1"/>
    <col min="32" max="32" width="7.85546875" style="1" customWidth="1"/>
    <col min="33" max="33" width="8.42578125" style="1" customWidth="1"/>
    <col min="34" max="34" width="5.42578125" style="1" bestFit="1" customWidth="1"/>
    <col min="35" max="35" width="3.140625" style="1" bestFit="1" customWidth="1"/>
    <col min="36" max="36" width="5.42578125" style="1" bestFit="1" customWidth="1"/>
    <col min="37" max="38" width="7.85546875" style="1" customWidth="1"/>
    <col min="39" max="39" width="8.28515625" style="1" customWidth="1"/>
    <col min="40" max="40" width="7.85546875" style="1" customWidth="1"/>
    <col min="41" max="42" width="6.28515625" style="1" customWidth="1"/>
    <col min="43" max="44" width="7.85546875" style="1" customWidth="1"/>
    <col min="45" max="46" width="10.28515625" style="1" customWidth="1"/>
    <col min="47" max="47" width="12" style="1" customWidth="1"/>
    <col min="48" max="50" width="5.42578125" style="1" customWidth="1"/>
    <col min="51" max="51" width="11.85546875" style="1" customWidth="1"/>
    <col min="52" max="52" width="8.42578125" style="1" customWidth="1"/>
    <col min="53" max="53" width="7.7109375" style="1" customWidth="1"/>
    <col min="54" max="54" width="11.7109375" style="1" customWidth="1"/>
    <col min="55" max="16384" width="8.7109375" style="1"/>
  </cols>
  <sheetData>
    <row r="2" spans="2:54" x14ac:dyDescent="0.25">
      <c r="B2" s="347" t="s">
        <v>119</v>
      </c>
      <c r="C2" s="347"/>
      <c r="D2" s="347"/>
      <c r="E2" s="347"/>
      <c r="F2" s="347"/>
      <c r="G2" s="347"/>
      <c r="H2" s="347"/>
      <c r="I2" s="347"/>
      <c r="J2" s="347"/>
      <c r="K2" s="347"/>
      <c r="L2" s="347"/>
      <c r="M2" s="347"/>
      <c r="N2" s="347"/>
      <c r="O2" s="347"/>
      <c r="P2" s="347"/>
      <c r="Q2" s="347"/>
      <c r="R2" s="347"/>
      <c r="S2" s="347"/>
      <c r="T2" s="347"/>
      <c r="U2" s="347"/>
      <c r="V2" s="347"/>
      <c r="W2" s="347"/>
      <c r="X2" s="347"/>
      <c r="Y2" s="347"/>
      <c r="Z2" s="347"/>
      <c r="AA2" s="347"/>
      <c r="AB2" s="348" t="s">
        <v>120</v>
      </c>
      <c r="AC2" s="349" t="s">
        <v>121</v>
      </c>
      <c r="AD2" s="350" t="s">
        <v>122</v>
      </c>
      <c r="AE2" s="350"/>
      <c r="AF2" s="350"/>
      <c r="AG2" s="350"/>
      <c r="AH2" s="350"/>
      <c r="AI2" s="350"/>
      <c r="AJ2" s="350"/>
      <c r="AK2" s="350"/>
      <c r="AL2" s="350"/>
      <c r="AM2" s="350"/>
      <c r="AN2" s="350"/>
      <c r="AO2" s="350"/>
      <c r="AP2" s="350"/>
      <c r="AQ2" s="350"/>
      <c r="AR2" s="350"/>
      <c r="AS2" s="350"/>
      <c r="AT2" s="350"/>
      <c r="AU2" s="350"/>
      <c r="AV2" s="342" t="s">
        <v>123</v>
      </c>
      <c r="AW2" s="342"/>
      <c r="AX2" s="342"/>
      <c r="AY2" s="342"/>
      <c r="AZ2" s="342"/>
      <c r="BA2" s="342"/>
      <c r="BB2" s="342"/>
    </row>
    <row r="3" spans="2:54" x14ac:dyDescent="0.25">
      <c r="B3" s="343" t="s">
        <v>124</v>
      </c>
      <c r="C3" s="343"/>
      <c r="D3" s="343"/>
      <c r="E3" s="343"/>
      <c r="F3" s="343"/>
      <c r="G3" s="343"/>
      <c r="H3" s="343"/>
      <c r="I3" s="343" t="s">
        <v>125</v>
      </c>
      <c r="J3" s="343"/>
      <c r="K3" s="343"/>
      <c r="L3" s="343"/>
      <c r="M3" s="343"/>
      <c r="N3" s="343"/>
      <c r="O3" s="343"/>
      <c r="P3" s="343"/>
      <c r="Q3" s="343"/>
      <c r="R3" s="343"/>
      <c r="S3" s="343" t="s">
        <v>126</v>
      </c>
      <c r="T3" s="343"/>
      <c r="U3" s="343"/>
      <c r="V3" s="343"/>
      <c r="W3" s="343"/>
      <c r="X3" s="343"/>
      <c r="Y3" s="343"/>
      <c r="Z3" s="343"/>
      <c r="AA3" s="343"/>
      <c r="AB3" s="348"/>
      <c r="AC3" s="349"/>
      <c r="AD3" s="345" t="s">
        <v>127</v>
      </c>
      <c r="AE3" s="345"/>
      <c r="AF3" s="345"/>
      <c r="AG3" s="345"/>
      <c r="AH3" s="345"/>
      <c r="AI3" s="345"/>
      <c r="AJ3" s="345"/>
      <c r="AK3" s="345"/>
      <c r="AL3" s="345"/>
      <c r="AM3" s="345" t="s">
        <v>128</v>
      </c>
      <c r="AN3" s="345"/>
      <c r="AO3" s="345"/>
      <c r="AP3" s="345"/>
      <c r="AQ3" s="345"/>
      <c r="AR3" s="345"/>
      <c r="AS3" s="345"/>
      <c r="AT3" s="345"/>
      <c r="AU3" s="345"/>
      <c r="AV3" s="346" t="s">
        <v>128</v>
      </c>
      <c r="AW3" s="346"/>
      <c r="AX3" s="346"/>
      <c r="AY3" s="113" t="s">
        <v>124</v>
      </c>
      <c r="AZ3" s="346" t="s">
        <v>125</v>
      </c>
      <c r="BA3" s="346"/>
      <c r="BB3" s="114" t="s">
        <v>126</v>
      </c>
    </row>
    <row r="4" spans="2:54" ht="82.5" customHeight="1" x14ac:dyDescent="0.25">
      <c r="B4" s="112" t="s">
        <v>69</v>
      </c>
      <c r="C4" s="112"/>
      <c r="D4" s="112"/>
      <c r="E4" s="112" t="s">
        <v>73</v>
      </c>
      <c r="F4" s="112"/>
      <c r="G4" s="112" t="s">
        <v>76</v>
      </c>
      <c r="H4" s="112"/>
      <c r="I4" s="112" t="s">
        <v>84</v>
      </c>
      <c r="J4" s="112"/>
      <c r="K4" s="112"/>
      <c r="L4" s="112" t="s">
        <v>194</v>
      </c>
      <c r="M4" s="112"/>
      <c r="N4" s="112" t="s">
        <v>90</v>
      </c>
      <c r="O4" s="112"/>
      <c r="P4" s="112"/>
      <c r="Q4" s="112" t="s">
        <v>94</v>
      </c>
      <c r="R4" s="112"/>
      <c r="S4" s="112" t="s">
        <v>101</v>
      </c>
      <c r="T4" s="112"/>
      <c r="U4" s="112"/>
      <c r="V4" s="112" t="s">
        <v>104</v>
      </c>
      <c r="W4" s="112"/>
      <c r="X4" s="112" t="s">
        <v>107</v>
      </c>
      <c r="Y4" s="112"/>
      <c r="Z4" s="112" t="s">
        <v>92</v>
      </c>
      <c r="AA4" s="112"/>
      <c r="AB4" s="348"/>
      <c r="AC4" s="349"/>
      <c r="AD4" s="344" t="s">
        <v>129</v>
      </c>
      <c r="AE4" s="344"/>
      <c r="AF4" s="344" t="s">
        <v>130</v>
      </c>
      <c r="AG4" s="344"/>
      <c r="AH4" s="344" t="s">
        <v>131</v>
      </c>
      <c r="AI4" s="344"/>
      <c r="AJ4" s="344"/>
      <c r="AK4" s="344" t="s">
        <v>132</v>
      </c>
      <c r="AL4" s="344"/>
      <c r="AM4" s="344" t="s">
        <v>133</v>
      </c>
      <c r="AN4" s="344"/>
      <c r="AO4" s="344" t="s">
        <v>134</v>
      </c>
      <c r="AP4" s="344"/>
      <c r="AQ4" s="344" t="s">
        <v>135</v>
      </c>
      <c r="AR4" s="344"/>
      <c r="AS4" s="344" t="s">
        <v>136</v>
      </c>
      <c r="AT4" s="344"/>
      <c r="AU4" s="115" t="s">
        <v>515</v>
      </c>
      <c r="AV4" s="114"/>
      <c r="AW4" s="114"/>
      <c r="AX4" s="114"/>
      <c r="AY4" s="113"/>
      <c r="AZ4" s="114"/>
      <c r="BA4" s="114"/>
      <c r="BB4" s="114"/>
    </row>
    <row r="5" spans="2:54" ht="120" customHeight="1" x14ac:dyDescent="0.25">
      <c r="B5" s="116" t="s">
        <v>68</v>
      </c>
      <c r="C5" s="116" t="s">
        <v>70</v>
      </c>
      <c r="D5" s="116" t="s">
        <v>71</v>
      </c>
      <c r="E5" s="116" t="s">
        <v>72</v>
      </c>
      <c r="F5" s="116" t="s">
        <v>74</v>
      </c>
      <c r="G5" s="116" t="s">
        <v>75</v>
      </c>
      <c r="H5" s="116" t="s">
        <v>77</v>
      </c>
      <c r="I5" s="116" t="s">
        <v>83</v>
      </c>
      <c r="J5" s="116" t="s">
        <v>85</v>
      </c>
      <c r="K5" s="116" t="s">
        <v>86</v>
      </c>
      <c r="L5" s="116" t="s">
        <v>87</v>
      </c>
      <c r="M5" s="116" t="s">
        <v>137</v>
      </c>
      <c r="N5" s="116" t="s">
        <v>89</v>
      </c>
      <c r="O5" s="116" t="s">
        <v>91</v>
      </c>
      <c r="P5" s="116" t="s">
        <v>138</v>
      </c>
      <c r="Q5" s="116" t="s">
        <v>93</v>
      </c>
      <c r="R5" s="116" t="s">
        <v>95</v>
      </c>
      <c r="S5" s="116" t="s">
        <v>100</v>
      </c>
      <c r="T5" s="116" t="s">
        <v>102</v>
      </c>
      <c r="U5" s="116" t="s">
        <v>103</v>
      </c>
      <c r="V5" s="116" t="s">
        <v>104</v>
      </c>
      <c r="W5" s="116" t="s">
        <v>105</v>
      </c>
      <c r="X5" s="116" t="s">
        <v>106</v>
      </c>
      <c r="Y5" s="116" t="s">
        <v>108</v>
      </c>
      <c r="Z5" s="116" t="s">
        <v>109</v>
      </c>
      <c r="AA5" s="116" t="s">
        <v>110</v>
      </c>
      <c r="AB5" s="348"/>
      <c r="AC5" s="349"/>
      <c r="AD5" s="117" t="s">
        <v>139</v>
      </c>
      <c r="AE5" s="117" t="s">
        <v>140</v>
      </c>
      <c r="AF5" s="117" t="s">
        <v>141</v>
      </c>
      <c r="AG5" s="117" t="s">
        <v>142</v>
      </c>
      <c r="AH5" s="117" t="s">
        <v>143</v>
      </c>
      <c r="AI5" s="117" t="s">
        <v>144</v>
      </c>
      <c r="AJ5" s="117" t="s">
        <v>145</v>
      </c>
      <c r="AK5" s="117" t="s">
        <v>146</v>
      </c>
      <c r="AL5" s="117" t="s">
        <v>147</v>
      </c>
      <c r="AM5" s="117" t="s">
        <v>148</v>
      </c>
      <c r="AN5" s="117" t="s">
        <v>149</v>
      </c>
      <c r="AO5" s="117" t="s">
        <v>150</v>
      </c>
      <c r="AP5" s="117" t="s">
        <v>151</v>
      </c>
      <c r="AQ5" s="117" t="s">
        <v>152</v>
      </c>
      <c r="AR5" s="117" t="s">
        <v>153</v>
      </c>
      <c r="AS5" s="117" t="s">
        <v>154</v>
      </c>
      <c r="AT5" s="117" t="s">
        <v>155</v>
      </c>
      <c r="AU5" s="117" t="s">
        <v>156</v>
      </c>
      <c r="AV5" s="118" t="s">
        <v>157</v>
      </c>
      <c r="AW5" s="118" t="s">
        <v>157</v>
      </c>
      <c r="AX5" s="118" t="s">
        <v>158</v>
      </c>
      <c r="AY5" s="118" t="s">
        <v>159</v>
      </c>
      <c r="AZ5" s="118" t="s">
        <v>160</v>
      </c>
      <c r="BA5" s="118" t="s">
        <v>161</v>
      </c>
      <c r="BB5" s="118" t="s">
        <v>162</v>
      </c>
    </row>
    <row r="6" spans="2:54" ht="30" x14ac:dyDescent="0.25">
      <c r="B6" s="101"/>
      <c r="C6" s="101"/>
      <c r="D6" s="101"/>
      <c r="E6" s="102"/>
      <c r="F6" s="102"/>
      <c r="G6" s="102"/>
      <c r="H6" s="102"/>
      <c r="I6" s="102"/>
      <c r="J6" s="102"/>
      <c r="K6" s="102"/>
      <c r="L6" s="102"/>
      <c r="M6" s="102"/>
      <c r="N6" s="102"/>
      <c r="O6" s="102"/>
      <c r="P6" s="102" t="s">
        <v>163</v>
      </c>
      <c r="Q6" s="102"/>
      <c r="R6" s="102"/>
      <c r="S6" s="102"/>
      <c r="T6" s="102"/>
      <c r="U6" s="102"/>
      <c r="V6" s="102"/>
      <c r="W6" s="102"/>
      <c r="X6" s="102"/>
      <c r="Y6" s="102"/>
      <c r="Z6" s="102"/>
      <c r="AA6" s="102"/>
      <c r="AB6" s="105" t="s">
        <v>164</v>
      </c>
      <c r="AC6" s="103" t="s">
        <v>125</v>
      </c>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row>
    <row r="7" spans="2:54" x14ac:dyDescent="0.25">
      <c r="B7" s="102"/>
      <c r="C7" s="102"/>
      <c r="D7" s="102"/>
      <c r="E7" s="102"/>
      <c r="F7" s="102"/>
      <c r="G7" s="102"/>
      <c r="H7" s="102"/>
      <c r="I7" s="102"/>
      <c r="J7" s="102"/>
      <c r="K7" s="102"/>
      <c r="L7" s="102"/>
      <c r="M7" s="102"/>
      <c r="N7" s="102"/>
      <c r="O7" s="102"/>
      <c r="P7" s="102" t="s">
        <v>163</v>
      </c>
      <c r="Q7" s="102" t="s">
        <v>163</v>
      </c>
      <c r="R7" s="102" t="s">
        <v>163</v>
      </c>
      <c r="S7" s="102"/>
      <c r="T7" s="102"/>
      <c r="U7" s="102"/>
      <c r="V7" s="102"/>
      <c r="W7" s="102"/>
      <c r="X7" s="102"/>
      <c r="Y7" s="102"/>
      <c r="Z7" s="102"/>
      <c r="AA7" s="102"/>
      <c r="AB7" s="105" t="s">
        <v>500</v>
      </c>
      <c r="AC7" s="104" t="s">
        <v>124</v>
      </c>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row>
    <row r="8" spans="2:54" x14ac:dyDescent="0.25">
      <c r="B8" s="102" t="s">
        <v>163</v>
      </c>
      <c r="C8" s="102" t="s">
        <v>163</v>
      </c>
      <c r="D8" s="102" t="s">
        <v>163</v>
      </c>
      <c r="E8" s="102"/>
      <c r="F8" s="102"/>
      <c r="G8" s="102"/>
      <c r="H8" s="102"/>
      <c r="I8" s="102"/>
      <c r="J8" s="102" t="s">
        <v>163</v>
      </c>
      <c r="K8" s="102"/>
      <c r="L8" s="102" t="s">
        <v>165</v>
      </c>
      <c r="M8" s="102"/>
      <c r="N8" s="102"/>
      <c r="O8" s="102"/>
      <c r="P8" s="102"/>
      <c r="Q8" s="102"/>
      <c r="R8" s="102"/>
      <c r="S8" s="102" t="s">
        <v>163</v>
      </c>
      <c r="T8" s="102"/>
      <c r="U8" s="102"/>
      <c r="V8" s="102"/>
      <c r="W8" s="102"/>
      <c r="X8" s="102"/>
      <c r="Y8" s="102"/>
      <c r="Z8" s="102"/>
      <c r="AA8" s="102"/>
      <c r="AB8" s="105" t="s">
        <v>495</v>
      </c>
      <c r="AC8" s="104" t="s">
        <v>166</v>
      </c>
      <c r="AD8" s="102"/>
      <c r="AE8" s="102"/>
      <c r="AF8" s="102"/>
      <c r="AG8" s="102"/>
      <c r="AH8" s="102"/>
      <c r="AI8" s="102"/>
      <c r="AJ8" s="102"/>
      <c r="AK8" s="102"/>
      <c r="AL8" s="102"/>
      <c r="AM8" s="102"/>
      <c r="AN8" s="17"/>
      <c r="AO8" s="102"/>
      <c r="AP8" s="102"/>
      <c r="AQ8" s="102"/>
      <c r="AR8" s="102"/>
      <c r="AS8" s="102"/>
      <c r="AT8" s="102"/>
      <c r="AU8" s="102" t="s">
        <v>165</v>
      </c>
      <c r="AV8" s="102"/>
      <c r="AW8" s="102"/>
      <c r="AX8" s="102"/>
      <c r="AY8" s="102"/>
      <c r="AZ8" s="102"/>
      <c r="BA8" s="102"/>
      <c r="BB8" s="102"/>
    </row>
    <row r="9" spans="2:54" x14ac:dyDescent="0.25">
      <c r="B9" s="102"/>
      <c r="C9" s="102"/>
      <c r="D9" s="102"/>
      <c r="E9" s="102"/>
      <c r="F9" s="102"/>
      <c r="G9" s="102"/>
      <c r="H9" s="102"/>
      <c r="I9" s="102"/>
      <c r="J9" s="102"/>
      <c r="K9" s="102"/>
      <c r="L9" s="102"/>
      <c r="M9" s="102"/>
      <c r="N9" s="102"/>
      <c r="O9" s="102"/>
      <c r="P9" s="102"/>
      <c r="Q9" s="102"/>
      <c r="R9" s="102"/>
      <c r="S9" s="102"/>
      <c r="T9" s="102" t="s">
        <v>163</v>
      </c>
      <c r="U9" s="102" t="s">
        <v>163</v>
      </c>
      <c r="V9" s="102" t="s">
        <v>163</v>
      </c>
      <c r="W9" s="102"/>
      <c r="X9" s="102"/>
      <c r="Y9" s="102"/>
      <c r="Z9" s="102"/>
      <c r="AA9" s="102" t="s">
        <v>165</v>
      </c>
      <c r="AB9" s="105" t="s">
        <v>505</v>
      </c>
      <c r="AC9" s="104" t="s">
        <v>125</v>
      </c>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row>
    <row r="10" spans="2:54" ht="30" x14ac:dyDescent="0.25">
      <c r="B10" s="102"/>
      <c r="C10" s="102"/>
      <c r="D10" s="102"/>
      <c r="E10" s="102"/>
      <c r="F10" s="102"/>
      <c r="G10" s="102"/>
      <c r="H10" s="102"/>
      <c r="I10" s="102"/>
      <c r="J10" s="102" t="s">
        <v>163</v>
      </c>
      <c r="K10" s="102"/>
      <c r="L10" s="102"/>
      <c r="M10" s="102"/>
      <c r="N10" s="102"/>
      <c r="O10" s="102"/>
      <c r="P10" s="102"/>
      <c r="Q10" s="102"/>
      <c r="R10" s="102"/>
      <c r="S10" s="102" t="s">
        <v>163</v>
      </c>
      <c r="T10" s="102"/>
      <c r="U10" s="102"/>
      <c r="V10" s="102"/>
      <c r="W10" s="102"/>
      <c r="X10" s="102"/>
      <c r="Y10" s="102"/>
      <c r="Z10" s="102"/>
      <c r="AA10" s="102"/>
      <c r="AB10" s="105" t="s">
        <v>70</v>
      </c>
      <c r="AC10" s="104" t="s">
        <v>124</v>
      </c>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row>
    <row r="11" spans="2:54" ht="30" x14ac:dyDescent="0.25">
      <c r="B11" s="102"/>
      <c r="C11" s="102"/>
      <c r="D11" s="102"/>
      <c r="E11" s="102"/>
      <c r="F11" s="102"/>
      <c r="G11" s="102"/>
      <c r="H11" s="102"/>
      <c r="I11" s="102"/>
      <c r="J11" s="102" t="s">
        <v>165</v>
      </c>
      <c r="K11" s="102" t="s">
        <v>165</v>
      </c>
      <c r="L11" s="102" t="s">
        <v>163</v>
      </c>
      <c r="M11" s="102" t="s">
        <v>165</v>
      </c>
      <c r="N11" s="102" t="s">
        <v>163</v>
      </c>
      <c r="O11" s="102" t="s">
        <v>163</v>
      </c>
      <c r="P11" s="102" t="s">
        <v>165</v>
      </c>
      <c r="Q11" s="102"/>
      <c r="R11" s="102"/>
      <c r="S11" s="102"/>
      <c r="T11" s="102" t="s">
        <v>163</v>
      </c>
      <c r="U11" s="102"/>
      <c r="V11" s="102"/>
      <c r="W11" s="102"/>
      <c r="X11" s="102"/>
      <c r="Y11" s="102"/>
      <c r="Z11" s="102"/>
      <c r="AA11" s="102"/>
      <c r="AB11" s="105" t="s">
        <v>167</v>
      </c>
      <c r="AC11" s="104" t="s">
        <v>124</v>
      </c>
      <c r="AD11" s="102"/>
      <c r="AE11" s="102"/>
      <c r="AF11" s="102"/>
      <c r="AG11" s="102"/>
      <c r="AH11" s="102"/>
      <c r="AI11" s="102"/>
      <c r="AJ11" s="102"/>
      <c r="AK11" s="102"/>
      <c r="AL11" s="102"/>
      <c r="AM11" s="102"/>
      <c r="AN11" s="102"/>
      <c r="AO11" s="102"/>
      <c r="AP11" s="102"/>
      <c r="AQ11" s="102"/>
      <c r="AR11" s="102"/>
      <c r="AS11" s="102"/>
      <c r="AT11" s="102"/>
      <c r="AU11" s="102" t="s">
        <v>163</v>
      </c>
      <c r="AV11" s="102"/>
      <c r="AW11" s="102"/>
      <c r="AX11" s="102"/>
      <c r="AY11" s="102"/>
      <c r="AZ11" s="102"/>
      <c r="BA11" s="102"/>
      <c r="BB11" s="102"/>
    </row>
    <row r="12" spans="2:54" x14ac:dyDescent="0.25">
      <c r="B12" s="102" t="s">
        <v>165</v>
      </c>
      <c r="C12" s="102"/>
      <c r="D12" s="102"/>
      <c r="E12" s="102"/>
      <c r="F12" s="102"/>
      <c r="G12" s="102"/>
      <c r="H12" s="102"/>
      <c r="I12" s="102" t="s">
        <v>165</v>
      </c>
      <c r="J12" s="102" t="s">
        <v>163</v>
      </c>
      <c r="K12" s="102" t="s">
        <v>163</v>
      </c>
      <c r="L12" s="102" t="s">
        <v>163</v>
      </c>
      <c r="M12" s="102" t="s">
        <v>163</v>
      </c>
      <c r="N12" s="102" t="s">
        <v>163</v>
      </c>
      <c r="O12" s="102" t="s">
        <v>163</v>
      </c>
      <c r="P12" s="102" t="s">
        <v>163</v>
      </c>
      <c r="Q12" s="102"/>
      <c r="R12" s="102"/>
      <c r="S12" s="102"/>
      <c r="T12" s="102"/>
      <c r="U12" s="102"/>
      <c r="V12" s="102"/>
      <c r="W12" s="102" t="s">
        <v>165</v>
      </c>
      <c r="X12" s="102"/>
      <c r="Y12" s="102" t="s">
        <v>163</v>
      </c>
      <c r="Z12" s="102"/>
      <c r="AA12" s="102" t="s">
        <v>163</v>
      </c>
      <c r="AB12" s="105" t="s">
        <v>485</v>
      </c>
      <c r="AC12" s="104" t="s">
        <v>124</v>
      </c>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row>
    <row r="13" spans="2:54" ht="30" x14ac:dyDescent="0.25">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t="s">
        <v>165</v>
      </c>
      <c r="AB13" s="105" t="s">
        <v>513</v>
      </c>
      <c r="AC13" s="104" t="s">
        <v>126</v>
      </c>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spans="2:54" ht="30" x14ac:dyDescent="0.25">
      <c r="B14" s="102"/>
      <c r="C14" s="102"/>
      <c r="D14" s="102"/>
      <c r="E14" s="102" t="s">
        <v>163</v>
      </c>
      <c r="F14" s="102" t="s">
        <v>163</v>
      </c>
      <c r="G14" s="102" t="s">
        <v>163</v>
      </c>
      <c r="H14" s="102" t="s">
        <v>163</v>
      </c>
      <c r="I14" s="102"/>
      <c r="J14" s="102"/>
      <c r="K14" s="102"/>
      <c r="L14" s="102"/>
      <c r="M14" s="102"/>
      <c r="N14" s="102"/>
      <c r="O14" s="102"/>
      <c r="P14" s="102"/>
      <c r="Q14" s="102"/>
      <c r="R14" s="102"/>
      <c r="S14" s="102"/>
      <c r="T14" s="102"/>
      <c r="U14" s="102"/>
      <c r="V14" s="102"/>
      <c r="W14" s="102"/>
      <c r="X14" s="102"/>
      <c r="Y14" s="102"/>
      <c r="Z14" s="102"/>
      <c r="AA14" s="102"/>
      <c r="AB14" s="105" t="s">
        <v>489</v>
      </c>
      <c r="AC14" s="104" t="s">
        <v>166</v>
      </c>
      <c r="AD14" s="2"/>
      <c r="AE14" s="2"/>
      <c r="AF14" s="2" t="s">
        <v>165</v>
      </c>
      <c r="AG14" s="2"/>
      <c r="AH14" s="2"/>
      <c r="AI14" s="2"/>
      <c r="AJ14" s="2"/>
      <c r="AK14" s="2"/>
      <c r="AL14" s="2"/>
      <c r="AM14" s="2"/>
      <c r="AN14" s="2"/>
      <c r="AO14" s="2"/>
      <c r="AP14" s="2"/>
      <c r="AQ14" s="2" t="s">
        <v>165</v>
      </c>
      <c r="AR14" s="2"/>
      <c r="AS14" s="2"/>
      <c r="AT14" s="2"/>
      <c r="AU14" s="2"/>
      <c r="AV14" s="2"/>
      <c r="AW14" s="2"/>
      <c r="AX14" s="2"/>
      <c r="AY14" s="2"/>
      <c r="AZ14" s="2"/>
      <c r="BA14" s="2"/>
      <c r="BB14" s="2"/>
    </row>
    <row r="15" spans="2:54" x14ac:dyDescent="0.25">
      <c r="B15" s="102" t="s">
        <v>163</v>
      </c>
      <c r="C15" s="102" t="s">
        <v>163</v>
      </c>
      <c r="D15" s="102" t="s">
        <v>163</v>
      </c>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5" t="s">
        <v>488</v>
      </c>
      <c r="AC15" s="104" t="s">
        <v>166</v>
      </c>
      <c r="AD15" s="2"/>
      <c r="AE15" s="2"/>
      <c r="AF15" s="2"/>
      <c r="AG15" s="2"/>
      <c r="AH15" s="2" t="s">
        <v>165</v>
      </c>
      <c r="AI15" s="2"/>
      <c r="AJ15" s="2"/>
      <c r="AK15" s="2"/>
      <c r="AL15" s="2"/>
      <c r="AM15" s="2"/>
      <c r="AN15" s="2"/>
      <c r="AO15" s="2" t="s">
        <v>165</v>
      </c>
      <c r="AP15" s="2" t="s">
        <v>165</v>
      </c>
      <c r="AQ15" s="2"/>
      <c r="AR15" s="2"/>
      <c r="AS15" s="2"/>
      <c r="AT15" s="2"/>
      <c r="AU15" s="2"/>
      <c r="AV15" s="2"/>
      <c r="AW15" s="2"/>
      <c r="AX15" s="2"/>
      <c r="AY15" s="2"/>
      <c r="AZ15" s="2"/>
      <c r="BA15" s="2"/>
      <c r="BB15" s="2"/>
    </row>
    <row r="16" spans="2:54" ht="30" x14ac:dyDescent="0.25">
      <c r="B16" s="102"/>
      <c r="C16" s="102"/>
      <c r="D16" s="102"/>
      <c r="E16" s="102" t="s">
        <v>163</v>
      </c>
      <c r="F16" s="102" t="s">
        <v>163</v>
      </c>
      <c r="G16" s="102" t="s">
        <v>163</v>
      </c>
      <c r="H16" s="102" t="s">
        <v>163</v>
      </c>
      <c r="I16" s="102"/>
      <c r="J16" s="102"/>
      <c r="K16" s="102"/>
      <c r="L16" s="102"/>
      <c r="M16" s="102"/>
      <c r="N16" s="102"/>
      <c r="O16" s="102"/>
      <c r="P16" s="102"/>
      <c r="Q16" s="102"/>
      <c r="R16" s="102"/>
      <c r="S16" s="102"/>
      <c r="T16" s="102"/>
      <c r="U16" s="102"/>
      <c r="V16" s="102"/>
      <c r="W16" s="102"/>
      <c r="X16" s="102"/>
      <c r="Y16" s="102"/>
      <c r="Z16" s="102"/>
      <c r="AA16" s="102"/>
      <c r="AB16" s="105" t="s">
        <v>490</v>
      </c>
      <c r="AC16" s="104" t="s">
        <v>166</v>
      </c>
      <c r="AD16" s="2"/>
      <c r="AE16" s="2"/>
      <c r="AF16" s="2" t="s">
        <v>165</v>
      </c>
      <c r="AG16" s="2" t="s">
        <v>165</v>
      </c>
      <c r="AH16" s="2"/>
      <c r="AI16" s="2"/>
      <c r="AJ16" s="2"/>
      <c r="AK16" s="2"/>
      <c r="AL16" s="2"/>
      <c r="AM16" s="2"/>
      <c r="AN16" s="2"/>
      <c r="AO16" s="2"/>
      <c r="AP16" s="2"/>
      <c r="AQ16" s="2"/>
      <c r="AR16" s="2" t="s">
        <v>165</v>
      </c>
      <c r="AS16" s="2"/>
      <c r="AT16" s="2"/>
      <c r="AU16" s="2"/>
      <c r="AV16" s="2"/>
      <c r="AW16" s="2"/>
      <c r="AX16" s="2"/>
      <c r="AY16" s="2"/>
      <c r="AZ16" s="2"/>
      <c r="BA16" s="2"/>
      <c r="BB16" s="2"/>
    </row>
    <row r="17" spans="2:54" ht="30" x14ac:dyDescent="0.25">
      <c r="B17" s="102"/>
      <c r="C17" s="102"/>
      <c r="D17" s="102"/>
      <c r="E17" s="102"/>
      <c r="F17" s="102"/>
      <c r="G17" s="102"/>
      <c r="H17" s="102"/>
      <c r="I17" s="102"/>
      <c r="J17" s="102"/>
      <c r="K17" s="102"/>
      <c r="L17" s="102"/>
      <c r="M17" s="102"/>
      <c r="N17" s="102"/>
      <c r="O17" s="102"/>
      <c r="P17" s="102"/>
      <c r="Q17" s="102"/>
      <c r="R17" s="102"/>
      <c r="S17" s="102"/>
      <c r="T17" s="102"/>
      <c r="U17" s="102" t="s">
        <v>163</v>
      </c>
      <c r="V17" s="102" t="s">
        <v>163</v>
      </c>
      <c r="W17" s="102"/>
      <c r="X17" s="102" t="s">
        <v>163</v>
      </c>
      <c r="Y17" s="102"/>
      <c r="Z17" s="102"/>
      <c r="AA17" s="102" t="s">
        <v>163</v>
      </c>
      <c r="AB17" s="105" t="s">
        <v>194</v>
      </c>
      <c r="AC17" s="104" t="s">
        <v>125</v>
      </c>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spans="2:54" x14ac:dyDescent="0.25">
      <c r="B18" s="102"/>
      <c r="C18" s="102"/>
      <c r="D18" s="102"/>
      <c r="E18" s="102"/>
      <c r="F18" s="102"/>
      <c r="G18" s="102"/>
      <c r="H18" s="102"/>
      <c r="I18" s="102"/>
      <c r="J18" s="102"/>
      <c r="K18" s="102"/>
      <c r="L18" s="102"/>
      <c r="M18" s="102"/>
      <c r="N18" s="102"/>
      <c r="O18" s="102"/>
      <c r="P18" s="102"/>
      <c r="Q18" s="102"/>
      <c r="R18" s="102"/>
      <c r="S18" s="102"/>
      <c r="T18" s="102"/>
      <c r="U18" s="102"/>
      <c r="V18" s="102"/>
      <c r="W18" s="102" t="s">
        <v>163</v>
      </c>
      <c r="X18" s="102"/>
      <c r="Y18" s="102"/>
      <c r="Z18" s="102"/>
      <c r="AA18" s="102"/>
      <c r="AB18" s="105" t="s">
        <v>516</v>
      </c>
      <c r="AC18" s="104" t="s">
        <v>166</v>
      </c>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spans="2:54" ht="30" x14ac:dyDescent="0.25">
      <c r="B19" s="102"/>
      <c r="C19" s="102"/>
      <c r="D19" s="102"/>
      <c r="E19" s="102"/>
      <c r="F19" s="102"/>
      <c r="G19" s="102"/>
      <c r="H19" s="102"/>
      <c r="I19" s="102"/>
      <c r="J19" s="102"/>
      <c r="K19" s="102"/>
      <c r="L19" s="102"/>
      <c r="M19" s="102"/>
      <c r="N19" s="102"/>
      <c r="O19" s="102"/>
      <c r="P19" s="102"/>
      <c r="Q19" s="102"/>
      <c r="R19" s="102"/>
      <c r="S19" s="102"/>
      <c r="T19" s="102"/>
      <c r="U19" s="102"/>
      <c r="V19" s="102"/>
      <c r="W19" s="102"/>
      <c r="X19" s="102" t="s">
        <v>163</v>
      </c>
      <c r="Y19" s="102"/>
      <c r="Z19" s="102"/>
      <c r="AA19" s="102" t="s">
        <v>163</v>
      </c>
      <c r="AB19" s="105" t="s">
        <v>104</v>
      </c>
      <c r="AC19" s="104" t="s">
        <v>126</v>
      </c>
      <c r="AD19" s="2"/>
      <c r="AE19" s="2"/>
      <c r="AF19" s="2"/>
      <c r="AG19" s="2"/>
      <c r="AH19" s="2"/>
      <c r="AI19" s="2"/>
      <c r="AJ19" s="2"/>
      <c r="AK19" s="2"/>
      <c r="AL19" s="2"/>
      <c r="AM19" s="2"/>
      <c r="AN19" s="2"/>
      <c r="AO19" s="2"/>
      <c r="AP19" s="2"/>
      <c r="AQ19" s="2"/>
      <c r="AR19" s="2"/>
      <c r="AS19" s="2"/>
      <c r="AT19" s="2"/>
      <c r="AU19" s="2"/>
      <c r="AV19" s="2"/>
      <c r="AW19" s="2"/>
      <c r="AX19" s="2"/>
      <c r="AY19" s="2"/>
      <c r="AZ19" s="2"/>
      <c r="BA19" s="2"/>
      <c r="BB19" s="2"/>
    </row>
  </sheetData>
  <mergeCells count="20">
    <mergeCell ref="B2:AA2"/>
    <mergeCell ref="AB2:AB5"/>
    <mergeCell ref="AC2:AC5"/>
    <mergeCell ref="AD2:AU2"/>
    <mergeCell ref="AV2:BB2"/>
    <mergeCell ref="S3:AA3"/>
    <mergeCell ref="I3:R3"/>
    <mergeCell ref="B3:H3"/>
    <mergeCell ref="AS4:AT4"/>
    <mergeCell ref="AM3:AU3"/>
    <mergeCell ref="AV3:AX3"/>
    <mergeCell ref="AZ3:BA3"/>
    <mergeCell ref="AD4:AE4"/>
    <mergeCell ref="AF4:AG4"/>
    <mergeCell ref="AH4:AJ4"/>
    <mergeCell ref="AK4:AL4"/>
    <mergeCell ref="AM4:AN4"/>
    <mergeCell ref="AO4:AP4"/>
    <mergeCell ref="AQ4:AR4"/>
    <mergeCell ref="AD3:AL3"/>
  </mergeCells>
  <dataValidations count="1">
    <dataValidation type="list" allowBlank="1" showInputMessage="1" showErrorMessage="1" sqref="AC6:AC19">
      <formula1>"Non, Semestre 3, Semestre 4, Semestre 5"</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1"/>
  </sheetPr>
  <dimension ref="C2:F46"/>
  <sheetViews>
    <sheetView topLeftCell="C15" workbookViewId="0">
      <selection activeCell="D11" sqref="D11"/>
    </sheetView>
  </sheetViews>
  <sheetFormatPr baseColWidth="10" defaultColWidth="8.7109375" defaultRowHeight="15" x14ac:dyDescent="0.25"/>
  <cols>
    <col min="1" max="2" width="8.7109375" style="1"/>
    <col min="3" max="3" width="15.85546875" style="1" customWidth="1"/>
    <col min="4" max="4" width="47" style="1" customWidth="1"/>
    <col min="5" max="5" width="18.140625" style="1" customWidth="1"/>
    <col min="6" max="6" width="31.7109375" style="1" customWidth="1"/>
    <col min="7" max="16384" width="8.7109375" style="1"/>
  </cols>
  <sheetData>
    <row r="2" spans="3:6" ht="43.15" customHeight="1" x14ac:dyDescent="0.25">
      <c r="C2" s="351" t="s">
        <v>1106</v>
      </c>
      <c r="D2" s="351"/>
      <c r="E2" s="351"/>
      <c r="F2" s="351"/>
    </row>
    <row r="3" spans="3:6" x14ac:dyDescent="0.25">
      <c r="C3" s="3" t="s">
        <v>1</v>
      </c>
      <c r="D3" s="327" t="s">
        <v>2</v>
      </c>
      <c r="E3" s="328"/>
      <c r="F3" s="328"/>
    </row>
    <row r="5" spans="3:6" x14ac:dyDescent="0.25">
      <c r="C5" s="352" t="s">
        <v>190</v>
      </c>
      <c r="D5" s="23" t="s">
        <v>1107</v>
      </c>
      <c r="E5" s="23"/>
      <c r="F5" s="23"/>
    </row>
    <row r="6" spans="3:6" x14ac:dyDescent="0.25">
      <c r="C6" s="352"/>
      <c r="D6" s="20" t="s">
        <v>66</v>
      </c>
      <c r="E6" s="24" t="s">
        <v>67</v>
      </c>
      <c r="F6" s="24" t="s">
        <v>1108</v>
      </c>
    </row>
    <row r="7" spans="3:6" x14ac:dyDescent="0.25">
      <c r="C7" s="326" t="s">
        <v>191</v>
      </c>
      <c r="D7" s="34" t="s">
        <v>79</v>
      </c>
      <c r="E7" s="63">
        <v>21</v>
      </c>
      <c r="F7" s="8" t="s">
        <v>166</v>
      </c>
    </row>
    <row r="8" spans="3:6" x14ac:dyDescent="0.25">
      <c r="C8" s="326"/>
      <c r="D8" s="34" t="s">
        <v>81</v>
      </c>
      <c r="E8" s="64">
        <v>42</v>
      </c>
      <c r="F8" s="8" t="s">
        <v>166</v>
      </c>
    </row>
    <row r="9" spans="3:6" x14ac:dyDescent="0.25">
      <c r="C9" s="326"/>
      <c r="D9" s="31"/>
      <c r="E9" s="64"/>
      <c r="F9" s="8"/>
    </row>
    <row r="10" spans="3:6" x14ac:dyDescent="0.25">
      <c r="C10" s="326"/>
      <c r="D10" s="31"/>
      <c r="E10" s="64"/>
      <c r="F10" s="8"/>
    </row>
    <row r="11" spans="3:6" x14ac:dyDescent="0.25">
      <c r="C11" s="326"/>
      <c r="D11" s="31"/>
      <c r="E11" s="64"/>
      <c r="F11" s="8"/>
    </row>
    <row r="12" spans="3:6" x14ac:dyDescent="0.25">
      <c r="C12" s="326"/>
      <c r="D12" s="31"/>
      <c r="E12" s="64"/>
      <c r="F12" s="8"/>
    </row>
    <row r="13" spans="3:6" x14ac:dyDescent="0.25">
      <c r="C13" s="326"/>
      <c r="D13" s="31"/>
      <c r="E13" s="64"/>
      <c r="F13" s="8"/>
    </row>
    <row r="14" spans="3:6" x14ac:dyDescent="0.25">
      <c r="C14" s="326"/>
      <c r="D14" s="31"/>
      <c r="E14" s="64"/>
      <c r="F14" s="8"/>
    </row>
    <row r="15" spans="3:6" x14ac:dyDescent="0.25">
      <c r="C15" s="326"/>
      <c r="D15" s="31"/>
      <c r="E15" s="64"/>
      <c r="F15" s="8"/>
    </row>
    <row r="16" spans="3:6" x14ac:dyDescent="0.25">
      <c r="C16" s="326"/>
      <c r="D16" s="34"/>
      <c r="E16" s="64"/>
      <c r="F16" s="8"/>
    </row>
    <row r="17" spans="3:6" x14ac:dyDescent="0.25">
      <c r="C17" s="326"/>
      <c r="D17" s="34"/>
      <c r="E17" s="64"/>
      <c r="F17" s="8"/>
    </row>
    <row r="18" spans="3:6" x14ac:dyDescent="0.25">
      <c r="C18" s="51"/>
      <c r="D18" s="27"/>
      <c r="E18" s="28"/>
      <c r="F18" s="25"/>
    </row>
    <row r="19" spans="3:6" x14ac:dyDescent="0.25">
      <c r="C19" s="326" t="s">
        <v>192</v>
      </c>
      <c r="D19" s="34" t="s">
        <v>98</v>
      </c>
      <c r="E19" s="63">
        <v>21</v>
      </c>
      <c r="F19" s="8" t="s">
        <v>166</v>
      </c>
    </row>
    <row r="20" spans="3:6" x14ac:dyDescent="0.25">
      <c r="C20" s="326"/>
      <c r="D20" s="34" t="s">
        <v>99</v>
      </c>
      <c r="E20" s="64">
        <v>42</v>
      </c>
      <c r="F20" s="8" t="s">
        <v>166</v>
      </c>
    </row>
    <row r="21" spans="3:6" x14ac:dyDescent="0.25">
      <c r="C21" s="326"/>
      <c r="D21" s="36" t="s">
        <v>1151</v>
      </c>
      <c r="E21" s="67">
        <v>21</v>
      </c>
      <c r="F21" s="8" t="s">
        <v>1128</v>
      </c>
    </row>
    <row r="22" spans="3:6" x14ac:dyDescent="0.25">
      <c r="C22" s="326"/>
      <c r="D22" s="36"/>
      <c r="E22" s="67"/>
      <c r="F22" s="8"/>
    </row>
    <row r="23" spans="3:6" x14ac:dyDescent="0.25">
      <c r="C23" s="326"/>
      <c r="D23" s="36"/>
      <c r="E23" s="67"/>
      <c r="F23" s="8"/>
    </row>
    <row r="24" spans="3:6" x14ac:dyDescent="0.25">
      <c r="C24" s="326"/>
      <c r="D24" s="36"/>
      <c r="E24" s="67"/>
      <c r="F24" s="8"/>
    </row>
    <row r="25" spans="3:6" x14ac:dyDescent="0.25">
      <c r="C25" s="326"/>
      <c r="D25" s="36"/>
      <c r="E25" s="67"/>
      <c r="F25" s="8"/>
    </row>
    <row r="26" spans="3:6" x14ac:dyDescent="0.25">
      <c r="C26" s="326"/>
      <c r="D26" s="36"/>
      <c r="E26" s="67"/>
      <c r="F26" s="8"/>
    </row>
    <row r="27" spans="3:6" x14ac:dyDescent="0.25">
      <c r="C27" s="326"/>
      <c r="D27" s="36"/>
      <c r="E27" s="67"/>
      <c r="F27" s="8"/>
    </row>
    <row r="28" spans="3:6" x14ac:dyDescent="0.25">
      <c r="C28" s="326"/>
      <c r="D28" s="36"/>
      <c r="E28" s="67"/>
      <c r="F28" s="8"/>
    </row>
    <row r="29" spans="3:6" x14ac:dyDescent="0.25">
      <c r="C29" s="326"/>
      <c r="D29" s="31"/>
      <c r="E29" s="68"/>
      <c r="F29" s="8"/>
    </row>
    <row r="30" spans="3:6" x14ac:dyDescent="0.25">
      <c r="C30" s="326"/>
      <c r="D30" s="41"/>
      <c r="E30" s="68"/>
      <c r="F30" s="8"/>
    </row>
    <row r="31" spans="3:6" x14ac:dyDescent="0.25">
      <c r="C31" s="326"/>
      <c r="D31" s="34"/>
      <c r="E31" s="64"/>
      <c r="F31" s="8"/>
    </row>
    <row r="32" spans="3:6" x14ac:dyDescent="0.25">
      <c r="C32" s="326"/>
      <c r="D32" s="34"/>
      <c r="E32" s="64"/>
      <c r="F32" s="8"/>
    </row>
    <row r="33" spans="3:6" x14ac:dyDescent="0.25">
      <c r="C33" s="44"/>
      <c r="D33" s="27"/>
      <c r="E33" s="30"/>
      <c r="F33" s="25"/>
    </row>
    <row r="34" spans="3:6" x14ac:dyDescent="0.25">
      <c r="C34" s="326" t="s">
        <v>193</v>
      </c>
      <c r="D34" s="34" t="s">
        <v>112</v>
      </c>
      <c r="E34" s="63">
        <v>21</v>
      </c>
      <c r="F34" s="8" t="s">
        <v>166</v>
      </c>
    </row>
    <row r="35" spans="3:6" x14ac:dyDescent="0.25">
      <c r="C35" s="326"/>
      <c r="D35" s="34" t="s">
        <v>113</v>
      </c>
      <c r="E35" s="64">
        <v>42</v>
      </c>
      <c r="F35" s="8" t="s">
        <v>166</v>
      </c>
    </row>
    <row r="36" spans="3:6" ht="30" x14ac:dyDescent="0.25">
      <c r="C36" s="326"/>
      <c r="D36" s="36" t="s">
        <v>1127</v>
      </c>
      <c r="E36" s="67">
        <v>42</v>
      </c>
      <c r="F36" s="8" t="s">
        <v>1128</v>
      </c>
    </row>
    <row r="37" spans="3:6" x14ac:dyDescent="0.25">
      <c r="C37" s="326"/>
      <c r="D37" s="36"/>
      <c r="E37" s="67"/>
      <c r="F37" s="8"/>
    </row>
    <row r="38" spans="3:6" x14ac:dyDescent="0.25">
      <c r="C38" s="326"/>
      <c r="D38" s="36"/>
      <c r="E38" s="67"/>
      <c r="F38" s="8"/>
    </row>
    <row r="39" spans="3:6" x14ac:dyDescent="0.25">
      <c r="C39" s="326"/>
      <c r="D39" s="36"/>
      <c r="E39" s="67"/>
      <c r="F39" s="8"/>
    </row>
    <row r="40" spans="3:6" x14ac:dyDescent="0.25">
      <c r="C40" s="326"/>
      <c r="D40" s="36"/>
      <c r="E40" s="67"/>
      <c r="F40" s="8"/>
    </row>
    <row r="41" spans="3:6" x14ac:dyDescent="0.25">
      <c r="C41" s="326"/>
      <c r="D41" s="36"/>
      <c r="E41" s="67"/>
      <c r="F41" s="8"/>
    </row>
    <row r="42" spans="3:6" x14ac:dyDescent="0.25">
      <c r="C42" s="326"/>
      <c r="D42" s="36"/>
      <c r="E42" s="67"/>
      <c r="F42" s="8"/>
    </row>
    <row r="43" spans="3:6" x14ac:dyDescent="0.25">
      <c r="C43" s="326"/>
      <c r="D43" s="31"/>
      <c r="E43" s="68"/>
      <c r="F43" s="8"/>
    </row>
    <row r="44" spans="3:6" x14ac:dyDescent="0.25">
      <c r="C44" s="326"/>
      <c r="D44" s="41"/>
      <c r="E44" s="68"/>
      <c r="F44" s="8"/>
    </row>
    <row r="45" spans="3:6" x14ac:dyDescent="0.25">
      <c r="C45" s="326"/>
      <c r="D45" s="34"/>
      <c r="E45" s="64"/>
      <c r="F45" s="8"/>
    </row>
    <row r="46" spans="3:6" x14ac:dyDescent="0.25">
      <c r="C46" s="326"/>
      <c r="D46" s="34"/>
      <c r="E46" s="64"/>
      <c r="F46" s="8"/>
    </row>
  </sheetData>
  <mergeCells count="6">
    <mergeCell ref="C2:F2"/>
    <mergeCell ref="C5:C6"/>
    <mergeCell ref="C7:C17"/>
    <mergeCell ref="C19:C32"/>
    <mergeCell ref="C34:C46"/>
    <mergeCell ref="D3:F3"/>
  </mergeCells>
  <conditionalFormatting sqref="D30:D32 D16:D17 D44:D46">
    <cfRule type="colorScale" priority="4">
      <colorScale>
        <cfvo type="num" val="0"/>
        <cfvo type="num" val="0"/>
        <color rgb="FFFF0000"/>
        <color rgb="FF00B050"/>
      </colorScale>
    </cfRule>
  </conditionalFormatting>
  <conditionalFormatting sqref="D7:D8">
    <cfRule type="colorScale" priority="3">
      <colorScale>
        <cfvo type="num" val="0"/>
        <cfvo type="num" val="0"/>
        <color rgb="FFFF0000"/>
        <color rgb="FF00B050"/>
      </colorScale>
    </cfRule>
  </conditionalFormatting>
  <conditionalFormatting sqref="D19:D20">
    <cfRule type="colorScale" priority="2">
      <colorScale>
        <cfvo type="num" val="0"/>
        <cfvo type="num" val="0"/>
        <color rgb="FFFF0000"/>
        <color rgb="FF00B050"/>
      </colorScale>
    </cfRule>
  </conditionalFormatting>
  <conditionalFormatting sqref="D34:D35">
    <cfRule type="colorScale" priority="1">
      <colorScale>
        <cfvo type="num" val="0"/>
        <cfvo type="num" val="0"/>
        <color rgb="FFFF0000"/>
        <color rgb="FF00B050"/>
      </colorScale>
    </cfRule>
  </conditionalFormatting>
  <dataValidations count="1">
    <dataValidation type="list" allowBlank="1" showInputMessage="1" showErrorMessage="1" sqref="F7:F17 F34:F46 F19:F32">
      <formula1>"Oui, Non"</formula1>
    </dataValidation>
  </dataValidation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C000"/>
  </sheetPr>
  <dimension ref="D7:E19"/>
  <sheetViews>
    <sheetView workbookViewId="0">
      <selection activeCell="E9" sqref="E9:E17"/>
    </sheetView>
  </sheetViews>
  <sheetFormatPr baseColWidth="10" defaultColWidth="8.7109375" defaultRowHeight="15" x14ac:dyDescent="0.25"/>
  <cols>
    <col min="1" max="3" width="8.7109375" style="1"/>
    <col min="4" max="4" width="32.28515625" style="1" customWidth="1"/>
    <col min="5" max="5" width="50.28515625" style="1" customWidth="1"/>
    <col min="6" max="16384" width="8.7109375" style="1"/>
  </cols>
  <sheetData>
    <row r="7" spans="4:5" x14ac:dyDescent="0.25">
      <c r="D7" s="354" t="s">
        <v>191</v>
      </c>
      <c r="E7" s="354"/>
    </row>
    <row r="8" spans="4:5" x14ac:dyDescent="0.25">
      <c r="D8" s="72" t="s">
        <v>236</v>
      </c>
      <c r="E8" s="72" t="s">
        <v>64</v>
      </c>
    </row>
    <row r="9" spans="4:5" x14ac:dyDescent="0.25">
      <c r="D9" s="355" t="s">
        <v>69</v>
      </c>
      <c r="E9" s="31" t="s">
        <v>68</v>
      </c>
    </row>
    <row r="10" spans="4:5" x14ac:dyDescent="0.25">
      <c r="D10" s="355"/>
      <c r="E10" s="31" t="s">
        <v>70</v>
      </c>
    </row>
    <row r="11" spans="4:5" x14ac:dyDescent="0.25">
      <c r="D11" s="355"/>
      <c r="E11" s="31" t="s">
        <v>71</v>
      </c>
    </row>
    <row r="12" spans="4:5" x14ac:dyDescent="0.25">
      <c r="D12" s="353" t="s">
        <v>73</v>
      </c>
      <c r="E12" s="31" t="s">
        <v>72</v>
      </c>
    </row>
    <row r="13" spans="4:5" x14ac:dyDescent="0.25">
      <c r="D13" s="353"/>
      <c r="E13" s="31" t="s">
        <v>74</v>
      </c>
    </row>
    <row r="14" spans="4:5" x14ac:dyDescent="0.25">
      <c r="D14" s="356" t="s">
        <v>76</v>
      </c>
      <c r="E14" s="31" t="s">
        <v>75</v>
      </c>
    </row>
    <row r="15" spans="4:5" x14ac:dyDescent="0.25">
      <c r="D15" s="356"/>
      <c r="E15" s="31" t="s">
        <v>77</v>
      </c>
    </row>
    <row r="16" spans="4:5" x14ac:dyDescent="0.25">
      <c r="D16" s="353" t="s">
        <v>78</v>
      </c>
      <c r="E16" s="31" t="s">
        <v>1228</v>
      </c>
    </row>
    <row r="17" spans="4:5" x14ac:dyDescent="0.25">
      <c r="D17" s="353"/>
      <c r="E17" s="31" t="s">
        <v>161</v>
      </c>
    </row>
    <row r="18" spans="4:5" x14ac:dyDescent="0.25">
      <c r="D18" s="353" t="s">
        <v>80</v>
      </c>
      <c r="E18" s="34" t="s">
        <v>1164</v>
      </c>
    </row>
    <row r="19" spans="4:5" x14ac:dyDescent="0.25">
      <c r="D19" s="353"/>
      <c r="E19" s="34" t="s">
        <v>1164</v>
      </c>
    </row>
  </sheetData>
  <mergeCells count="6">
    <mergeCell ref="D18:D19"/>
    <mergeCell ref="D7:E7"/>
    <mergeCell ref="D9:D11"/>
    <mergeCell ref="D12:D13"/>
    <mergeCell ref="D14:D15"/>
    <mergeCell ref="D16:D17"/>
  </mergeCells>
  <conditionalFormatting sqref="E18:E19">
    <cfRule type="colorScale" priority="1">
      <colorScale>
        <cfvo type="num" val="0"/>
        <cfvo type="num" val="0"/>
        <color rgb="FFFF0000"/>
        <color rgb="FF00B050"/>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sheetPr>
  <dimension ref="B1:J56"/>
  <sheetViews>
    <sheetView zoomScaleNormal="100" workbookViewId="0">
      <selection activeCell="B1" sqref="B1"/>
    </sheetView>
  </sheetViews>
  <sheetFormatPr baseColWidth="10" defaultColWidth="8.7109375" defaultRowHeight="15" x14ac:dyDescent="0.25"/>
  <cols>
    <col min="1" max="1" width="2" style="1" customWidth="1"/>
    <col min="2" max="2" width="23.140625" style="1" customWidth="1"/>
    <col min="3" max="3" width="5.7109375" style="1" customWidth="1"/>
    <col min="4" max="4" width="1.85546875" style="1" customWidth="1"/>
    <col min="5" max="5" width="4.28515625" style="1" customWidth="1"/>
    <col min="6" max="6" width="3.5703125" style="1" customWidth="1"/>
    <col min="7" max="7" width="8.7109375" style="1"/>
    <col min="8" max="8" width="4.28515625" style="1" customWidth="1"/>
    <col min="9" max="9" width="8.7109375" style="1"/>
    <col min="10" max="10" width="20.85546875" style="1" customWidth="1"/>
    <col min="11" max="16384" width="8.7109375" style="1"/>
  </cols>
  <sheetData>
    <row r="1" spans="2:10" x14ac:dyDescent="0.25">
      <c r="B1" s="287" t="s">
        <v>1267</v>
      </c>
    </row>
    <row r="2" spans="2:10" ht="16.5" thickBot="1" x14ac:dyDescent="0.3">
      <c r="B2" s="421" t="s">
        <v>195</v>
      </c>
      <c r="C2" s="421"/>
      <c r="D2" s="421"/>
      <c r="E2" s="421"/>
      <c r="F2" s="421"/>
      <c r="G2" s="421"/>
      <c r="H2" s="421"/>
      <c r="I2" s="421"/>
      <c r="J2" s="421"/>
    </row>
    <row r="3" spans="2:10" ht="16.5" thickBot="1" x14ac:dyDescent="0.3">
      <c r="B3" s="366" t="s">
        <v>196</v>
      </c>
      <c r="C3" s="367"/>
      <c r="D3" s="413"/>
      <c r="E3" s="415" t="s">
        <v>537</v>
      </c>
      <c r="F3" s="422"/>
      <c r="G3" s="422"/>
      <c r="H3" s="422"/>
      <c r="I3" s="422"/>
      <c r="J3" s="423"/>
    </row>
    <row r="4" spans="2:10" ht="16.5" thickBot="1" x14ac:dyDescent="0.3">
      <c r="B4" s="424" t="s">
        <v>197</v>
      </c>
      <c r="C4" s="425"/>
      <c r="D4" s="426"/>
      <c r="E4" s="415" t="s">
        <v>198</v>
      </c>
      <c r="F4" s="416"/>
      <c r="G4" s="416"/>
      <c r="H4" s="416"/>
      <c r="I4" s="416"/>
      <c r="J4" s="417"/>
    </row>
    <row r="5" spans="2:10" ht="16.5" thickBot="1" x14ac:dyDescent="0.3">
      <c r="B5" s="366" t="s">
        <v>199</v>
      </c>
      <c r="C5" s="367"/>
      <c r="D5" s="413"/>
      <c r="E5" s="415" t="s">
        <v>200</v>
      </c>
      <c r="F5" s="416"/>
      <c r="G5" s="416"/>
      <c r="H5" s="416"/>
      <c r="I5" s="416"/>
      <c r="J5" s="417"/>
    </row>
    <row r="6" spans="2:10" ht="16.5" thickBot="1" x14ac:dyDescent="0.3">
      <c r="B6" s="366" t="s">
        <v>201</v>
      </c>
      <c r="C6" s="367"/>
      <c r="D6" s="413"/>
      <c r="E6" s="415" t="s">
        <v>202</v>
      </c>
      <c r="F6" s="416"/>
      <c r="G6" s="416"/>
      <c r="H6" s="416"/>
      <c r="I6" s="416"/>
      <c r="J6" s="417"/>
    </row>
    <row r="7" spans="2:10" ht="16.5" thickBot="1" x14ac:dyDescent="0.3">
      <c r="B7" s="366" t="s">
        <v>203</v>
      </c>
      <c r="C7" s="367"/>
      <c r="D7" s="413"/>
      <c r="E7" s="418" t="s">
        <v>499</v>
      </c>
      <c r="F7" s="419"/>
      <c r="G7" s="419"/>
      <c r="H7" s="419"/>
      <c r="I7" s="419"/>
      <c r="J7" s="420"/>
    </row>
    <row r="8" spans="2:10" ht="16.5" thickBot="1" x14ac:dyDescent="0.3">
      <c r="B8" s="366" t="s">
        <v>204</v>
      </c>
      <c r="C8" s="367"/>
      <c r="D8" s="413"/>
      <c r="E8" s="415" t="s">
        <v>205</v>
      </c>
      <c r="F8" s="416"/>
      <c r="G8" s="416"/>
      <c r="H8" s="416"/>
      <c r="I8" s="416"/>
      <c r="J8" s="417"/>
    </row>
    <row r="9" spans="2:10" ht="16.5" thickBot="1" x14ac:dyDescent="0.3">
      <c r="B9" s="404" t="s">
        <v>206</v>
      </c>
      <c r="C9" s="405"/>
      <c r="D9" s="405"/>
      <c r="E9" s="405"/>
      <c r="F9" s="405"/>
      <c r="G9" s="405"/>
      <c r="H9" s="405"/>
      <c r="I9" s="405"/>
      <c r="J9" s="406"/>
    </row>
    <row r="10" spans="2:10" ht="16.5" thickBot="1" x14ac:dyDescent="0.3">
      <c r="B10" s="404" t="s">
        <v>207</v>
      </c>
      <c r="C10" s="405"/>
      <c r="D10" s="405"/>
      <c r="E10" s="406"/>
      <c r="F10" s="404" t="s">
        <v>208</v>
      </c>
      <c r="G10" s="405"/>
      <c r="H10" s="405"/>
      <c r="I10" s="405"/>
      <c r="J10" s="406"/>
    </row>
    <row r="11" spans="2:10" ht="16.5" thickBot="1" x14ac:dyDescent="0.3">
      <c r="B11" s="407" t="s">
        <v>209</v>
      </c>
      <c r="C11" s="408"/>
      <c r="D11" s="408"/>
      <c r="E11" s="409"/>
      <c r="F11" s="407"/>
      <c r="G11" s="408"/>
      <c r="H11" s="408"/>
      <c r="I11" s="408"/>
      <c r="J11" s="409"/>
    </row>
    <row r="12" spans="2:10" ht="16.5" thickBot="1" x14ac:dyDescent="0.3">
      <c r="B12" s="69" t="s">
        <v>210</v>
      </c>
      <c r="C12" s="404" t="s">
        <v>211</v>
      </c>
      <c r="D12" s="405"/>
      <c r="E12" s="405"/>
      <c r="F12" s="406"/>
      <c r="G12" s="404" t="s">
        <v>212</v>
      </c>
      <c r="H12" s="406"/>
      <c r="I12" s="70" t="s">
        <v>213</v>
      </c>
      <c r="J12" s="70" t="s">
        <v>214</v>
      </c>
    </row>
    <row r="13" spans="2:10" ht="30.75" thickBot="1" x14ac:dyDescent="0.3">
      <c r="B13" s="119" t="s">
        <v>215</v>
      </c>
      <c r="C13" s="410" t="s">
        <v>216</v>
      </c>
      <c r="D13" s="411"/>
      <c r="E13" s="411"/>
      <c r="F13" s="412"/>
      <c r="G13" s="410">
        <v>4</v>
      </c>
      <c r="H13" s="412"/>
      <c r="I13" s="120">
        <v>4</v>
      </c>
      <c r="J13" s="120" t="s">
        <v>218</v>
      </c>
    </row>
    <row r="14" spans="2:10" ht="16.5" thickBot="1" x14ac:dyDescent="0.3">
      <c r="B14" s="366" t="s">
        <v>219</v>
      </c>
      <c r="C14" s="367"/>
      <c r="D14" s="367"/>
      <c r="E14" s="367"/>
      <c r="F14" s="367"/>
      <c r="G14" s="367"/>
      <c r="H14" s="367"/>
      <c r="I14" s="367"/>
      <c r="J14" s="413"/>
    </row>
    <row r="15" spans="2:10" ht="30" customHeight="1" thickBot="1" x14ac:dyDescent="0.3">
      <c r="B15" s="398" t="s">
        <v>520</v>
      </c>
      <c r="C15" s="399"/>
      <c r="D15" s="399"/>
      <c r="E15" s="399"/>
      <c r="F15" s="399"/>
      <c r="G15" s="399"/>
      <c r="H15" s="399"/>
      <c r="I15" s="399"/>
      <c r="J15" s="414"/>
    </row>
    <row r="16" spans="2:10" ht="16.5" thickBot="1" x14ac:dyDescent="0.3">
      <c r="B16" s="366" t="s">
        <v>220</v>
      </c>
      <c r="C16" s="367"/>
      <c r="D16" s="367"/>
      <c r="E16" s="367"/>
      <c r="F16" s="367"/>
      <c r="G16" s="367"/>
      <c r="H16" s="367"/>
      <c r="I16" s="367"/>
      <c r="J16" s="413"/>
    </row>
    <row r="17" spans="2:10" ht="14.65" customHeight="1" x14ac:dyDescent="0.25">
      <c r="B17" s="401" t="s">
        <v>522</v>
      </c>
      <c r="C17" s="402"/>
      <c r="D17" s="402"/>
      <c r="E17" s="402"/>
      <c r="F17" s="402"/>
      <c r="G17" s="402"/>
      <c r="H17" s="402"/>
      <c r="I17" s="402"/>
      <c r="J17" s="403"/>
    </row>
    <row r="18" spans="2:10" ht="14.65" customHeight="1" x14ac:dyDescent="0.25">
      <c r="B18" s="392" t="s">
        <v>523</v>
      </c>
      <c r="C18" s="393"/>
      <c r="D18" s="393"/>
      <c r="E18" s="393"/>
      <c r="F18" s="393"/>
      <c r="G18" s="393"/>
      <c r="H18" s="393"/>
      <c r="I18" s="393"/>
      <c r="J18" s="394"/>
    </row>
    <row r="19" spans="2:10" ht="14.65" customHeight="1" x14ac:dyDescent="0.25">
      <c r="B19" s="392" t="s">
        <v>524</v>
      </c>
      <c r="C19" s="393"/>
      <c r="D19" s="393"/>
      <c r="E19" s="393"/>
      <c r="F19" s="393"/>
      <c r="G19" s="393"/>
      <c r="H19" s="393"/>
      <c r="I19" s="393"/>
      <c r="J19" s="394"/>
    </row>
    <row r="20" spans="2:10" ht="16.5" thickBot="1" x14ac:dyDescent="0.3">
      <c r="B20" s="395" t="s">
        <v>521</v>
      </c>
      <c r="C20" s="396"/>
      <c r="D20" s="396"/>
      <c r="E20" s="396"/>
      <c r="F20" s="396"/>
      <c r="G20" s="396"/>
      <c r="H20" s="396"/>
      <c r="I20" s="396"/>
      <c r="J20" s="397"/>
    </row>
    <row r="21" spans="2:10" ht="16.5" thickBot="1" x14ac:dyDescent="0.3">
      <c r="B21" s="366" t="s">
        <v>221</v>
      </c>
      <c r="C21" s="367"/>
      <c r="D21" s="367"/>
      <c r="E21" s="367"/>
      <c r="F21" s="367"/>
      <c r="G21" s="367"/>
      <c r="H21" s="367"/>
      <c r="I21" s="367"/>
      <c r="J21" s="368"/>
    </row>
    <row r="22" spans="2:10" ht="40.5" customHeight="1" thickBot="1" x14ac:dyDescent="0.3">
      <c r="B22" s="398" t="s">
        <v>525</v>
      </c>
      <c r="C22" s="399"/>
      <c r="D22" s="399"/>
      <c r="E22" s="399"/>
      <c r="F22" s="399"/>
      <c r="G22" s="399"/>
      <c r="H22" s="399"/>
      <c r="I22" s="399"/>
      <c r="J22" s="400"/>
    </row>
    <row r="23" spans="2:10" ht="16.5" thickBot="1" x14ac:dyDescent="0.3">
      <c r="B23" s="366" t="s">
        <v>222</v>
      </c>
      <c r="C23" s="367"/>
      <c r="D23" s="367"/>
      <c r="E23" s="367"/>
      <c r="F23" s="367"/>
      <c r="G23" s="367"/>
      <c r="H23" s="367"/>
      <c r="I23" s="367"/>
      <c r="J23" s="368"/>
    </row>
    <row r="24" spans="2:10" ht="15.75" thickBot="1" x14ac:dyDescent="0.3">
      <c r="B24" s="387" t="s">
        <v>29</v>
      </c>
      <c r="C24" s="388"/>
      <c r="D24" s="388"/>
      <c r="E24" s="388"/>
      <c r="F24" s="388"/>
      <c r="G24" s="388"/>
      <c r="H24" s="388"/>
      <c r="I24" s="388"/>
      <c r="J24" s="389"/>
    </row>
    <row r="25" spans="2:10" ht="15.75" thickBot="1" x14ac:dyDescent="0.3">
      <c r="B25" s="387" t="s">
        <v>38</v>
      </c>
      <c r="C25" s="388"/>
      <c r="D25" s="388"/>
      <c r="E25" s="388"/>
      <c r="F25" s="388"/>
      <c r="G25" s="388"/>
      <c r="H25" s="388"/>
      <c r="I25" s="388"/>
      <c r="J25" s="389"/>
    </row>
    <row r="26" spans="2:10" ht="15.75" thickBot="1" x14ac:dyDescent="0.3">
      <c r="B26" s="387" t="s">
        <v>40</v>
      </c>
      <c r="C26" s="388"/>
      <c r="D26" s="388"/>
      <c r="E26" s="388"/>
      <c r="F26" s="388"/>
      <c r="G26" s="388"/>
      <c r="H26" s="388"/>
      <c r="I26" s="388"/>
      <c r="J26" s="389"/>
    </row>
    <row r="27" spans="2:10" ht="15.75" thickBot="1" x14ac:dyDescent="0.3">
      <c r="B27" s="387" t="s">
        <v>34</v>
      </c>
      <c r="C27" s="388"/>
      <c r="D27" s="388"/>
      <c r="E27" s="388"/>
      <c r="F27" s="388"/>
      <c r="G27" s="388"/>
      <c r="H27" s="388"/>
      <c r="I27" s="388"/>
      <c r="J27" s="389"/>
    </row>
    <row r="28" spans="2:10" ht="15.75" thickBot="1" x14ac:dyDescent="0.3">
      <c r="B28" s="387" t="s">
        <v>46</v>
      </c>
      <c r="C28" s="388"/>
      <c r="D28" s="388"/>
      <c r="E28" s="388"/>
      <c r="F28" s="388"/>
      <c r="G28" s="388"/>
      <c r="H28" s="388"/>
      <c r="I28" s="388"/>
      <c r="J28" s="389"/>
    </row>
    <row r="29" spans="2:10" ht="15.75" thickBot="1" x14ac:dyDescent="0.3">
      <c r="B29" s="387" t="s">
        <v>47</v>
      </c>
      <c r="C29" s="388"/>
      <c r="D29" s="388"/>
      <c r="E29" s="388"/>
      <c r="F29" s="388"/>
      <c r="G29" s="388"/>
      <c r="H29" s="388"/>
      <c r="I29" s="388"/>
      <c r="J29" s="389"/>
    </row>
    <row r="30" spans="2:10" ht="15.75" thickBot="1" x14ac:dyDescent="0.3">
      <c r="B30" s="387" t="s">
        <v>223</v>
      </c>
      <c r="C30" s="388"/>
      <c r="D30" s="388"/>
      <c r="E30" s="388"/>
      <c r="F30" s="388"/>
      <c r="G30" s="388"/>
      <c r="H30" s="388"/>
      <c r="I30" s="388"/>
      <c r="J30" s="389"/>
    </row>
    <row r="31" spans="2:10" ht="15.75" thickBot="1" x14ac:dyDescent="0.3">
      <c r="B31" s="387" t="s">
        <v>224</v>
      </c>
      <c r="C31" s="388"/>
      <c r="D31" s="388"/>
      <c r="E31" s="388"/>
      <c r="F31" s="388"/>
      <c r="G31" s="388"/>
      <c r="H31" s="388"/>
      <c r="I31" s="388"/>
      <c r="J31" s="389"/>
    </row>
    <row r="32" spans="2:10" ht="15.75" thickBot="1" x14ac:dyDescent="0.3">
      <c r="B32" s="387" t="s">
        <v>225</v>
      </c>
      <c r="C32" s="388"/>
      <c r="D32" s="388"/>
      <c r="E32" s="388"/>
      <c r="F32" s="388"/>
      <c r="G32" s="388"/>
      <c r="H32" s="388"/>
      <c r="I32" s="388"/>
      <c r="J32" s="389"/>
    </row>
    <row r="33" spans="2:10" ht="16.5" thickBot="1" x14ac:dyDescent="0.3">
      <c r="B33" s="390"/>
      <c r="C33" s="390"/>
      <c r="D33" s="390"/>
      <c r="E33" s="390"/>
      <c r="F33" s="390"/>
      <c r="G33" s="390"/>
      <c r="H33" s="391"/>
      <c r="I33" s="391"/>
      <c r="J33" s="391"/>
    </row>
    <row r="34" spans="2:10" ht="16.5" thickBot="1" x14ac:dyDescent="0.3">
      <c r="B34" s="366" t="s">
        <v>226</v>
      </c>
      <c r="C34" s="367"/>
      <c r="D34" s="367"/>
      <c r="E34" s="367"/>
      <c r="F34" s="367"/>
      <c r="G34" s="367"/>
      <c r="H34" s="367"/>
      <c r="I34" s="367"/>
      <c r="J34" s="368"/>
    </row>
    <row r="35" spans="2:10" ht="44.65" customHeight="1" x14ac:dyDescent="0.25">
      <c r="B35" s="375" t="s">
        <v>526</v>
      </c>
      <c r="C35" s="376"/>
      <c r="D35" s="376"/>
      <c r="E35" s="376"/>
      <c r="F35" s="376"/>
      <c r="G35" s="376"/>
      <c r="H35" s="376"/>
      <c r="I35" s="376"/>
      <c r="J35" s="377"/>
    </row>
    <row r="36" spans="2:10" ht="58.15" customHeight="1" x14ac:dyDescent="0.25">
      <c r="B36" s="378" t="s">
        <v>527</v>
      </c>
      <c r="C36" s="379"/>
      <c r="D36" s="379"/>
      <c r="E36" s="379"/>
      <c r="F36" s="379"/>
      <c r="G36" s="379"/>
      <c r="H36" s="379"/>
      <c r="I36" s="379"/>
      <c r="J36" s="380"/>
    </row>
    <row r="37" spans="2:10" ht="58.15" customHeight="1" x14ac:dyDescent="0.25">
      <c r="B37" s="378" t="s">
        <v>528</v>
      </c>
      <c r="C37" s="379"/>
      <c r="D37" s="379"/>
      <c r="E37" s="379"/>
      <c r="F37" s="379"/>
      <c r="G37" s="379"/>
      <c r="H37" s="379"/>
      <c r="I37" s="379"/>
      <c r="J37" s="380"/>
    </row>
    <row r="38" spans="2:10" ht="14.65" customHeight="1" x14ac:dyDescent="0.25">
      <c r="B38" s="378" t="s">
        <v>529</v>
      </c>
      <c r="C38" s="379"/>
      <c r="D38" s="379"/>
      <c r="E38" s="379"/>
      <c r="F38" s="379"/>
      <c r="G38" s="379"/>
      <c r="H38" s="379"/>
      <c r="I38" s="379"/>
      <c r="J38" s="380"/>
    </row>
    <row r="39" spans="2:10" ht="44.65" customHeight="1" x14ac:dyDescent="0.25">
      <c r="B39" s="381" t="s">
        <v>530</v>
      </c>
      <c r="C39" s="382"/>
      <c r="D39" s="382"/>
      <c r="E39" s="382"/>
      <c r="F39" s="382"/>
      <c r="G39" s="382"/>
      <c r="H39" s="382"/>
      <c r="I39" s="382"/>
      <c r="J39" s="383"/>
    </row>
    <row r="40" spans="2:10" ht="15.4" customHeight="1" x14ac:dyDescent="0.25">
      <c r="B40" s="381" t="s">
        <v>531</v>
      </c>
      <c r="C40" s="382"/>
      <c r="D40" s="382"/>
      <c r="E40" s="382"/>
      <c r="F40" s="382"/>
      <c r="G40" s="382"/>
      <c r="H40" s="382"/>
      <c r="I40" s="382"/>
      <c r="J40" s="383"/>
    </row>
    <row r="41" spans="2:10" ht="30" customHeight="1" x14ac:dyDescent="0.25">
      <c r="B41" s="381" t="s">
        <v>532</v>
      </c>
      <c r="C41" s="382"/>
      <c r="D41" s="382"/>
      <c r="E41" s="382"/>
      <c r="F41" s="382"/>
      <c r="G41" s="382"/>
      <c r="H41" s="382"/>
      <c r="I41" s="382"/>
      <c r="J41" s="383"/>
    </row>
    <row r="42" spans="2:10" ht="30" customHeight="1" x14ac:dyDescent="0.25">
      <c r="B42" s="381" t="s">
        <v>533</v>
      </c>
      <c r="C42" s="382"/>
      <c r="D42" s="382"/>
      <c r="E42" s="382"/>
      <c r="F42" s="382"/>
      <c r="G42" s="382"/>
      <c r="H42" s="382"/>
      <c r="I42" s="382"/>
      <c r="J42" s="383"/>
    </row>
    <row r="43" spans="2:10" ht="45.4" customHeight="1" thickBot="1" x14ac:dyDescent="0.3">
      <c r="B43" s="384" t="s">
        <v>534</v>
      </c>
      <c r="C43" s="385"/>
      <c r="D43" s="385"/>
      <c r="E43" s="385"/>
      <c r="F43" s="385"/>
      <c r="G43" s="385"/>
      <c r="H43" s="385"/>
      <c r="I43" s="385"/>
      <c r="J43" s="386"/>
    </row>
    <row r="44" spans="2:10" ht="16.5" thickBot="1" x14ac:dyDescent="0.3">
      <c r="B44" s="366" t="s">
        <v>227</v>
      </c>
      <c r="C44" s="367"/>
      <c r="D44" s="367"/>
      <c r="E44" s="367"/>
      <c r="F44" s="367"/>
      <c r="G44" s="367"/>
      <c r="H44" s="367"/>
      <c r="I44" s="367"/>
      <c r="J44" s="368"/>
    </row>
    <row r="45" spans="2:10" ht="16.5" thickBot="1" x14ac:dyDescent="0.3">
      <c r="B45" s="363" t="s">
        <v>228</v>
      </c>
      <c r="C45" s="364"/>
      <c r="D45" s="365"/>
      <c r="E45" s="363" t="s">
        <v>229</v>
      </c>
      <c r="F45" s="364"/>
      <c r="G45" s="364"/>
      <c r="H45" s="364"/>
      <c r="I45" s="364"/>
      <c r="J45" s="365"/>
    </row>
    <row r="46" spans="2:10" ht="16.5" thickBot="1" x14ac:dyDescent="0.3">
      <c r="B46" s="363" t="s">
        <v>230</v>
      </c>
      <c r="C46" s="364"/>
      <c r="D46" s="365"/>
      <c r="E46" s="363" t="s">
        <v>231</v>
      </c>
      <c r="F46" s="364"/>
      <c r="G46" s="364"/>
      <c r="H46" s="364"/>
      <c r="I46" s="364"/>
      <c r="J46" s="365"/>
    </row>
    <row r="47" spans="2:10" ht="16.5" thickBot="1" x14ac:dyDescent="0.3">
      <c r="B47" s="366" t="s">
        <v>232</v>
      </c>
      <c r="C47" s="367"/>
      <c r="D47" s="367"/>
      <c r="E47" s="367"/>
      <c r="F47" s="367"/>
      <c r="G47" s="367"/>
      <c r="H47" s="367"/>
      <c r="I47" s="367"/>
      <c r="J47" s="368"/>
    </row>
    <row r="48" spans="2:10" x14ac:dyDescent="0.25">
      <c r="B48" s="369" t="s">
        <v>233</v>
      </c>
      <c r="C48" s="370"/>
      <c r="D48" s="370"/>
      <c r="E48" s="370"/>
      <c r="F48" s="370"/>
      <c r="G48" s="370"/>
      <c r="H48" s="370"/>
      <c r="I48" s="370"/>
      <c r="J48" s="371"/>
    </row>
    <row r="49" spans="2:10" ht="15.75" thickBot="1" x14ac:dyDescent="0.3">
      <c r="B49" s="372" t="s">
        <v>484</v>
      </c>
      <c r="C49" s="373"/>
      <c r="D49" s="373"/>
      <c r="E49" s="373"/>
      <c r="F49" s="373"/>
      <c r="G49" s="373"/>
      <c r="H49" s="373"/>
      <c r="I49" s="373"/>
      <c r="J49" s="374"/>
    </row>
    <row r="50" spans="2:10" ht="15.75" thickBot="1" x14ac:dyDescent="0.3">
      <c r="B50" s="124" t="s">
        <v>485</v>
      </c>
      <c r="C50" s="125"/>
      <c r="D50" s="125"/>
      <c r="E50" s="125"/>
      <c r="F50" s="125"/>
      <c r="G50" s="125"/>
      <c r="H50" s="125"/>
      <c r="I50" s="125"/>
      <c r="J50" s="126"/>
    </row>
    <row r="51" spans="2:10" ht="15.75" thickBot="1" x14ac:dyDescent="0.3">
      <c r="B51" s="124" t="s">
        <v>486</v>
      </c>
      <c r="C51" s="125"/>
      <c r="D51" s="125"/>
      <c r="E51" s="125"/>
      <c r="F51" s="125"/>
      <c r="G51" s="125"/>
      <c r="H51" s="125"/>
      <c r="I51" s="125"/>
      <c r="J51" s="126"/>
    </row>
    <row r="52" spans="2:10" ht="16.5" thickBot="1" x14ac:dyDescent="0.3">
      <c r="B52" s="366" t="s">
        <v>234</v>
      </c>
      <c r="C52" s="367"/>
      <c r="D52" s="367"/>
      <c r="E52" s="367"/>
      <c r="F52" s="367"/>
      <c r="G52" s="367"/>
      <c r="H52" s="367"/>
      <c r="I52" s="367"/>
      <c r="J52" s="368"/>
    </row>
    <row r="53" spans="2:10" ht="14.65" customHeight="1" x14ac:dyDescent="0.25">
      <c r="B53" s="357" t="s">
        <v>535</v>
      </c>
      <c r="C53" s="358"/>
      <c r="D53" s="358"/>
      <c r="E53" s="358"/>
      <c r="F53" s="358"/>
      <c r="G53" s="358"/>
      <c r="H53" s="358"/>
      <c r="I53" s="358"/>
      <c r="J53" s="359"/>
    </row>
    <row r="54" spans="2:10" ht="16.5" thickBot="1" x14ac:dyDescent="0.3">
      <c r="B54" s="360" t="s">
        <v>536</v>
      </c>
      <c r="C54" s="361"/>
      <c r="D54" s="361"/>
      <c r="E54" s="361"/>
      <c r="F54" s="361"/>
      <c r="G54" s="361"/>
      <c r="H54" s="361"/>
      <c r="I54" s="361"/>
      <c r="J54" s="362"/>
    </row>
    <row r="55" spans="2:10" x14ac:dyDescent="0.25">
      <c r="B55" s="74"/>
      <c r="C55" s="74"/>
      <c r="D55" s="74"/>
      <c r="E55" s="74"/>
      <c r="F55" s="74"/>
      <c r="G55" s="74"/>
      <c r="H55" s="74"/>
      <c r="I55" s="74"/>
      <c r="J55" s="74"/>
    </row>
    <row r="56" spans="2:10" x14ac:dyDescent="0.25">
      <c r="B56" s="75"/>
    </row>
  </sheetData>
  <mergeCells count="65">
    <mergeCell ref="B5:D5"/>
    <mergeCell ref="E5:J5"/>
    <mergeCell ref="B2:J2"/>
    <mergeCell ref="B3:D3"/>
    <mergeCell ref="E3:J3"/>
    <mergeCell ref="B4:D4"/>
    <mergeCell ref="E4:J4"/>
    <mergeCell ref="B6:D6"/>
    <mergeCell ref="E6:J6"/>
    <mergeCell ref="B7:D7"/>
    <mergeCell ref="E7:J7"/>
    <mergeCell ref="B8:D8"/>
    <mergeCell ref="E8:J8"/>
    <mergeCell ref="B17:J17"/>
    <mergeCell ref="B9:J9"/>
    <mergeCell ref="B10:E10"/>
    <mergeCell ref="F10:J10"/>
    <mergeCell ref="B11:E11"/>
    <mergeCell ref="F11:J11"/>
    <mergeCell ref="C12:F12"/>
    <mergeCell ref="G12:H12"/>
    <mergeCell ref="C13:F13"/>
    <mergeCell ref="G13:H13"/>
    <mergeCell ref="B14:J14"/>
    <mergeCell ref="B15:J15"/>
    <mergeCell ref="B16:J16"/>
    <mergeCell ref="B29:J29"/>
    <mergeCell ref="B18:J18"/>
    <mergeCell ref="B19:J19"/>
    <mergeCell ref="B20:J20"/>
    <mergeCell ref="B21:J21"/>
    <mergeCell ref="B22:J22"/>
    <mergeCell ref="B23:J23"/>
    <mergeCell ref="B24:J24"/>
    <mergeCell ref="B25:J25"/>
    <mergeCell ref="B26:J26"/>
    <mergeCell ref="B27:J27"/>
    <mergeCell ref="B28:J28"/>
    <mergeCell ref="B30:J30"/>
    <mergeCell ref="B31:J31"/>
    <mergeCell ref="B32:J32"/>
    <mergeCell ref="B33:D33"/>
    <mergeCell ref="E33:G33"/>
    <mergeCell ref="H33:J33"/>
    <mergeCell ref="B45:D45"/>
    <mergeCell ref="E45:J45"/>
    <mergeCell ref="B34:J34"/>
    <mergeCell ref="B35:J35"/>
    <mergeCell ref="B36:J36"/>
    <mergeCell ref="B37:J37"/>
    <mergeCell ref="B38:J38"/>
    <mergeCell ref="B39:J39"/>
    <mergeCell ref="B40:J40"/>
    <mergeCell ref="B41:J41"/>
    <mergeCell ref="B42:J42"/>
    <mergeCell ref="B43:J43"/>
    <mergeCell ref="B44:J44"/>
    <mergeCell ref="B53:J53"/>
    <mergeCell ref="B54:J54"/>
    <mergeCell ref="B46:D46"/>
    <mergeCell ref="E46:J46"/>
    <mergeCell ref="B47:J47"/>
    <mergeCell ref="B48:J48"/>
    <mergeCell ref="B49:J49"/>
    <mergeCell ref="B52:J52"/>
  </mergeCells>
  <hyperlinks>
    <hyperlink ref="B1" location="'Schéma d''enseignement'!G7" display="Schéma d'enseignement"/>
  </hyperlink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sheetPr>
  <dimension ref="B1:J86"/>
  <sheetViews>
    <sheetView workbookViewId="0">
      <selection activeCell="B1" sqref="B1"/>
    </sheetView>
  </sheetViews>
  <sheetFormatPr baseColWidth="10" defaultColWidth="8.7109375" defaultRowHeight="15" x14ac:dyDescent="0.25"/>
  <cols>
    <col min="1" max="1" width="1.5703125" style="1" customWidth="1"/>
    <col min="2" max="2" width="18.7109375" style="1" customWidth="1"/>
    <col min="3" max="6" width="5.42578125" style="1" customWidth="1"/>
    <col min="7" max="8" width="5.7109375" style="1" customWidth="1"/>
    <col min="9" max="9" width="8.7109375" style="1"/>
    <col min="10" max="10" width="22.85546875" style="1" customWidth="1"/>
    <col min="11" max="16384" width="8.7109375" style="1"/>
  </cols>
  <sheetData>
    <row r="1" spans="2:10" x14ac:dyDescent="0.25">
      <c r="B1" s="287" t="s">
        <v>1267</v>
      </c>
    </row>
    <row r="2" spans="2:10" ht="15.75" x14ac:dyDescent="0.25">
      <c r="B2" s="421" t="s">
        <v>195</v>
      </c>
      <c r="C2" s="421"/>
      <c r="D2" s="421"/>
      <c r="E2" s="421"/>
      <c r="F2" s="421"/>
      <c r="G2" s="421"/>
      <c r="H2" s="421"/>
      <c r="I2" s="421"/>
      <c r="J2" s="421"/>
    </row>
    <row r="3" spans="2:10" ht="16.5" thickBot="1" x14ac:dyDescent="0.3">
      <c r="B3" s="475"/>
      <c r="C3" s="475"/>
      <c r="D3" s="475"/>
      <c r="E3" s="476"/>
      <c r="F3" s="476"/>
      <c r="G3" s="476"/>
      <c r="H3" s="477"/>
      <c r="I3" s="477"/>
      <c r="J3" s="477"/>
    </row>
    <row r="4" spans="2:10" ht="16.5" thickBot="1" x14ac:dyDescent="0.3">
      <c r="B4" s="366" t="s">
        <v>196</v>
      </c>
      <c r="C4" s="367"/>
      <c r="D4" s="464"/>
      <c r="E4" s="478" t="s">
        <v>237</v>
      </c>
      <c r="F4" s="479"/>
      <c r="G4" s="479"/>
      <c r="H4" s="479"/>
      <c r="I4" s="479"/>
      <c r="J4" s="480"/>
    </row>
    <row r="5" spans="2:10" ht="16.5" thickBot="1" x14ac:dyDescent="0.3">
      <c r="B5" s="424" t="s">
        <v>197</v>
      </c>
      <c r="C5" s="425"/>
      <c r="D5" s="474"/>
      <c r="E5" s="468" t="s">
        <v>198</v>
      </c>
      <c r="F5" s="469"/>
      <c r="G5" s="469"/>
      <c r="H5" s="469"/>
      <c r="I5" s="469"/>
      <c r="J5" s="470"/>
    </row>
    <row r="6" spans="2:10" ht="16.5" thickBot="1" x14ac:dyDescent="0.3">
      <c r="B6" s="366" t="s">
        <v>199</v>
      </c>
      <c r="C6" s="367"/>
      <c r="D6" s="464"/>
      <c r="E6" s="468" t="s">
        <v>200</v>
      </c>
      <c r="F6" s="469"/>
      <c r="G6" s="469"/>
      <c r="H6" s="469"/>
      <c r="I6" s="469"/>
      <c r="J6" s="470"/>
    </row>
    <row r="7" spans="2:10" ht="16.5" thickBot="1" x14ac:dyDescent="0.3">
      <c r="B7" s="366" t="s">
        <v>201</v>
      </c>
      <c r="C7" s="367"/>
      <c r="D7" s="464"/>
      <c r="E7" s="468" t="s">
        <v>202</v>
      </c>
      <c r="F7" s="469"/>
      <c r="G7" s="469"/>
      <c r="H7" s="469"/>
      <c r="I7" s="469"/>
      <c r="J7" s="470"/>
    </row>
    <row r="8" spans="2:10" ht="16.5" thickBot="1" x14ac:dyDescent="0.3">
      <c r="B8" s="366" t="s">
        <v>203</v>
      </c>
      <c r="C8" s="367"/>
      <c r="D8" s="464"/>
      <c r="E8" s="465" t="s">
        <v>1274</v>
      </c>
      <c r="F8" s="466"/>
      <c r="G8" s="466"/>
      <c r="H8" s="466"/>
      <c r="I8" s="466"/>
      <c r="J8" s="467"/>
    </row>
    <row r="9" spans="2:10" ht="16.5" thickBot="1" x14ac:dyDescent="0.3">
      <c r="B9" s="366" t="s">
        <v>204</v>
      </c>
      <c r="C9" s="367"/>
      <c r="D9" s="464"/>
      <c r="E9" s="468" t="s">
        <v>205</v>
      </c>
      <c r="F9" s="469"/>
      <c r="G9" s="469"/>
      <c r="H9" s="469"/>
      <c r="I9" s="469"/>
      <c r="J9" s="470"/>
    </row>
    <row r="10" spans="2:10" ht="16.5" thickBot="1" x14ac:dyDescent="0.3">
      <c r="B10" s="471" t="s">
        <v>206</v>
      </c>
      <c r="C10" s="472"/>
      <c r="D10" s="472"/>
      <c r="E10" s="472"/>
      <c r="F10" s="472"/>
      <c r="G10" s="472"/>
      <c r="H10" s="472"/>
      <c r="I10" s="472"/>
      <c r="J10" s="473"/>
    </row>
    <row r="11" spans="2:10" ht="16.5" thickBot="1" x14ac:dyDescent="0.3">
      <c r="B11" s="404" t="s">
        <v>207</v>
      </c>
      <c r="C11" s="405"/>
      <c r="D11" s="405"/>
      <c r="E11" s="406"/>
      <c r="F11" s="404" t="s">
        <v>208</v>
      </c>
      <c r="G11" s="405"/>
      <c r="H11" s="405"/>
      <c r="I11" s="405"/>
      <c r="J11" s="406"/>
    </row>
    <row r="12" spans="2:10" ht="16.5" thickBot="1" x14ac:dyDescent="0.3">
      <c r="B12" s="407" t="s">
        <v>209</v>
      </c>
      <c r="C12" s="408"/>
      <c r="D12" s="408"/>
      <c r="E12" s="409"/>
      <c r="F12" s="407"/>
      <c r="G12" s="408"/>
      <c r="H12" s="408"/>
      <c r="I12" s="408"/>
      <c r="J12" s="409"/>
    </row>
    <row r="13" spans="2:10" ht="16.5" thickBot="1" x14ac:dyDescent="0.3">
      <c r="B13" s="69" t="s">
        <v>210</v>
      </c>
      <c r="C13" s="404" t="s">
        <v>211</v>
      </c>
      <c r="D13" s="405"/>
      <c r="E13" s="405"/>
      <c r="F13" s="406"/>
      <c r="G13" s="404" t="s">
        <v>212</v>
      </c>
      <c r="H13" s="406"/>
      <c r="I13" s="70" t="s">
        <v>213</v>
      </c>
      <c r="J13" s="70" t="s">
        <v>214</v>
      </c>
    </row>
    <row r="14" spans="2:10" ht="28.9" customHeight="1" thickBot="1" x14ac:dyDescent="0.3">
      <c r="B14" s="127" t="s">
        <v>238</v>
      </c>
      <c r="C14" s="410" t="s">
        <v>239</v>
      </c>
      <c r="D14" s="411"/>
      <c r="E14" s="411"/>
      <c r="F14" s="412"/>
      <c r="G14" s="410" t="s">
        <v>217</v>
      </c>
      <c r="H14" s="412"/>
      <c r="I14" s="128">
        <v>3</v>
      </c>
      <c r="J14" s="128" t="s">
        <v>218</v>
      </c>
    </row>
    <row r="15" spans="2:10" ht="16.5" thickBot="1" x14ac:dyDescent="0.3">
      <c r="B15" s="366" t="s">
        <v>219</v>
      </c>
      <c r="C15" s="367"/>
      <c r="D15" s="367"/>
      <c r="E15" s="367"/>
      <c r="F15" s="367"/>
      <c r="G15" s="367"/>
      <c r="H15" s="367"/>
      <c r="I15" s="367"/>
      <c r="J15" s="368"/>
    </row>
    <row r="16" spans="2:10" ht="30" customHeight="1" thickBot="1" x14ac:dyDescent="0.3">
      <c r="B16" s="398" t="s">
        <v>538</v>
      </c>
      <c r="C16" s="399"/>
      <c r="D16" s="399"/>
      <c r="E16" s="399"/>
      <c r="F16" s="399"/>
      <c r="G16" s="399"/>
      <c r="H16" s="399"/>
      <c r="I16" s="399"/>
      <c r="J16" s="400"/>
    </row>
    <row r="17" spans="2:10" ht="16.5" thickBot="1" x14ac:dyDescent="0.3">
      <c r="B17" s="366" t="s">
        <v>220</v>
      </c>
      <c r="C17" s="367"/>
      <c r="D17" s="367"/>
      <c r="E17" s="367"/>
      <c r="F17" s="367"/>
      <c r="G17" s="367"/>
      <c r="H17" s="367"/>
      <c r="I17" s="367"/>
      <c r="J17" s="368"/>
    </row>
    <row r="18" spans="2:10" ht="15.4" customHeight="1" x14ac:dyDescent="0.25">
      <c r="B18" s="455" t="s">
        <v>539</v>
      </c>
      <c r="C18" s="456"/>
      <c r="D18" s="456"/>
      <c r="E18" s="456"/>
      <c r="F18" s="456"/>
      <c r="G18" s="456"/>
      <c r="H18" s="456"/>
      <c r="I18" s="456"/>
      <c r="J18" s="457"/>
    </row>
    <row r="19" spans="2:10" ht="14.65" customHeight="1" x14ac:dyDescent="0.25">
      <c r="B19" s="458" t="s">
        <v>540</v>
      </c>
      <c r="C19" s="459"/>
      <c r="D19" s="459"/>
      <c r="E19" s="459"/>
      <c r="F19" s="459"/>
      <c r="G19" s="459"/>
      <c r="H19" s="459"/>
      <c r="I19" s="459"/>
      <c r="J19" s="460"/>
    </row>
    <row r="20" spans="2:10" ht="14.65" customHeight="1" x14ac:dyDescent="0.25">
      <c r="B20" s="458" t="s">
        <v>541</v>
      </c>
      <c r="C20" s="459"/>
      <c r="D20" s="459"/>
      <c r="E20" s="459"/>
      <c r="F20" s="459"/>
      <c r="G20" s="459"/>
      <c r="H20" s="459"/>
      <c r="I20" s="459"/>
      <c r="J20" s="460"/>
    </row>
    <row r="21" spans="2:10" ht="14.65" customHeight="1" x14ac:dyDescent="0.25">
      <c r="B21" s="458" t="s">
        <v>542</v>
      </c>
      <c r="C21" s="459"/>
      <c r="D21" s="459"/>
      <c r="E21" s="459"/>
      <c r="F21" s="459"/>
      <c r="G21" s="459"/>
      <c r="H21" s="459"/>
      <c r="I21" s="459"/>
      <c r="J21" s="460"/>
    </row>
    <row r="22" spans="2:10" ht="14.65" customHeight="1" x14ac:dyDescent="0.25">
      <c r="B22" s="458" t="s">
        <v>543</v>
      </c>
      <c r="C22" s="459"/>
      <c r="D22" s="459"/>
      <c r="E22" s="459"/>
      <c r="F22" s="459"/>
      <c r="G22" s="459"/>
      <c r="H22" s="459"/>
      <c r="I22" s="459"/>
      <c r="J22" s="460"/>
    </row>
    <row r="23" spans="2:10" ht="14.65" customHeight="1" x14ac:dyDescent="0.25">
      <c r="B23" s="458" t="s">
        <v>544</v>
      </c>
      <c r="C23" s="459"/>
      <c r="D23" s="459"/>
      <c r="E23" s="459"/>
      <c r="F23" s="459"/>
      <c r="G23" s="459"/>
      <c r="H23" s="459"/>
      <c r="I23" s="459"/>
      <c r="J23" s="460"/>
    </row>
    <row r="24" spans="2:10" ht="14.65" customHeight="1" x14ac:dyDescent="0.25">
      <c r="B24" s="458" t="s">
        <v>545</v>
      </c>
      <c r="C24" s="459"/>
      <c r="D24" s="459"/>
      <c r="E24" s="459"/>
      <c r="F24" s="459"/>
      <c r="G24" s="459"/>
      <c r="H24" s="459"/>
      <c r="I24" s="459"/>
      <c r="J24" s="460"/>
    </row>
    <row r="25" spans="2:10" ht="14.65" customHeight="1" x14ac:dyDescent="0.25">
      <c r="B25" s="458" t="s">
        <v>546</v>
      </c>
      <c r="C25" s="459"/>
      <c r="D25" s="459"/>
      <c r="E25" s="459"/>
      <c r="F25" s="459"/>
      <c r="G25" s="459"/>
      <c r="H25" s="459"/>
      <c r="I25" s="459"/>
      <c r="J25" s="460"/>
    </row>
    <row r="26" spans="2:10" ht="14.65" customHeight="1" x14ac:dyDescent="0.25">
      <c r="B26" s="458" t="s">
        <v>547</v>
      </c>
      <c r="C26" s="459"/>
      <c r="D26" s="459"/>
      <c r="E26" s="459"/>
      <c r="F26" s="459"/>
      <c r="G26" s="459"/>
      <c r="H26" s="459"/>
      <c r="I26" s="459"/>
      <c r="J26" s="460"/>
    </row>
    <row r="27" spans="2:10" ht="15.75" thickBot="1" x14ac:dyDescent="0.3">
      <c r="B27" s="461" t="s">
        <v>548</v>
      </c>
      <c r="C27" s="462"/>
      <c r="D27" s="462"/>
      <c r="E27" s="462"/>
      <c r="F27" s="462"/>
      <c r="G27" s="462"/>
      <c r="H27" s="462"/>
      <c r="I27" s="462"/>
      <c r="J27" s="463"/>
    </row>
    <row r="28" spans="2:10" ht="16.5" thickBot="1" x14ac:dyDescent="0.3">
      <c r="B28" s="366" t="s">
        <v>221</v>
      </c>
      <c r="C28" s="367"/>
      <c r="D28" s="367"/>
      <c r="E28" s="367"/>
      <c r="F28" s="367"/>
      <c r="G28" s="367"/>
      <c r="H28" s="367"/>
      <c r="I28" s="367"/>
      <c r="J28" s="368"/>
    </row>
    <row r="29" spans="2:10" ht="115.15" customHeight="1" thickBot="1" x14ac:dyDescent="0.3">
      <c r="B29" s="398" t="s">
        <v>549</v>
      </c>
      <c r="C29" s="399"/>
      <c r="D29" s="399"/>
      <c r="E29" s="399"/>
      <c r="F29" s="399"/>
      <c r="G29" s="399"/>
      <c r="H29" s="399"/>
      <c r="I29" s="399"/>
      <c r="J29" s="400"/>
    </row>
    <row r="30" spans="2:10" ht="16.5" thickBot="1" x14ac:dyDescent="0.3">
      <c r="B30" s="366" t="s">
        <v>222</v>
      </c>
      <c r="C30" s="367"/>
      <c r="D30" s="367"/>
      <c r="E30" s="367"/>
      <c r="F30" s="367"/>
      <c r="G30" s="367"/>
      <c r="H30" s="367"/>
      <c r="I30" s="367"/>
      <c r="J30" s="368"/>
    </row>
    <row r="31" spans="2:10" ht="15.75" thickBot="1" x14ac:dyDescent="0.3">
      <c r="B31" s="387" t="s">
        <v>240</v>
      </c>
      <c r="C31" s="388"/>
      <c r="D31" s="388"/>
      <c r="E31" s="388"/>
      <c r="F31" s="388"/>
      <c r="G31" s="388"/>
      <c r="H31" s="388"/>
      <c r="I31" s="388"/>
      <c r="J31" s="389"/>
    </row>
    <row r="32" spans="2:10" ht="15.75" thickBot="1" x14ac:dyDescent="0.3">
      <c r="B32" s="387" t="s">
        <v>241</v>
      </c>
      <c r="C32" s="388"/>
      <c r="D32" s="388"/>
      <c r="E32" s="388"/>
      <c r="F32" s="388"/>
      <c r="G32" s="388"/>
      <c r="H32" s="388"/>
      <c r="I32" s="388"/>
      <c r="J32" s="389"/>
    </row>
    <row r="33" spans="2:10" ht="15.75" thickBot="1" x14ac:dyDescent="0.3">
      <c r="B33" s="387" t="s">
        <v>29</v>
      </c>
      <c r="C33" s="388"/>
      <c r="D33" s="388"/>
      <c r="E33" s="388"/>
      <c r="F33" s="388"/>
      <c r="G33" s="388"/>
      <c r="H33" s="388"/>
      <c r="I33" s="388"/>
      <c r="J33" s="389"/>
    </row>
    <row r="34" spans="2:10" ht="15.75" thickBot="1" x14ac:dyDescent="0.3">
      <c r="B34" s="387" t="s">
        <v>34</v>
      </c>
      <c r="C34" s="388"/>
      <c r="D34" s="388"/>
      <c r="E34" s="388"/>
      <c r="F34" s="388"/>
      <c r="G34" s="388"/>
      <c r="H34" s="388"/>
      <c r="I34" s="388"/>
      <c r="J34" s="389"/>
    </row>
    <row r="35" spans="2:10" ht="15.75" thickBot="1" x14ac:dyDescent="0.3">
      <c r="B35" s="387" t="s">
        <v>242</v>
      </c>
      <c r="C35" s="388"/>
      <c r="D35" s="388"/>
      <c r="E35" s="388"/>
      <c r="F35" s="388"/>
      <c r="G35" s="388"/>
      <c r="H35" s="388"/>
      <c r="I35" s="388"/>
      <c r="J35" s="389"/>
    </row>
    <row r="36" spans="2:10" ht="15.75" thickBot="1" x14ac:dyDescent="0.3">
      <c r="B36" s="387" t="s">
        <v>44</v>
      </c>
      <c r="C36" s="388"/>
      <c r="D36" s="388"/>
      <c r="E36" s="388"/>
      <c r="F36" s="388"/>
      <c r="G36" s="388"/>
      <c r="H36" s="388"/>
      <c r="I36" s="388"/>
      <c r="J36" s="389"/>
    </row>
    <row r="37" spans="2:10" ht="15.75" thickBot="1" x14ac:dyDescent="0.3">
      <c r="B37" s="387" t="s">
        <v>40</v>
      </c>
      <c r="C37" s="388"/>
      <c r="D37" s="388"/>
      <c r="E37" s="388"/>
      <c r="F37" s="388"/>
      <c r="G37" s="388"/>
      <c r="H37" s="388"/>
      <c r="I37" s="388"/>
      <c r="J37" s="389"/>
    </row>
    <row r="38" spans="2:10" ht="15.75" thickBot="1" x14ac:dyDescent="0.3">
      <c r="B38" s="387" t="s">
        <v>38</v>
      </c>
      <c r="C38" s="388"/>
      <c r="D38" s="388"/>
      <c r="E38" s="388"/>
      <c r="F38" s="388"/>
      <c r="G38" s="388"/>
      <c r="H38" s="388"/>
      <c r="I38" s="388"/>
      <c r="J38" s="389"/>
    </row>
    <row r="39" spans="2:10" ht="15.75" thickBot="1" x14ac:dyDescent="0.3">
      <c r="B39" s="387" t="s">
        <v>34</v>
      </c>
      <c r="C39" s="388"/>
      <c r="D39" s="388"/>
      <c r="E39" s="388"/>
      <c r="F39" s="388"/>
      <c r="G39" s="388"/>
      <c r="H39" s="388"/>
      <c r="I39" s="388"/>
      <c r="J39" s="389"/>
    </row>
    <row r="40" spans="2:10" ht="16.5" thickBot="1" x14ac:dyDescent="0.3">
      <c r="B40" s="390"/>
      <c r="C40" s="390"/>
      <c r="D40" s="390"/>
      <c r="E40" s="390"/>
      <c r="F40" s="390"/>
      <c r="G40" s="390"/>
      <c r="H40" s="391"/>
      <c r="I40" s="391"/>
      <c r="J40" s="391"/>
    </row>
    <row r="41" spans="2:10" ht="16.5" thickBot="1" x14ac:dyDescent="0.3">
      <c r="B41" s="366" t="s">
        <v>226</v>
      </c>
      <c r="C41" s="367"/>
      <c r="D41" s="367"/>
      <c r="E41" s="367"/>
      <c r="F41" s="367"/>
      <c r="G41" s="367"/>
      <c r="H41" s="367"/>
      <c r="I41" s="367"/>
      <c r="J41" s="368"/>
    </row>
    <row r="42" spans="2:10" ht="44.65" customHeight="1" x14ac:dyDescent="0.25">
      <c r="B42" s="452" t="s">
        <v>550</v>
      </c>
      <c r="C42" s="453"/>
      <c r="D42" s="453"/>
      <c r="E42" s="453"/>
      <c r="F42" s="453"/>
      <c r="G42" s="453"/>
      <c r="H42" s="453"/>
      <c r="I42" s="453"/>
      <c r="J42" s="454"/>
    </row>
    <row r="43" spans="2:10" ht="30" customHeight="1" x14ac:dyDescent="0.25">
      <c r="B43" s="446" t="s">
        <v>551</v>
      </c>
      <c r="C43" s="447"/>
      <c r="D43" s="447"/>
      <c r="E43" s="447"/>
      <c r="F43" s="447"/>
      <c r="G43" s="447"/>
      <c r="H43" s="447"/>
      <c r="I43" s="447"/>
      <c r="J43" s="448"/>
    </row>
    <row r="44" spans="2:10" ht="72.400000000000006" customHeight="1" x14ac:dyDescent="0.25">
      <c r="B44" s="446" t="s">
        <v>552</v>
      </c>
      <c r="C44" s="447"/>
      <c r="D44" s="447"/>
      <c r="E44" s="447"/>
      <c r="F44" s="447"/>
      <c r="G44" s="447"/>
      <c r="H44" s="447"/>
      <c r="I44" s="447"/>
      <c r="J44" s="448"/>
    </row>
    <row r="45" spans="2:10" ht="88.15" customHeight="1" x14ac:dyDescent="0.25">
      <c r="B45" s="446" t="s">
        <v>553</v>
      </c>
      <c r="C45" s="447"/>
      <c r="D45" s="447"/>
      <c r="E45" s="447"/>
      <c r="F45" s="447"/>
      <c r="G45" s="447"/>
      <c r="H45" s="447"/>
      <c r="I45" s="447"/>
      <c r="J45" s="448"/>
    </row>
    <row r="46" spans="2:10" ht="44.65" customHeight="1" x14ac:dyDescent="0.25">
      <c r="B46" s="446" t="s">
        <v>554</v>
      </c>
      <c r="C46" s="447"/>
      <c r="D46" s="447"/>
      <c r="E46" s="447"/>
      <c r="F46" s="447"/>
      <c r="G46" s="447"/>
      <c r="H46" s="447"/>
      <c r="I46" s="447"/>
      <c r="J46" s="448"/>
    </row>
    <row r="47" spans="2:10" ht="58.15" customHeight="1" x14ac:dyDescent="0.25">
      <c r="B47" s="446" t="s">
        <v>555</v>
      </c>
      <c r="C47" s="447"/>
      <c r="D47" s="447"/>
      <c r="E47" s="447"/>
      <c r="F47" s="447"/>
      <c r="G47" s="447"/>
      <c r="H47" s="447"/>
      <c r="I47" s="447"/>
      <c r="J47" s="448"/>
    </row>
    <row r="48" spans="2:10" ht="28.9" customHeight="1" x14ac:dyDescent="0.25">
      <c r="B48" s="446" t="s">
        <v>556</v>
      </c>
      <c r="C48" s="447"/>
      <c r="D48" s="447"/>
      <c r="E48" s="447"/>
      <c r="F48" s="447"/>
      <c r="G48" s="447"/>
      <c r="H48" s="447"/>
      <c r="I48" s="447"/>
      <c r="J48" s="448"/>
    </row>
    <row r="49" spans="2:10" ht="30" customHeight="1" x14ac:dyDescent="0.25">
      <c r="B49" s="446" t="s">
        <v>557</v>
      </c>
      <c r="C49" s="447"/>
      <c r="D49" s="447"/>
      <c r="E49" s="447"/>
      <c r="F49" s="447"/>
      <c r="G49" s="447"/>
      <c r="H49" s="447"/>
      <c r="I49" s="447"/>
      <c r="J49" s="448"/>
    </row>
    <row r="50" spans="2:10" ht="43.5" customHeight="1" x14ac:dyDescent="0.25">
      <c r="B50" s="446" t="s">
        <v>558</v>
      </c>
      <c r="C50" s="447"/>
      <c r="D50" s="447"/>
      <c r="E50" s="447"/>
      <c r="F50" s="447"/>
      <c r="G50" s="447"/>
      <c r="H50" s="447"/>
      <c r="I50" s="447"/>
      <c r="J50" s="448"/>
    </row>
    <row r="51" spans="2:10" ht="73.5" customHeight="1" x14ac:dyDescent="0.25">
      <c r="B51" s="449" t="s">
        <v>559</v>
      </c>
      <c r="C51" s="450"/>
      <c r="D51" s="450"/>
      <c r="E51" s="450"/>
      <c r="F51" s="450"/>
      <c r="G51" s="450"/>
      <c r="H51" s="450"/>
      <c r="I51" s="450"/>
      <c r="J51" s="451"/>
    </row>
    <row r="52" spans="2:10" ht="44.65" customHeight="1" x14ac:dyDescent="0.25">
      <c r="B52" s="449" t="s">
        <v>560</v>
      </c>
      <c r="C52" s="450"/>
      <c r="D52" s="450"/>
      <c r="E52" s="450"/>
      <c r="F52" s="450"/>
      <c r="G52" s="450"/>
      <c r="H52" s="450"/>
      <c r="I52" s="450"/>
      <c r="J52" s="451"/>
    </row>
    <row r="53" spans="2:10" ht="14.65" customHeight="1" x14ac:dyDescent="0.25">
      <c r="B53" s="446" t="s">
        <v>243</v>
      </c>
      <c r="C53" s="447"/>
      <c r="D53" s="447"/>
      <c r="E53" s="447"/>
      <c r="F53" s="447"/>
      <c r="G53" s="447"/>
      <c r="H53" s="447"/>
      <c r="I53" s="447"/>
      <c r="J53" s="448"/>
    </row>
    <row r="54" spans="2:10" ht="14.65" customHeight="1" x14ac:dyDescent="0.25">
      <c r="B54" s="446" t="s">
        <v>244</v>
      </c>
      <c r="C54" s="447"/>
      <c r="D54" s="447"/>
      <c r="E54" s="447"/>
      <c r="F54" s="447"/>
      <c r="G54" s="447"/>
      <c r="H54" s="447"/>
      <c r="I54" s="447"/>
      <c r="J54" s="448"/>
    </row>
    <row r="55" spans="2:10" ht="15.4" customHeight="1" x14ac:dyDescent="0.25">
      <c r="B55" s="446" t="s">
        <v>561</v>
      </c>
      <c r="C55" s="447"/>
      <c r="D55" s="447"/>
      <c r="E55" s="447"/>
      <c r="F55" s="447"/>
      <c r="G55" s="447"/>
      <c r="H55" s="447"/>
      <c r="I55" s="447"/>
      <c r="J55" s="448"/>
    </row>
    <row r="56" spans="2:10" ht="14.65" customHeight="1" x14ac:dyDescent="0.25">
      <c r="B56" s="433" t="s">
        <v>562</v>
      </c>
      <c r="C56" s="434"/>
      <c r="D56" s="434"/>
      <c r="E56" s="434"/>
      <c r="F56" s="434"/>
      <c r="G56" s="434"/>
      <c r="H56" s="434"/>
      <c r="I56" s="434"/>
      <c r="J56" s="435"/>
    </row>
    <row r="57" spans="2:10" ht="28.9" customHeight="1" x14ac:dyDescent="0.25">
      <c r="B57" s="433" t="s">
        <v>563</v>
      </c>
      <c r="C57" s="434"/>
      <c r="D57" s="434"/>
      <c r="E57" s="434"/>
      <c r="F57" s="434"/>
      <c r="G57" s="434"/>
      <c r="H57" s="434"/>
      <c r="I57" s="434"/>
      <c r="J57" s="435"/>
    </row>
    <row r="58" spans="2:10" ht="14.65" customHeight="1" x14ac:dyDescent="0.25">
      <c r="B58" s="433" t="s">
        <v>564</v>
      </c>
      <c r="C58" s="434"/>
      <c r="D58" s="434"/>
      <c r="E58" s="434"/>
      <c r="F58" s="434"/>
      <c r="G58" s="434"/>
      <c r="H58" s="434"/>
      <c r="I58" s="434"/>
      <c r="J58" s="435"/>
    </row>
    <row r="59" spans="2:10" ht="43.5" customHeight="1" x14ac:dyDescent="0.25">
      <c r="B59" s="433" t="s">
        <v>565</v>
      </c>
      <c r="C59" s="434"/>
      <c r="D59" s="434"/>
      <c r="E59" s="434"/>
      <c r="F59" s="434"/>
      <c r="G59" s="434"/>
      <c r="H59" s="434"/>
      <c r="I59" s="434"/>
      <c r="J59" s="435"/>
    </row>
    <row r="60" spans="2:10" ht="14.65" customHeight="1" x14ac:dyDescent="0.25">
      <c r="B60" s="433" t="s">
        <v>566</v>
      </c>
      <c r="C60" s="434"/>
      <c r="D60" s="434"/>
      <c r="E60" s="434"/>
      <c r="F60" s="434"/>
      <c r="G60" s="434"/>
      <c r="H60" s="434"/>
      <c r="I60" s="434"/>
      <c r="J60" s="435"/>
    </row>
    <row r="61" spans="2:10" ht="15.4" customHeight="1" x14ac:dyDescent="0.25">
      <c r="B61" s="446" t="s">
        <v>567</v>
      </c>
      <c r="C61" s="447"/>
      <c r="D61" s="447"/>
      <c r="E61" s="447"/>
      <c r="F61" s="447"/>
      <c r="G61" s="447"/>
      <c r="H61" s="447"/>
      <c r="I61" s="447"/>
      <c r="J61" s="448"/>
    </row>
    <row r="62" spans="2:10" ht="14.65" customHeight="1" x14ac:dyDescent="0.25">
      <c r="B62" s="433" t="s">
        <v>568</v>
      </c>
      <c r="C62" s="434"/>
      <c r="D62" s="434"/>
      <c r="E62" s="434"/>
      <c r="F62" s="434"/>
      <c r="G62" s="434"/>
      <c r="H62" s="434"/>
      <c r="I62" s="434"/>
      <c r="J62" s="435"/>
    </row>
    <row r="63" spans="2:10" ht="14.65" customHeight="1" x14ac:dyDescent="0.25">
      <c r="B63" s="433" t="s">
        <v>569</v>
      </c>
      <c r="C63" s="434"/>
      <c r="D63" s="434"/>
      <c r="E63" s="434"/>
      <c r="F63" s="434"/>
      <c r="G63" s="434"/>
      <c r="H63" s="434"/>
      <c r="I63" s="434"/>
      <c r="J63" s="435"/>
    </row>
    <row r="64" spans="2:10" ht="58.15" customHeight="1" x14ac:dyDescent="0.25">
      <c r="B64" s="433" t="s">
        <v>570</v>
      </c>
      <c r="C64" s="434"/>
      <c r="D64" s="434"/>
      <c r="E64" s="434"/>
      <c r="F64" s="434"/>
      <c r="G64" s="434"/>
      <c r="H64" s="434"/>
      <c r="I64" s="434"/>
      <c r="J64" s="435"/>
    </row>
    <row r="65" spans="2:10" ht="30" customHeight="1" thickBot="1" x14ac:dyDescent="0.3">
      <c r="B65" s="442" t="s">
        <v>571</v>
      </c>
      <c r="C65" s="443"/>
      <c r="D65" s="443"/>
      <c r="E65" s="443"/>
      <c r="F65" s="443"/>
      <c r="G65" s="443"/>
      <c r="H65" s="443"/>
      <c r="I65" s="443"/>
      <c r="J65" s="444"/>
    </row>
    <row r="66" spans="2:10" ht="16.5" thickBot="1" x14ac:dyDescent="0.3">
      <c r="B66" s="366" t="s">
        <v>227</v>
      </c>
      <c r="C66" s="367"/>
      <c r="D66" s="367"/>
      <c r="E66" s="367"/>
      <c r="F66" s="367"/>
      <c r="G66" s="367"/>
      <c r="H66" s="367"/>
      <c r="I66" s="367"/>
      <c r="J66" s="368"/>
    </row>
    <row r="67" spans="2:10" ht="16.5" thickBot="1" x14ac:dyDescent="0.3">
      <c r="B67" s="363" t="s">
        <v>245</v>
      </c>
      <c r="C67" s="364"/>
      <c r="D67" s="365"/>
      <c r="E67" s="363" t="s">
        <v>246</v>
      </c>
      <c r="F67" s="364"/>
      <c r="G67" s="364"/>
      <c r="H67" s="364"/>
      <c r="I67" s="364"/>
      <c r="J67" s="365"/>
    </row>
    <row r="68" spans="2:10" ht="16.5" thickBot="1" x14ac:dyDescent="0.3">
      <c r="B68" s="363" t="s">
        <v>247</v>
      </c>
      <c r="C68" s="364"/>
      <c r="D68" s="365"/>
      <c r="E68" s="363" t="s">
        <v>248</v>
      </c>
      <c r="F68" s="364"/>
      <c r="G68" s="364"/>
      <c r="H68" s="364"/>
      <c r="I68" s="364"/>
      <c r="J68" s="365"/>
    </row>
    <row r="69" spans="2:10" ht="16.5" thickBot="1" x14ac:dyDescent="0.3">
      <c r="B69" s="363" t="s">
        <v>230</v>
      </c>
      <c r="C69" s="364"/>
      <c r="D69" s="365"/>
      <c r="E69" s="363" t="s">
        <v>231</v>
      </c>
      <c r="F69" s="364"/>
      <c r="G69" s="364"/>
      <c r="H69" s="364"/>
      <c r="I69" s="364"/>
      <c r="J69" s="445"/>
    </row>
    <row r="70" spans="2:10" ht="16.5" thickBot="1" x14ac:dyDescent="0.3">
      <c r="B70" s="363" t="s">
        <v>249</v>
      </c>
      <c r="C70" s="364"/>
      <c r="D70" s="365"/>
      <c r="E70" s="363" t="s">
        <v>250</v>
      </c>
      <c r="F70" s="364"/>
      <c r="G70" s="364"/>
      <c r="H70" s="364"/>
      <c r="I70" s="364"/>
      <c r="J70" s="365"/>
    </row>
    <row r="71" spans="2:10" ht="16.5" thickBot="1" x14ac:dyDescent="0.3">
      <c r="B71" s="366" t="s">
        <v>232</v>
      </c>
      <c r="C71" s="367"/>
      <c r="D71" s="367"/>
      <c r="E71" s="367"/>
      <c r="F71" s="367"/>
      <c r="G71" s="367"/>
      <c r="H71" s="367"/>
      <c r="I71" s="367"/>
      <c r="J71" s="368"/>
    </row>
    <row r="72" spans="2:10" ht="15.75" thickBot="1" x14ac:dyDescent="0.3">
      <c r="B72" s="439" t="s">
        <v>487</v>
      </c>
      <c r="C72" s="440"/>
      <c r="D72" s="440"/>
      <c r="E72" s="440"/>
      <c r="F72" s="440"/>
      <c r="G72" s="440"/>
      <c r="H72" s="440"/>
      <c r="I72" s="440"/>
      <c r="J72" s="441"/>
    </row>
    <row r="73" spans="2:10" ht="15.75" thickBot="1" x14ac:dyDescent="0.3">
      <c r="B73" s="129" t="s">
        <v>484</v>
      </c>
      <c r="C73" s="130"/>
      <c r="D73" s="130"/>
      <c r="E73" s="130"/>
      <c r="F73" s="130"/>
      <c r="G73" s="130"/>
      <c r="H73" s="130"/>
      <c r="I73" s="130"/>
      <c r="J73" s="131"/>
    </row>
    <row r="74" spans="2:10" ht="15.75" thickBot="1" x14ac:dyDescent="0.3">
      <c r="B74" s="129" t="s">
        <v>486</v>
      </c>
      <c r="C74" s="130"/>
      <c r="D74" s="130"/>
      <c r="E74" s="130"/>
      <c r="F74" s="130"/>
      <c r="G74" s="130"/>
      <c r="H74" s="130"/>
      <c r="I74" s="130"/>
      <c r="J74" s="131"/>
    </row>
    <row r="75" spans="2:10" ht="16.5" thickBot="1" x14ac:dyDescent="0.3">
      <c r="B75" s="366" t="s">
        <v>234</v>
      </c>
      <c r="C75" s="367"/>
      <c r="D75" s="367"/>
      <c r="E75" s="367"/>
      <c r="F75" s="367"/>
      <c r="G75" s="367"/>
      <c r="H75" s="367"/>
      <c r="I75" s="367"/>
      <c r="J75" s="368"/>
    </row>
    <row r="76" spans="2:10" ht="28.9" customHeight="1" x14ac:dyDescent="0.25">
      <c r="B76" s="430" t="s">
        <v>572</v>
      </c>
      <c r="C76" s="431"/>
      <c r="D76" s="431"/>
      <c r="E76" s="431"/>
      <c r="F76" s="431"/>
      <c r="G76" s="431"/>
      <c r="H76" s="431"/>
      <c r="I76" s="431"/>
      <c r="J76" s="432"/>
    </row>
    <row r="77" spans="2:10" ht="14.65" customHeight="1" x14ac:dyDescent="0.25">
      <c r="B77" s="433" t="s">
        <v>573</v>
      </c>
      <c r="C77" s="434"/>
      <c r="D77" s="434"/>
      <c r="E77" s="434"/>
      <c r="F77" s="434"/>
      <c r="G77" s="434"/>
      <c r="H77" s="434"/>
      <c r="I77" s="434"/>
      <c r="J77" s="435"/>
    </row>
    <row r="78" spans="2:10" ht="28.9" customHeight="1" x14ac:dyDescent="0.25">
      <c r="B78" s="436" t="s">
        <v>251</v>
      </c>
      <c r="C78" s="437"/>
      <c r="D78" s="437"/>
      <c r="E78" s="437"/>
      <c r="F78" s="437"/>
      <c r="G78" s="437"/>
      <c r="H78" s="437"/>
      <c r="I78" s="437"/>
      <c r="J78" s="438"/>
    </row>
    <row r="79" spans="2:10" ht="28.9" customHeight="1" x14ac:dyDescent="0.25">
      <c r="B79" s="433" t="s">
        <v>574</v>
      </c>
      <c r="C79" s="434"/>
      <c r="D79" s="434"/>
      <c r="E79" s="434"/>
      <c r="F79" s="434"/>
      <c r="G79" s="434"/>
      <c r="H79" s="434"/>
      <c r="I79" s="434"/>
      <c r="J79" s="435"/>
    </row>
    <row r="80" spans="2:10" ht="28.9" customHeight="1" x14ac:dyDescent="0.25">
      <c r="B80" s="433" t="s">
        <v>575</v>
      </c>
      <c r="C80" s="434"/>
      <c r="D80" s="434"/>
      <c r="E80" s="434"/>
      <c r="F80" s="434"/>
      <c r="G80" s="434"/>
      <c r="H80" s="434"/>
      <c r="I80" s="434"/>
      <c r="J80" s="435"/>
    </row>
    <row r="81" spans="2:10" ht="14.65" customHeight="1" x14ac:dyDescent="0.25">
      <c r="B81" s="433" t="s">
        <v>576</v>
      </c>
      <c r="C81" s="434"/>
      <c r="D81" s="434"/>
      <c r="E81" s="434"/>
      <c r="F81" s="434"/>
      <c r="G81" s="434"/>
      <c r="H81" s="434"/>
      <c r="I81" s="434"/>
      <c r="J81" s="435"/>
    </row>
    <row r="82" spans="2:10" ht="28.9" customHeight="1" x14ac:dyDescent="0.25">
      <c r="B82" s="433" t="s">
        <v>577</v>
      </c>
      <c r="C82" s="434"/>
      <c r="D82" s="434"/>
      <c r="E82" s="434"/>
      <c r="F82" s="434"/>
      <c r="G82" s="434"/>
      <c r="H82" s="434"/>
      <c r="I82" s="434"/>
      <c r="J82" s="435"/>
    </row>
    <row r="83" spans="2:10" ht="28.9" customHeight="1" x14ac:dyDescent="0.25">
      <c r="B83" s="433" t="s">
        <v>578</v>
      </c>
      <c r="C83" s="434"/>
      <c r="D83" s="434"/>
      <c r="E83" s="434"/>
      <c r="F83" s="434"/>
      <c r="G83" s="434"/>
      <c r="H83" s="434"/>
      <c r="I83" s="434"/>
      <c r="J83" s="435"/>
    </row>
    <row r="84" spans="2:10" ht="28.9" customHeight="1" x14ac:dyDescent="0.25">
      <c r="B84" s="436" t="s">
        <v>252</v>
      </c>
      <c r="C84" s="437"/>
      <c r="D84" s="437"/>
      <c r="E84" s="437"/>
      <c r="F84" s="437"/>
      <c r="G84" s="437"/>
      <c r="H84" s="437"/>
      <c r="I84" s="437"/>
      <c r="J84" s="438"/>
    </row>
    <row r="85" spans="2:10" ht="28.9" customHeight="1" x14ac:dyDescent="0.25">
      <c r="B85" s="433" t="s">
        <v>579</v>
      </c>
      <c r="C85" s="434"/>
      <c r="D85" s="434"/>
      <c r="E85" s="434"/>
      <c r="F85" s="434"/>
      <c r="G85" s="434"/>
      <c r="H85" s="434"/>
      <c r="I85" s="434"/>
      <c r="J85" s="435"/>
    </row>
    <row r="86" spans="2:10" ht="15.75" thickBot="1" x14ac:dyDescent="0.3">
      <c r="B86" s="427" t="s">
        <v>580</v>
      </c>
      <c r="C86" s="428"/>
      <c r="D86" s="428"/>
      <c r="E86" s="428"/>
      <c r="F86" s="428"/>
      <c r="G86" s="428"/>
      <c r="H86" s="428"/>
      <c r="I86" s="428"/>
      <c r="J86" s="429"/>
    </row>
  </sheetData>
  <mergeCells count="101">
    <mergeCell ref="B5:D5"/>
    <mergeCell ref="E5:J5"/>
    <mergeCell ref="B6:D6"/>
    <mergeCell ref="E6:J6"/>
    <mergeCell ref="B7:D7"/>
    <mergeCell ref="E7:J7"/>
    <mergeCell ref="B2:J2"/>
    <mergeCell ref="B3:D3"/>
    <mergeCell ref="E3:G3"/>
    <mergeCell ref="H3:J3"/>
    <mergeCell ref="B4:D4"/>
    <mergeCell ref="E4:J4"/>
    <mergeCell ref="B16:J16"/>
    <mergeCell ref="B8:D8"/>
    <mergeCell ref="E8:J8"/>
    <mergeCell ref="B9:D9"/>
    <mergeCell ref="E9:J9"/>
    <mergeCell ref="B10:J10"/>
    <mergeCell ref="B11:E11"/>
    <mergeCell ref="F11:J11"/>
    <mergeCell ref="B12:E12"/>
    <mergeCell ref="F12:J12"/>
    <mergeCell ref="C13:F13"/>
    <mergeCell ref="G13:H13"/>
    <mergeCell ref="B15:J15"/>
    <mergeCell ref="C14:F14"/>
    <mergeCell ref="G14:H14"/>
    <mergeCell ref="B28:J28"/>
    <mergeCell ref="B17:J17"/>
    <mergeCell ref="B18:J18"/>
    <mergeCell ref="B19:J19"/>
    <mergeCell ref="B20:J20"/>
    <mergeCell ref="B21:J21"/>
    <mergeCell ref="B22:J22"/>
    <mergeCell ref="B23:J23"/>
    <mergeCell ref="B24:J24"/>
    <mergeCell ref="B25:J25"/>
    <mergeCell ref="B26:J26"/>
    <mergeCell ref="B27:J27"/>
    <mergeCell ref="B40:D40"/>
    <mergeCell ref="E40:G40"/>
    <mergeCell ref="H40:J40"/>
    <mergeCell ref="B29:J29"/>
    <mergeCell ref="B30:J30"/>
    <mergeCell ref="B31:J31"/>
    <mergeCell ref="B32:J32"/>
    <mergeCell ref="B33:J33"/>
    <mergeCell ref="B34:J34"/>
    <mergeCell ref="B35:J35"/>
    <mergeCell ref="B36:J36"/>
    <mergeCell ref="B37:J37"/>
    <mergeCell ref="B38:J38"/>
    <mergeCell ref="B39:J39"/>
    <mergeCell ref="B52:J52"/>
    <mergeCell ref="B41:J41"/>
    <mergeCell ref="B42:J42"/>
    <mergeCell ref="B43:J43"/>
    <mergeCell ref="B44:J44"/>
    <mergeCell ref="B45:J45"/>
    <mergeCell ref="B46:J46"/>
    <mergeCell ref="B47:J47"/>
    <mergeCell ref="B48:J48"/>
    <mergeCell ref="B49:J49"/>
    <mergeCell ref="B50:J50"/>
    <mergeCell ref="B51:J51"/>
    <mergeCell ref="B64:J64"/>
    <mergeCell ref="B53:J53"/>
    <mergeCell ref="B54:J54"/>
    <mergeCell ref="B55:J55"/>
    <mergeCell ref="B56:J56"/>
    <mergeCell ref="B57:J57"/>
    <mergeCell ref="B58:J58"/>
    <mergeCell ref="B59:J59"/>
    <mergeCell ref="B60:J60"/>
    <mergeCell ref="B61:J61"/>
    <mergeCell ref="B62:J62"/>
    <mergeCell ref="B63:J63"/>
    <mergeCell ref="B72:J72"/>
    <mergeCell ref="B65:J65"/>
    <mergeCell ref="B66:J66"/>
    <mergeCell ref="B67:D67"/>
    <mergeCell ref="E67:J67"/>
    <mergeCell ref="B68:D68"/>
    <mergeCell ref="E68:J68"/>
    <mergeCell ref="B69:D69"/>
    <mergeCell ref="E69:J69"/>
    <mergeCell ref="B70:D70"/>
    <mergeCell ref="E70:J70"/>
    <mergeCell ref="B71:J71"/>
    <mergeCell ref="B86:J86"/>
    <mergeCell ref="B75:J75"/>
    <mergeCell ref="B76:J76"/>
    <mergeCell ref="B77:J77"/>
    <mergeCell ref="B78:J78"/>
    <mergeCell ref="B79:J79"/>
    <mergeCell ref="B80:J80"/>
    <mergeCell ref="B81:J81"/>
    <mergeCell ref="B82:J82"/>
    <mergeCell ref="B83:J83"/>
    <mergeCell ref="B84:J84"/>
    <mergeCell ref="B85:J85"/>
  </mergeCells>
  <hyperlinks>
    <hyperlink ref="B78" r:id="rId1" display="https://www.amazon.fr/Wendell-Odom/e/B001HOA9BI/ref=dp_byline_cont_book_1"/>
    <hyperlink ref="B84" r:id="rId2" display="https://www.amazon.fr/Douglas-Comer/e/B004MQ1FTI/ref=dp_byline_cont_book_1"/>
    <hyperlink ref="B1" location="'Schéma d''enseignement'!G8" display="Schéma d'enseignemen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sheetPr>
  <dimension ref="A1:L75"/>
  <sheetViews>
    <sheetView zoomScale="90" zoomScaleNormal="90" workbookViewId="0">
      <selection activeCell="B1" sqref="B1"/>
    </sheetView>
  </sheetViews>
  <sheetFormatPr baseColWidth="10" defaultColWidth="8.7109375" defaultRowHeight="15" x14ac:dyDescent="0.25"/>
  <cols>
    <col min="1" max="1" width="1.5703125" style="76" customWidth="1"/>
    <col min="2" max="2" width="20.7109375" style="76" customWidth="1"/>
    <col min="3" max="8" width="4.28515625" style="76" customWidth="1"/>
    <col min="9" max="9" width="8.7109375" style="76"/>
    <col min="10" max="10" width="20.7109375" style="76" customWidth="1"/>
    <col min="11" max="12" width="8.7109375" style="76"/>
    <col min="13" max="16384" width="8.7109375" style="1"/>
  </cols>
  <sheetData>
    <row r="1" spans="2:10" x14ac:dyDescent="0.25">
      <c r="B1" s="287" t="s">
        <v>1267</v>
      </c>
    </row>
    <row r="2" spans="2:10" x14ac:dyDescent="0.25">
      <c r="B2" s="534" t="s">
        <v>195</v>
      </c>
      <c r="C2" s="534"/>
      <c r="D2" s="534"/>
      <c r="E2" s="534"/>
      <c r="F2" s="534"/>
      <c r="G2" s="534"/>
      <c r="H2" s="534"/>
      <c r="I2" s="534"/>
      <c r="J2" s="534"/>
    </row>
    <row r="3" spans="2:10" ht="15.75" thickBot="1" x14ac:dyDescent="0.3">
      <c r="B3" s="535"/>
      <c r="C3" s="535"/>
      <c r="D3" s="535"/>
      <c r="E3" s="536"/>
      <c r="F3" s="536"/>
      <c r="G3" s="536"/>
      <c r="H3" s="537"/>
      <c r="I3" s="537"/>
      <c r="J3" s="537"/>
    </row>
    <row r="4" spans="2:10" ht="15.75" thickBot="1" x14ac:dyDescent="0.3">
      <c r="B4" s="491" t="s">
        <v>196</v>
      </c>
      <c r="C4" s="492"/>
      <c r="D4" s="530"/>
      <c r="E4" s="538" t="s">
        <v>253</v>
      </c>
      <c r="F4" s="539"/>
      <c r="G4" s="539"/>
      <c r="H4" s="539"/>
      <c r="I4" s="539"/>
      <c r="J4" s="540"/>
    </row>
    <row r="5" spans="2:10" ht="15.75" thickBot="1" x14ac:dyDescent="0.3">
      <c r="B5" s="527" t="s">
        <v>197</v>
      </c>
      <c r="C5" s="528"/>
      <c r="D5" s="529"/>
      <c r="E5" s="468" t="s">
        <v>1169</v>
      </c>
      <c r="F5" s="469"/>
      <c r="G5" s="469"/>
      <c r="H5" s="469"/>
      <c r="I5" s="469"/>
      <c r="J5" s="470"/>
    </row>
    <row r="6" spans="2:10" ht="15.75" thickBot="1" x14ac:dyDescent="0.3">
      <c r="B6" s="491" t="s">
        <v>199</v>
      </c>
      <c r="C6" s="492"/>
      <c r="D6" s="530"/>
      <c r="E6" s="468" t="s">
        <v>1170</v>
      </c>
      <c r="F6" s="469"/>
      <c r="G6" s="469"/>
      <c r="H6" s="469"/>
      <c r="I6" s="469"/>
      <c r="J6" s="470"/>
    </row>
    <row r="7" spans="2:10" ht="15.75" thickBot="1" x14ac:dyDescent="0.3">
      <c r="B7" s="491" t="s">
        <v>201</v>
      </c>
      <c r="C7" s="492"/>
      <c r="D7" s="530"/>
      <c r="E7" s="468" t="s">
        <v>202</v>
      </c>
      <c r="F7" s="469"/>
      <c r="G7" s="469"/>
      <c r="H7" s="469"/>
      <c r="I7" s="469"/>
      <c r="J7" s="470"/>
    </row>
    <row r="8" spans="2:10" ht="15.75" thickBot="1" x14ac:dyDescent="0.3">
      <c r="B8" s="491" t="s">
        <v>203</v>
      </c>
      <c r="C8" s="492"/>
      <c r="D8" s="530"/>
      <c r="E8" s="465" t="s">
        <v>1274</v>
      </c>
      <c r="F8" s="466"/>
      <c r="G8" s="466"/>
      <c r="H8" s="466"/>
      <c r="I8" s="466"/>
      <c r="J8" s="467"/>
    </row>
    <row r="9" spans="2:10" ht="15.75" thickBot="1" x14ac:dyDescent="0.3">
      <c r="B9" s="491" t="s">
        <v>204</v>
      </c>
      <c r="C9" s="492"/>
      <c r="D9" s="530"/>
      <c r="E9" s="468" t="s">
        <v>1171</v>
      </c>
      <c r="F9" s="469"/>
      <c r="G9" s="469"/>
      <c r="H9" s="469"/>
      <c r="I9" s="469"/>
      <c r="J9" s="470"/>
    </row>
    <row r="10" spans="2:10" ht="15.75" thickBot="1" x14ac:dyDescent="0.3">
      <c r="B10" s="531" t="s">
        <v>206</v>
      </c>
      <c r="C10" s="532"/>
      <c r="D10" s="532"/>
      <c r="E10" s="532"/>
      <c r="F10" s="532"/>
      <c r="G10" s="532"/>
      <c r="H10" s="532"/>
      <c r="I10" s="532"/>
      <c r="J10" s="533"/>
    </row>
    <row r="11" spans="2:10" ht="15.75" thickBot="1" x14ac:dyDescent="0.3">
      <c r="B11" s="521" t="s">
        <v>207</v>
      </c>
      <c r="C11" s="522"/>
      <c r="D11" s="522"/>
      <c r="E11" s="523"/>
      <c r="F11" s="521" t="s">
        <v>208</v>
      </c>
      <c r="G11" s="522"/>
      <c r="H11" s="522"/>
      <c r="I11" s="522"/>
      <c r="J11" s="523"/>
    </row>
    <row r="12" spans="2:10" ht="15.75" thickBot="1" x14ac:dyDescent="0.3">
      <c r="B12" s="410" t="s">
        <v>209</v>
      </c>
      <c r="C12" s="411"/>
      <c r="D12" s="411"/>
      <c r="E12" s="412"/>
      <c r="F12" s="410"/>
      <c r="G12" s="411"/>
      <c r="H12" s="411"/>
      <c r="I12" s="411"/>
      <c r="J12" s="412"/>
    </row>
    <row r="13" spans="2:10" ht="15.75" thickBot="1" x14ac:dyDescent="0.3">
      <c r="B13" s="253" t="s">
        <v>210</v>
      </c>
      <c r="C13" s="521" t="s">
        <v>211</v>
      </c>
      <c r="D13" s="522"/>
      <c r="E13" s="522"/>
      <c r="F13" s="523"/>
      <c r="G13" s="521" t="s">
        <v>212</v>
      </c>
      <c r="H13" s="523"/>
      <c r="I13" s="254" t="s">
        <v>213</v>
      </c>
      <c r="J13" s="254" t="s">
        <v>214</v>
      </c>
    </row>
    <row r="14" spans="2:10" ht="45.75" thickBot="1" x14ac:dyDescent="0.3">
      <c r="B14" s="127" t="s">
        <v>254</v>
      </c>
      <c r="C14" s="524" t="s">
        <v>239</v>
      </c>
      <c r="D14" s="525"/>
      <c r="E14" s="525"/>
      <c r="F14" s="526"/>
      <c r="G14" s="524" t="s">
        <v>217</v>
      </c>
      <c r="H14" s="526"/>
      <c r="I14" s="128">
        <v>3</v>
      </c>
      <c r="J14" s="128" t="s">
        <v>218</v>
      </c>
    </row>
    <row r="15" spans="2:10" ht="15.75" thickBot="1" x14ac:dyDescent="0.3">
      <c r="B15" s="491" t="s">
        <v>219</v>
      </c>
      <c r="C15" s="492"/>
      <c r="D15" s="492"/>
      <c r="E15" s="492"/>
      <c r="F15" s="492"/>
      <c r="G15" s="492"/>
      <c r="H15" s="492"/>
      <c r="I15" s="492"/>
      <c r="J15" s="493"/>
    </row>
    <row r="16" spans="2:10" ht="44.65" customHeight="1" thickBot="1" x14ac:dyDescent="0.3">
      <c r="B16" s="517" t="s">
        <v>1172</v>
      </c>
      <c r="C16" s="518"/>
      <c r="D16" s="518"/>
      <c r="E16" s="518"/>
      <c r="F16" s="518"/>
      <c r="G16" s="518"/>
      <c r="H16" s="518"/>
      <c r="I16" s="518"/>
      <c r="J16" s="519"/>
    </row>
    <row r="17" spans="2:10" ht="15.75" thickBot="1" x14ac:dyDescent="0.3">
      <c r="B17" s="491" t="s">
        <v>220</v>
      </c>
      <c r="C17" s="492"/>
      <c r="D17" s="492"/>
      <c r="E17" s="492"/>
      <c r="F17" s="492"/>
      <c r="G17" s="492"/>
      <c r="H17" s="492"/>
      <c r="I17" s="492"/>
      <c r="J17" s="493"/>
    </row>
    <row r="18" spans="2:10" ht="14.65" customHeight="1" x14ac:dyDescent="0.25">
      <c r="B18" s="520" t="s">
        <v>1173</v>
      </c>
      <c r="C18" s="402"/>
      <c r="D18" s="402"/>
      <c r="E18" s="402"/>
      <c r="F18" s="402"/>
      <c r="G18" s="402"/>
      <c r="H18" s="402"/>
      <c r="I18" s="402"/>
      <c r="J18" s="403"/>
    </row>
    <row r="19" spans="2:10" ht="14.65" customHeight="1" x14ac:dyDescent="0.25">
      <c r="B19" s="513" t="s">
        <v>1174</v>
      </c>
      <c r="C19" s="393"/>
      <c r="D19" s="393"/>
      <c r="E19" s="393"/>
      <c r="F19" s="393"/>
      <c r="G19" s="393"/>
      <c r="H19" s="393"/>
      <c r="I19" s="393"/>
      <c r="J19" s="394"/>
    </row>
    <row r="20" spans="2:10" ht="14.65" customHeight="1" x14ac:dyDescent="0.25">
      <c r="B20" s="513" t="s">
        <v>1175</v>
      </c>
      <c r="C20" s="393"/>
      <c r="D20" s="393"/>
      <c r="E20" s="393"/>
      <c r="F20" s="393"/>
      <c r="G20" s="393"/>
      <c r="H20" s="393"/>
      <c r="I20" s="393"/>
      <c r="J20" s="394"/>
    </row>
    <row r="21" spans="2:10" ht="14.65" customHeight="1" x14ac:dyDescent="0.25">
      <c r="B21" s="513" t="s">
        <v>1176</v>
      </c>
      <c r="C21" s="393"/>
      <c r="D21" s="393"/>
      <c r="E21" s="393"/>
      <c r="F21" s="393"/>
      <c r="G21" s="393"/>
      <c r="H21" s="393"/>
      <c r="I21" s="393"/>
      <c r="J21" s="394"/>
    </row>
    <row r="22" spans="2:10" ht="14.65" customHeight="1" x14ac:dyDescent="0.25">
      <c r="B22" s="513" t="s">
        <v>1177</v>
      </c>
      <c r="C22" s="393"/>
      <c r="D22" s="393"/>
      <c r="E22" s="393"/>
      <c r="F22" s="393"/>
      <c r="G22" s="393"/>
      <c r="H22" s="393"/>
      <c r="I22" s="393"/>
      <c r="J22" s="394"/>
    </row>
    <row r="23" spans="2:10" ht="14.65" customHeight="1" x14ac:dyDescent="0.25">
      <c r="B23" s="513" t="s">
        <v>1178</v>
      </c>
      <c r="C23" s="393"/>
      <c r="D23" s="393"/>
      <c r="E23" s="393"/>
      <c r="F23" s="393"/>
      <c r="G23" s="393"/>
      <c r="H23" s="393"/>
      <c r="I23" s="393"/>
      <c r="J23" s="394"/>
    </row>
    <row r="24" spans="2:10" ht="14.65" customHeight="1" x14ac:dyDescent="0.25">
      <c r="B24" s="513" t="s">
        <v>1179</v>
      </c>
      <c r="C24" s="393"/>
      <c r="D24" s="393"/>
      <c r="E24" s="393"/>
      <c r="F24" s="393"/>
      <c r="G24" s="393"/>
      <c r="H24" s="393"/>
      <c r="I24" s="393"/>
      <c r="J24" s="394"/>
    </row>
    <row r="25" spans="2:10" ht="14.65" customHeight="1" x14ac:dyDescent="0.25">
      <c r="B25" s="513" t="s">
        <v>1180</v>
      </c>
      <c r="C25" s="393"/>
      <c r="D25" s="393"/>
      <c r="E25" s="393"/>
      <c r="F25" s="393"/>
      <c r="G25" s="393"/>
      <c r="H25" s="393"/>
      <c r="I25" s="393"/>
      <c r="J25" s="394"/>
    </row>
    <row r="26" spans="2:10" ht="28.9" customHeight="1" x14ac:dyDescent="0.25">
      <c r="B26" s="513" t="s">
        <v>1181</v>
      </c>
      <c r="C26" s="393"/>
      <c r="D26" s="393"/>
      <c r="E26" s="393"/>
      <c r="F26" s="393"/>
      <c r="G26" s="393"/>
      <c r="H26" s="393"/>
      <c r="I26" s="393"/>
      <c r="J26" s="394"/>
    </row>
    <row r="27" spans="2:10" ht="14.65" customHeight="1" x14ac:dyDescent="0.25">
      <c r="B27" s="513" t="s">
        <v>1182</v>
      </c>
      <c r="C27" s="393"/>
      <c r="D27" s="393"/>
      <c r="E27" s="393"/>
      <c r="F27" s="393"/>
      <c r="G27" s="393"/>
      <c r="H27" s="393"/>
      <c r="I27" s="393"/>
      <c r="J27" s="394"/>
    </row>
    <row r="28" spans="2:10" ht="44.65" customHeight="1" thickBot="1" x14ac:dyDescent="0.3">
      <c r="B28" s="514" t="s">
        <v>1183</v>
      </c>
      <c r="C28" s="515"/>
      <c r="D28" s="515"/>
      <c r="E28" s="515"/>
      <c r="F28" s="515"/>
      <c r="G28" s="515"/>
      <c r="H28" s="515"/>
      <c r="I28" s="515"/>
      <c r="J28" s="516"/>
    </row>
    <row r="29" spans="2:10" ht="15.75" thickBot="1" x14ac:dyDescent="0.3">
      <c r="B29" s="491" t="s">
        <v>221</v>
      </c>
      <c r="C29" s="492"/>
      <c r="D29" s="492"/>
      <c r="E29" s="492"/>
      <c r="F29" s="492"/>
      <c r="G29" s="492"/>
      <c r="H29" s="492"/>
      <c r="I29" s="492"/>
      <c r="J29" s="493"/>
    </row>
    <row r="30" spans="2:10" ht="15.75" thickBot="1" x14ac:dyDescent="0.3">
      <c r="B30" s="387" t="s">
        <v>1184</v>
      </c>
      <c r="C30" s="388"/>
      <c r="D30" s="388"/>
      <c r="E30" s="388"/>
      <c r="F30" s="388"/>
      <c r="G30" s="388"/>
      <c r="H30" s="388"/>
      <c r="I30" s="388"/>
      <c r="J30" s="389"/>
    </row>
    <row r="31" spans="2:10" ht="15.75" thickBot="1" x14ac:dyDescent="0.3">
      <c r="B31" s="491" t="s">
        <v>222</v>
      </c>
      <c r="C31" s="492"/>
      <c r="D31" s="492"/>
      <c r="E31" s="492"/>
      <c r="F31" s="492"/>
      <c r="G31" s="492"/>
      <c r="H31" s="492"/>
      <c r="I31" s="492"/>
      <c r="J31" s="493"/>
    </row>
    <row r="32" spans="2:10" ht="15.75" thickBot="1" x14ac:dyDescent="0.3">
      <c r="B32" s="508" t="s">
        <v>255</v>
      </c>
      <c r="C32" s="509"/>
      <c r="D32" s="509"/>
      <c r="E32" s="509"/>
      <c r="F32" s="509"/>
      <c r="G32" s="509"/>
      <c r="H32" s="509"/>
      <c r="I32" s="509"/>
      <c r="J32" s="510"/>
    </row>
    <row r="33" spans="2:10" ht="15.75" thickBot="1" x14ac:dyDescent="0.3">
      <c r="B33" s="508" t="s">
        <v>240</v>
      </c>
      <c r="C33" s="509"/>
      <c r="D33" s="509"/>
      <c r="E33" s="509"/>
      <c r="F33" s="509"/>
      <c r="G33" s="509"/>
      <c r="H33" s="509"/>
      <c r="I33" s="509"/>
      <c r="J33" s="510"/>
    </row>
    <row r="34" spans="2:10" ht="15.75" thickBot="1" x14ac:dyDescent="0.3">
      <c r="B34" s="508" t="s">
        <v>29</v>
      </c>
      <c r="C34" s="509"/>
      <c r="D34" s="509"/>
      <c r="E34" s="509"/>
      <c r="F34" s="509"/>
      <c r="G34" s="509"/>
      <c r="H34" s="509"/>
      <c r="I34" s="509"/>
      <c r="J34" s="510"/>
    </row>
    <row r="35" spans="2:10" ht="15.75" thickBot="1" x14ac:dyDescent="0.3">
      <c r="B35" s="508" t="s">
        <v>34</v>
      </c>
      <c r="C35" s="509"/>
      <c r="D35" s="509"/>
      <c r="E35" s="509"/>
      <c r="F35" s="509"/>
      <c r="G35" s="509"/>
      <c r="H35" s="509"/>
      <c r="I35" s="509"/>
      <c r="J35" s="510"/>
    </row>
    <row r="36" spans="2:10" ht="15.75" thickBot="1" x14ac:dyDescent="0.3">
      <c r="B36" s="508" t="s">
        <v>256</v>
      </c>
      <c r="C36" s="509"/>
      <c r="D36" s="509"/>
      <c r="E36" s="509"/>
      <c r="F36" s="509"/>
      <c r="G36" s="509"/>
      <c r="H36" s="509"/>
      <c r="I36" s="509"/>
      <c r="J36" s="510"/>
    </row>
    <row r="37" spans="2:10" ht="15.75" thickBot="1" x14ac:dyDescent="0.3">
      <c r="B37" s="508" t="s">
        <v>38</v>
      </c>
      <c r="C37" s="509"/>
      <c r="D37" s="509"/>
      <c r="E37" s="509"/>
      <c r="F37" s="509"/>
      <c r="G37" s="509"/>
      <c r="H37" s="509"/>
      <c r="I37" s="509"/>
      <c r="J37" s="510"/>
    </row>
    <row r="38" spans="2:10" ht="15.75" thickBot="1" x14ac:dyDescent="0.3">
      <c r="B38" s="508" t="s">
        <v>40</v>
      </c>
      <c r="C38" s="509"/>
      <c r="D38" s="509"/>
      <c r="E38" s="509"/>
      <c r="F38" s="509"/>
      <c r="G38" s="509"/>
      <c r="H38" s="509"/>
      <c r="I38" s="509"/>
      <c r="J38" s="510"/>
    </row>
    <row r="39" spans="2:10" ht="15.75" thickBot="1" x14ac:dyDescent="0.3">
      <c r="B39" s="508" t="s">
        <v>44</v>
      </c>
      <c r="C39" s="509"/>
      <c r="D39" s="509"/>
      <c r="E39" s="509"/>
      <c r="F39" s="509"/>
      <c r="G39" s="509"/>
      <c r="H39" s="509"/>
      <c r="I39" s="509"/>
      <c r="J39" s="510"/>
    </row>
    <row r="40" spans="2:10" ht="15.75" thickBot="1" x14ac:dyDescent="0.3">
      <c r="B40" s="508" t="s">
        <v>46</v>
      </c>
      <c r="C40" s="509"/>
      <c r="D40" s="509"/>
      <c r="E40" s="509"/>
      <c r="F40" s="509"/>
      <c r="G40" s="509"/>
      <c r="H40" s="509"/>
      <c r="I40" s="509"/>
      <c r="J40" s="510"/>
    </row>
    <row r="41" spans="2:10" ht="15.75" thickBot="1" x14ac:dyDescent="0.3">
      <c r="B41" s="508" t="s">
        <v>47</v>
      </c>
      <c r="C41" s="509"/>
      <c r="D41" s="509"/>
      <c r="E41" s="509"/>
      <c r="F41" s="509"/>
      <c r="G41" s="509"/>
      <c r="H41" s="509"/>
      <c r="I41" s="509"/>
      <c r="J41" s="510"/>
    </row>
    <row r="42" spans="2:10" ht="15.75" thickBot="1" x14ac:dyDescent="0.3">
      <c r="B42" s="511"/>
      <c r="C42" s="511"/>
      <c r="D42" s="511"/>
      <c r="E42" s="511"/>
      <c r="F42" s="511"/>
      <c r="G42" s="511"/>
      <c r="H42" s="512"/>
      <c r="I42" s="512"/>
      <c r="J42" s="512"/>
    </row>
    <row r="43" spans="2:10" x14ac:dyDescent="0.25">
      <c r="B43" s="496" t="s">
        <v>226</v>
      </c>
      <c r="C43" s="497"/>
      <c r="D43" s="497"/>
      <c r="E43" s="497"/>
      <c r="F43" s="497"/>
      <c r="G43" s="497"/>
      <c r="H43" s="497"/>
      <c r="I43" s="497"/>
      <c r="J43" s="498"/>
    </row>
    <row r="44" spans="2:10" ht="34.5" customHeight="1" x14ac:dyDescent="0.25">
      <c r="B44" s="505" t="s">
        <v>1203</v>
      </c>
      <c r="C44" s="506"/>
      <c r="D44" s="506"/>
      <c r="E44" s="506"/>
      <c r="F44" s="506"/>
      <c r="G44" s="506"/>
      <c r="H44" s="506"/>
      <c r="I44" s="506"/>
      <c r="J44" s="507"/>
    </row>
    <row r="45" spans="2:10" ht="14.65" customHeight="1" x14ac:dyDescent="0.25">
      <c r="B45" s="255" t="s">
        <v>1185</v>
      </c>
      <c r="C45" s="211"/>
      <c r="D45" s="211"/>
      <c r="E45" s="211"/>
      <c r="F45" s="211"/>
      <c r="G45" s="211"/>
      <c r="H45" s="211"/>
      <c r="I45" s="211"/>
      <c r="J45" s="256"/>
    </row>
    <row r="46" spans="2:10" ht="43.5" customHeight="1" x14ac:dyDescent="0.25">
      <c r="B46" s="499" t="s">
        <v>1186</v>
      </c>
      <c r="C46" s="500"/>
      <c r="D46" s="500"/>
      <c r="E46" s="500"/>
      <c r="F46" s="500"/>
      <c r="G46" s="500"/>
      <c r="H46" s="500"/>
      <c r="I46" s="500"/>
      <c r="J46" s="501"/>
    </row>
    <row r="47" spans="2:10" ht="24" customHeight="1" x14ac:dyDescent="0.25">
      <c r="B47" s="502" t="s">
        <v>257</v>
      </c>
      <c r="C47" s="503"/>
      <c r="D47" s="503"/>
      <c r="E47" s="503"/>
      <c r="F47" s="503"/>
      <c r="G47" s="503"/>
      <c r="H47" s="503"/>
      <c r="I47" s="503"/>
      <c r="J47" s="504"/>
    </row>
    <row r="48" spans="2:10" ht="30" customHeight="1" x14ac:dyDescent="0.25">
      <c r="B48" s="481" t="s">
        <v>1187</v>
      </c>
      <c r="C48" s="482"/>
      <c r="D48" s="482"/>
      <c r="E48" s="482"/>
      <c r="F48" s="482"/>
      <c r="G48" s="482"/>
      <c r="H48" s="482"/>
      <c r="I48" s="482"/>
      <c r="J48" s="483"/>
    </row>
    <row r="49" spans="2:10" ht="14.65" customHeight="1" x14ac:dyDescent="0.25">
      <c r="B49" s="481" t="s">
        <v>1188</v>
      </c>
      <c r="C49" s="482"/>
      <c r="D49" s="482"/>
      <c r="E49" s="482"/>
      <c r="F49" s="482"/>
      <c r="G49" s="482"/>
      <c r="H49" s="482"/>
      <c r="I49" s="482"/>
      <c r="J49" s="483"/>
    </row>
    <row r="50" spans="2:10" ht="14.65" customHeight="1" x14ac:dyDescent="0.25">
      <c r="B50" s="481" t="s">
        <v>1189</v>
      </c>
      <c r="C50" s="482"/>
      <c r="D50" s="482"/>
      <c r="E50" s="482"/>
      <c r="F50" s="482"/>
      <c r="G50" s="482"/>
      <c r="H50" s="482"/>
      <c r="I50" s="482"/>
      <c r="J50" s="483"/>
    </row>
    <row r="51" spans="2:10" ht="14.65" customHeight="1" x14ac:dyDescent="0.25">
      <c r="B51" s="481" t="s">
        <v>1190</v>
      </c>
      <c r="C51" s="482"/>
      <c r="D51" s="482"/>
      <c r="E51" s="482"/>
      <c r="F51" s="482"/>
      <c r="G51" s="482"/>
      <c r="H51" s="482"/>
      <c r="I51" s="482"/>
      <c r="J51" s="483"/>
    </row>
    <row r="52" spans="2:10" ht="28.9" customHeight="1" x14ac:dyDescent="0.25">
      <c r="B52" s="481" t="s">
        <v>1191</v>
      </c>
      <c r="C52" s="482"/>
      <c r="D52" s="482"/>
      <c r="E52" s="482"/>
      <c r="F52" s="482"/>
      <c r="G52" s="482"/>
      <c r="H52" s="482"/>
      <c r="I52" s="482"/>
      <c r="J52" s="483"/>
    </row>
    <row r="53" spans="2:10" ht="28.9" customHeight="1" x14ac:dyDescent="0.25">
      <c r="B53" s="481" t="s">
        <v>1192</v>
      </c>
      <c r="C53" s="482"/>
      <c r="D53" s="482"/>
      <c r="E53" s="482"/>
      <c r="F53" s="482"/>
      <c r="G53" s="482"/>
      <c r="H53" s="482"/>
      <c r="I53" s="482"/>
      <c r="J53" s="483"/>
    </row>
    <row r="54" spans="2:10" ht="14.65" customHeight="1" x14ac:dyDescent="0.25">
      <c r="B54" s="494" t="s">
        <v>1193</v>
      </c>
      <c r="C54" s="393"/>
      <c r="D54" s="393"/>
      <c r="E54" s="393"/>
      <c r="F54" s="393"/>
      <c r="G54" s="393"/>
      <c r="H54" s="393"/>
      <c r="I54" s="393"/>
      <c r="J54" s="495"/>
    </row>
    <row r="55" spans="2:10" ht="14.65" customHeight="1" x14ac:dyDescent="0.25">
      <c r="B55" s="494" t="s">
        <v>1194</v>
      </c>
      <c r="C55" s="393"/>
      <c r="D55" s="393"/>
      <c r="E55" s="393"/>
      <c r="F55" s="393"/>
      <c r="G55" s="393"/>
      <c r="H55" s="393"/>
      <c r="I55" s="393"/>
      <c r="J55" s="495"/>
    </row>
    <row r="56" spans="2:10" ht="58.15" customHeight="1" x14ac:dyDescent="0.25">
      <c r="B56" s="481" t="s">
        <v>1195</v>
      </c>
      <c r="C56" s="482"/>
      <c r="D56" s="482"/>
      <c r="E56" s="482"/>
      <c r="F56" s="482"/>
      <c r="G56" s="482"/>
      <c r="H56" s="482"/>
      <c r="I56" s="482"/>
      <c r="J56" s="483"/>
    </row>
    <row r="57" spans="2:10" ht="61.5" customHeight="1" x14ac:dyDescent="0.25">
      <c r="B57" s="484" t="s">
        <v>1165</v>
      </c>
      <c r="C57" s="485"/>
      <c r="D57" s="485"/>
      <c r="E57" s="485"/>
      <c r="F57" s="485"/>
      <c r="G57" s="485"/>
      <c r="H57" s="485"/>
      <c r="I57" s="485"/>
      <c r="J57" s="486"/>
    </row>
    <row r="58" spans="2:10" ht="15.75" thickBot="1" x14ac:dyDescent="0.3">
      <c r="B58" s="487" t="s">
        <v>227</v>
      </c>
      <c r="C58" s="488"/>
      <c r="D58" s="488"/>
      <c r="E58" s="488"/>
      <c r="F58" s="488"/>
      <c r="G58" s="488"/>
      <c r="H58" s="488"/>
      <c r="I58" s="488"/>
      <c r="J58" s="489"/>
    </row>
    <row r="59" spans="2:10" ht="15.75" thickBot="1" x14ac:dyDescent="0.3">
      <c r="B59" s="387" t="s">
        <v>228</v>
      </c>
      <c r="C59" s="388"/>
      <c r="D59" s="490"/>
      <c r="E59" s="387" t="s">
        <v>217</v>
      </c>
      <c r="F59" s="388"/>
      <c r="G59" s="388"/>
      <c r="H59" s="388"/>
      <c r="I59" s="388"/>
      <c r="J59" s="490"/>
    </row>
    <row r="60" spans="2:10" ht="15.75" thickBot="1" x14ac:dyDescent="0.3">
      <c r="B60" s="387" t="s">
        <v>230</v>
      </c>
      <c r="C60" s="388"/>
      <c r="D60" s="490"/>
      <c r="E60" s="387" t="s">
        <v>231</v>
      </c>
      <c r="F60" s="388"/>
      <c r="G60" s="388"/>
      <c r="H60" s="388"/>
      <c r="I60" s="388"/>
      <c r="J60" s="490"/>
    </row>
    <row r="61" spans="2:10" ht="15.75" thickBot="1" x14ac:dyDescent="0.3">
      <c r="B61" s="491" t="s">
        <v>232</v>
      </c>
      <c r="C61" s="492"/>
      <c r="D61" s="492"/>
      <c r="E61" s="492"/>
      <c r="F61" s="492"/>
      <c r="G61" s="492"/>
      <c r="H61" s="492"/>
      <c r="I61" s="492"/>
      <c r="J61" s="493"/>
    </row>
    <row r="62" spans="2:10" ht="15.75" thickBot="1" x14ac:dyDescent="0.3">
      <c r="B62" s="387" t="s">
        <v>487</v>
      </c>
      <c r="C62" s="388"/>
      <c r="D62" s="388"/>
      <c r="E62" s="388"/>
      <c r="F62" s="388"/>
      <c r="G62" s="388"/>
      <c r="H62" s="388"/>
      <c r="I62" s="388"/>
      <c r="J62" s="389"/>
    </row>
    <row r="63" spans="2:10" ht="15.75" thickBot="1" x14ac:dyDescent="0.3">
      <c r="B63" s="205" t="s">
        <v>484</v>
      </c>
      <c r="C63" s="206"/>
      <c r="D63" s="206"/>
      <c r="E63" s="206"/>
      <c r="F63" s="206"/>
      <c r="G63" s="206"/>
      <c r="H63" s="206"/>
      <c r="I63" s="206"/>
      <c r="J63" s="207"/>
    </row>
    <row r="64" spans="2:10" ht="15.75" thickBot="1" x14ac:dyDescent="0.3">
      <c r="B64" s="205" t="s">
        <v>488</v>
      </c>
      <c r="C64" s="206"/>
      <c r="D64" s="206"/>
      <c r="E64" s="206"/>
      <c r="F64" s="206"/>
      <c r="G64" s="206"/>
      <c r="H64" s="206"/>
      <c r="I64" s="206"/>
      <c r="J64" s="207"/>
    </row>
    <row r="65" spans="2:10" ht="15.75" thickBot="1" x14ac:dyDescent="0.3">
      <c r="B65" s="491" t="s">
        <v>234</v>
      </c>
      <c r="C65" s="492"/>
      <c r="D65" s="492"/>
      <c r="E65" s="492"/>
      <c r="F65" s="492"/>
      <c r="G65" s="492"/>
      <c r="H65" s="492"/>
      <c r="I65" s="492"/>
      <c r="J65" s="493"/>
    </row>
    <row r="66" spans="2:10" ht="28.9" customHeight="1" x14ac:dyDescent="0.25">
      <c r="B66" s="430" t="s">
        <v>1196</v>
      </c>
      <c r="C66" s="431"/>
      <c r="D66" s="431"/>
      <c r="E66" s="431"/>
      <c r="F66" s="431"/>
      <c r="G66" s="431"/>
      <c r="H66" s="431"/>
      <c r="I66" s="431"/>
      <c r="J66" s="432"/>
    </row>
    <row r="67" spans="2:10" ht="14.65" customHeight="1" x14ac:dyDescent="0.25">
      <c r="B67" s="433" t="s">
        <v>1197</v>
      </c>
      <c r="C67" s="434"/>
      <c r="D67" s="434"/>
      <c r="E67" s="434"/>
      <c r="F67" s="434"/>
      <c r="G67" s="434"/>
      <c r="H67" s="434"/>
      <c r="I67" s="434"/>
      <c r="J67" s="435"/>
    </row>
    <row r="68" spans="2:10" ht="28.9" customHeight="1" x14ac:dyDescent="0.25">
      <c r="B68" s="436" t="s">
        <v>251</v>
      </c>
      <c r="C68" s="437"/>
      <c r="D68" s="437"/>
      <c r="E68" s="437"/>
      <c r="F68" s="437"/>
      <c r="G68" s="437"/>
      <c r="H68" s="437"/>
      <c r="I68" s="437"/>
      <c r="J68" s="438"/>
    </row>
    <row r="69" spans="2:10" ht="28.9" customHeight="1" x14ac:dyDescent="0.25">
      <c r="B69" s="433" t="s">
        <v>1198</v>
      </c>
      <c r="C69" s="434"/>
      <c r="D69" s="434"/>
      <c r="E69" s="434"/>
      <c r="F69" s="434"/>
      <c r="G69" s="434"/>
      <c r="H69" s="434"/>
      <c r="I69" s="434"/>
      <c r="J69" s="435"/>
    </row>
    <row r="70" spans="2:10" ht="28.9" customHeight="1" x14ac:dyDescent="0.25">
      <c r="B70" s="433" t="s">
        <v>1199</v>
      </c>
      <c r="C70" s="434"/>
      <c r="D70" s="434"/>
      <c r="E70" s="434"/>
      <c r="F70" s="434"/>
      <c r="G70" s="434"/>
      <c r="H70" s="434"/>
      <c r="I70" s="434"/>
      <c r="J70" s="435"/>
    </row>
    <row r="71" spans="2:10" ht="14.65" customHeight="1" x14ac:dyDescent="0.25">
      <c r="B71" s="433" t="s">
        <v>1197</v>
      </c>
      <c r="C71" s="434"/>
      <c r="D71" s="434"/>
      <c r="E71" s="434"/>
      <c r="F71" s="434"/>
      <c r="G71" s="434"/>
      <c r="H71" s="434"/>
      <c r="I71" s="434"/>
      <c r="J71" s="435"/>
    </row>
    <row r="72" spans="2:10" ht="28.9" customHeight="1" x14ac:dyDescent="0.25">
      <c r="B72" s="433" t="s">
        <v>1200</v>
      </c>
      <c r="C72" s="434"/>
      <c r="D72" s="434"/>
      <c r="E72" s="434"/>
      <c r="F72" s="434"/>
      <c r="G72" s="434"/>
      <c r="H72" s="434"/>
      <c r="I72" s="434"/>
      <c r="J72" s="435"/>
    </row>
    <row r="73" spans="2:10" ht="28.9" customHeight="1" x14ac:dyDescent="0.25">
      <c r="B73" s="433" t="s">
        <v>1201</v>
      </c>
      <c r="C73" s="434"/>
      <c r="D73" s="434"/>
      <c r="E73" s="434"/>
      <c r="F73" s="434"/>
      <c r="G73" s="434"/>
      <c r="H73" s="434"/>
      <c r="I73" s="434"/>
      <c r="J73" s="435"/>
    </row>
    <row r="74" spans="2:10" ht="28.9" customHeight="1" x14ac:dyDescent="0.25">
      <c r="B74" s="436" t="s">
        <v>252</v>
      </c>
      <c r="C74" s="437"/>
      <c r="D74" s="437"/>
      <c r="E74" s="437"/>
      <c r="F74" s="437"/>
      <c r="G74" s="437"/>
      <c r="H74" s="437"/>
      <c r="I74" s="437"/>
      <c r="J74" s="438"/>
    </row>
    <row r="75" spans="2:10" ht="28.9" customHeight="1" thickBot="1" x14ac:dyDescent="0.3">
      <c r="B75" s="427" t="s">
        <v>1202</v>
      </c>
      <c r="C75" s="428"/>
      <c r="D75" s="428"/>
      <c r="E75" s="428"/>
      <c r="F75" s="428"/>
      <c r="G75" s="428"/>
      <c r="H75" s="428"/>
      <c r="I75" s="428"/>
      <c r="J75" s="429"/>
    </row>
  </sheetData>
  <mergeCells count="87">
    <mergeCell ref="B2:J2"/>
    <mergeCell ref="B3:D3"/>
    <mergeCell ref="E3:G3"/>
    <mergeCell ref="H3:J3"/>
    <mergeCell ref="B4:D4"/>
    <mergeCell ref="E4:J4"/>
    <mergeCell ref="B11:E11"/>
    <mergeCell ref="F11:J11"/>
    <mergeCell ref="B5:D5"/>
    <mergeCell ref="E5:J5"/>
    <mergeCell ref="B6:D6"/>
    <mergeCell ref="E6:J6"/>
    <mergeCell ref="B7:D7"/>
    <mergeCell ref="E7:J7"/>
    <mergeCell ref="B8:D8"/>
    <mergeCell ref="E8:J8"/>
    <mergeCell ref="B9:D9"/>
    <mergeCell ref="E9:J9"/>
    <mergeCell ref="B10:J10"/>
    <mergeCell ref="B12:E12"/>
    <mergeCell ref="F12:J12"/>
    <mergeCell ref="C13:F13"/>
    <mergeCell ref="G13:H13"/>
    <mergeCell ref="C14:F14"/>
    <mergeCell ref="G14:H14"/>
    <mergeCell ref="B26:J26"/>
    <mergeCell ref="B15:J15"/>
    <mergeCell ref="B16:J16"/>
    <mergeCell ref="B17:J17"/>
    <mergeCell ref="B18:J18"/>
    <mergeCell ref="B19:J19"/>
    <mergeCell ref="B20:J20"/>
    <mergeCell ref="B21:J21"/>
    <mergeCell ref="B22:J22"/>
    <mergeCell ref="B23:J23"/>
    <mergeCell ref="B24:J24"/>
    <mergeCell ref="B25:J25"/>
    <mergeCell ref="B38:J38"/>
    <mergeCell ref="B27:J27"/>
    <mergeCell ref="B28:J28"/>
    <mergeCell ref="B29:J29"/>
    <mergeCell ref="B30:J30"/>
    <mergeCell ref="B31:J31"/>
    <mergeCell ref="B32:J32"/>
    <mergeCell ref="B33:J33"/>
    <mergeCell ref="B34:J34"/>
    <mergeCell ref="B35:J35"/>
    <mergeCell ref="B36:J36"/>
    <mergeCell ref="B37:J37"/>
    <mergeCell ref="B39:J39"/>
    <mergeCell ref="B40:J40"/>
    <mergeCell ref="B41:J41"/>
    <mergeCell ref="B42:D42"/>
    <mergeCell ref="E42:G42"/>
    <mergeCell ref="H42:J42"/>
    <mergeCell ref="B55:J55"/>
    <mergeCell ref="B43:J43"/>
    <mergeCell ref="B46:J46"/>
    <mergeCell ref="B47:J47"/>
    <mergeCell ref="B48:J48"/>
    <mergeCell ref="B49:J49"/>
    <mergeCell ref="B50:J50"/>
    <mergeCell ref="B51:J51"/>
    <mergeCell ref="B52:J52"/>
    <mergeCell ref="B53:J53"/>
    <mergeCell ref="B54:J54"/>
    <mergeCell ref="B44:J44"/>
    <mergeCell ref="B68:J68"/>
    <mergeCell ref="B56:J56"/>
    <mergeCell ref="B57:J57"/>
    <mergeCell ref="B58:J58"/>
    <mergeCell ref="B59:D59"/>
    <mergeCell ref="E59:J59"/>
    <mergeCell ref="B60:D60"/>
    <mergeCell ref="E60:J60"/>
    <mergeCell ref="B61:J61"/>
    <mergeCell ref="B62:J62"/>
    <mergeCell ref="B65:J65"/>
    <mergeCell ref="B66:J66"/>
    <mergeCell ref="B67:J67"/>
    <mergeCell ref="B75:J75"/>
    <mergeCell ref="B69:J69"/>
    <mergeCell ref="B70:J70"/>
    <mergeCell ref="B71:J71"/>
    <mergeCell ref="B72:J72"/>
    <mergeCell ref="B73:J73"/>
    <mergeCell ref="B74:J74"/>
  </mergeCells>
  <hyperlinks>
    <hyperlink ref="B68" r:id="rId1" display="https://www.amazon.fr/Wendell-Odom/e/B001HOA9BI/ref=dp_byline_cont_book_1"/>
    <hyperlink ref="B74" r:id="rId2" display="https://www.amazon.fr/Douglas-Comer/e/B004MQ1FTI/ref=dp_byline_cont_book_1"/>
    <hyperlink ref="B1" location="'Schéma d''enseignement'!G9" display="Schéma d'enseignemen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sheetPr>
  <dimension ref="B1:J55"/>
  <sheetViews>
    <sheetView zoomScaleNormal="100" workbookViewId="0">
      <selection activeCell="B1" sqref="B1"/>
    </sheetView>
  </sheetViews>
  <sheetFormatPr baseColWidth="10" defaultColWidth="8.7109375" defaultRowHeight="15" x14ac:dyDescent="0.25"/>
  <cols>
    <col min="1" max="1" width="4.28515625" style="1" customWidth="1"/>
    <col min="2" max="2" width="18.7109375" style="1" customWidth="1"/>
    <col min="3" max="5" width="2.85546875" style="1" customWidth="1"/>
    <col min="6" max="6" width="7.28515625" style="1" customWidth="1"/>
    <col min="7" max="9" width="6.42578125" style="1" customWidth="1"/>
    <col min="10" max="10" width="22.7109375" style="1" customWidth="1"/>
    <col min="11" max="16384" width="8.7109375" style="1"/>
  </cols>
  <sheetData>
    <row r="1" spans="2:10" x14ac:dyDescent="0.25">
      <c r="B1" s="287" t="s">
        <v>1267</v>
      </c>
    </row>
    <row r="2" spans="2:10" ht="15.75" x14ac:dyDescent="0.25">
      <c r="B2" s="421" t="s">
        <v>195</v>
      </c>
      <c r="C2" s="421"/>
      <c r="D2" s="421"/>
      <c r="E2" s="421"/>
      <c r="F2" s="421"/>
      <c r="G2" s="421"/>
      <c r="H2" s="421"/>
      <c r="I2" s="421"/>
      <c r="J2" s="421"/>
    </row>
    <row r="3" spans="2:10" ht="16.5" thickBot="1" x14ac:dyDescent="0.3">
      <c r="B3" s="475"/>
      <c r="C3" s="475"/>
      <c r="D3" s="475"/>
      <c r="E3" s="475"/>
      <c r="F3" s="475"/>
      <c r="G3" s="475"/>
      <c r="H3" s="554"/>
      <c r="I3" s="554"/>
      <c r="J3" s="554"/>
    </row>
    <row r="4" spans="2:10" ht="16.5" thickBot="1" x14ac:dyDescent="0.3">
      <c r="B4" s="366" t="s">
        <v>196</v>
      </c>
      <c r="C4" s="367"/>
      <c r="D4" s="413"/>
      <c r="E4" s="555"/>
      <c r="F4" s="422"/>
      <c r="G4" s="422"/>
      <c r="H4" s="422"/>
      <c r="I4" s="422"/>
      <c r="J4" s="423"/>
    </row>
    <row r="5" spans="2:10" ht="16.5" thickBot="1" x14ac:dyDescent="0.3">
      <c r="B5" s="424" t="s">
        <v>197</v>
      </c>
      <c r="C5" s="425"/>
      <c r="D5" s="426"/>
      <c r="E5" s="415" t="s">
        <v>198</v>
      </c>
      <c r="F5" s="416"/>
      <c r="G5" s="416"/>
      <c r="H5" s="416"/>
      <c r="I5" s="416"/>
      <c r="J5" s="417"/>
    </row>
    <row r="6" spans="2:10" ht="16.5" thickBot="1" x14ac:dyDescent="0.3">
      <c r="B6" s="366" t="s">
        <v>199</v>
      </c>
      <c r="C6" s="367"/>
      <c r="D6" s="413"/>
      <c r="E6" s="415" t="s">
        <v>200</v>
      </c>
      <c r="F6" s="416"/>
      <c r="G6" s="416"/>
      <c r="H6" s="416"/>
      <c r="I6" s="416"/>
      <c r="J6" s="417"/>
    </row>
    <row r="7" spans="2:10" ht="16.5" thickBot="1" x14ac:dyDescent="0.3">
      <c r="B7" s="366" t="s">
        <v>201</v>
      </c>
      <c r="C7" s="367"/>
      <c r="D7" s="413"/>
      <c r="E7" s="415" t="s">
        <v>202</v>
      </c>
      <c r="F7" s="416"/>
      <c r="G7" s="416"/>
      <c r="H7" s="416"/>
      <c r="I7" s="416"/>
      <c r="J7" s="417"/>
    </row>
    <row r="8" spans="2:10" ht="16.5" thickBot="1" x14ac:dyDescent="0.3">
      <c r="B8" s="366" t="s">
        <v>203</v>
      </c>
      <c r="C8" s="367"/>
      <c r="D8" s="413"/>
      <c r="E8" s="418" t="s">
        <v>258</v>
      </c>
      <c r="F8" s="419"/>
      <c r="G8" s="419"/>
      <c r="H8" s="419"/>
      <c r="I8" s="419"/>
      <c r="J8" s="420"/>
    </row>
    <row r="9" spans="2:10" ht="16.5" thickBot="1" x14ac:dyDescent="0.3">
      <c r="B9" s="366" t="s">
        <v>204</v>
      </c>
      <c r="C9" s="367"/>
      <c r="D9" s="413"/>
      <c r="E9" s="415" t="s">
        <v>205</v>
      </c>
      <c r="F9" s="416"/>
      <c r="G9" s="416"/>
      <c r="H9" s="416"/>
      <c r="I9" s="416"/>
      <c r="J9" s="417"/>
    </row>
    <row r="10" spans="2:10" ht="16.5" thickBot="1" x14ac:dyDescent="0.3">
      <c r="B10" s="404" t="s">
        <v>206</v>
      </c>
      <c r="C10" s="405"/>
      <c r="D10" s="405"/>
      <c r="E10" s="405"/>
      <c r="F10" s="405"/>
      <c r="G10" s="405"/>
      <c r="H10" s="405"/>
      <c r="I10" s="405"/>
      <c r="J10" s="406"/>
    </row>
    <row r="11" spans="2:10" ht="16.5" thickBot="1" x14ac:dyDescent="0.3">
      <c r="B11" s="404" t="s">
        <v>207</v>
      </c>
      <c r="C11" s="405"/>
      <c r="D11" s="405"/>
      <c r="E11" s="406"/>
      <c r="F11" s="404" t="s">
        <v>208</v>
      </c>
      <c r="G11" s="405"/>
      <c r="H11" s="405"/>
      <c r="I11" s="405"/>
      <c r="J11" s="406"/>
    </row>
    <row r="12" spans="2:10" ht="16.5" thickBot="1" x14ac:dyDescent="0.3">
      <c r="B12" s="407" t="s">
        <v>209</v>
      </c>
      <c r="C12" s="408"/>
      <c r="D12" s="408"/>
      <c r="E12" s="409"/>
      <c r="F12" s="407"/>
      <c r="G12" s="408"/>
      <c r="H12" s="408"/>
      <c r="I12" s="408"/>
      <c r="J12" s="409"/>
    </row>
    <row r="13" spans="2:10" ht="16.5" thickBot="1" x14ac:dyDescent="0.3">
      <c r="B13" s="69" t="s">
        <v>210</v>
      </c>
      <c r="C13" s="404" t="s">
        <v>211</v>
      </c>
      <c r="D13" s="405"/>
      <c r="E13" s="405"/>
      <c r="F13" s="406"/>
      <c r="G13" s="404" t="s">
        <v>212</v>
      </c>
      <c r="H13" s="406"/>
      <c r="I13" s="70" t="s">
        <v>213</v>
      </c>
      <c r="J13" s="70" t="s">
        <v>214</v>
      </c>
    </row>
    <row r="14" spans="2:10" ht="15.75" thickBot="1" x14ac:dyDescent="0.3">
      <c r="B14" s="119" t="s">
        <v>259</v>
      </c>
      <c r="C14" s="410" t="s">
        <v>260</v>
      </c>
      <c r="D14" s="411"/>
      <c r="E14" s="411"/>
      <c r="F14" s="412"/>
      <c r="G14" s="410">
        <v>3</v>
      </c>
      <c r="H14" s="412"/>
      <c r="I14" s="120">
        <v>3</v>
      </c>
      <c r="J14" s="120" t="s">
        <v>218</v>
      </c>
    </row>
    <row r="15" spans="2:10" ht="16.5" thickBot="1" x14ac:dyDescent="0.3">
      <c r="B15" s="366" t="s">
        <v>219</v>
      </c>
      <c r="C15" s="367"/>
      <c r="D15" s="367"/>
      <c r="E15" s="367"/>
      <c r="F15" s="367"/>
      <c r="G15" s="367"/>
      <c r="H15" s="367"/>
      <c r="I15" s="367"/>
      <c r="J15" s="368"/>
    </row>
    <row r="16" spans="2:10" ht="30" customHeight="1" thickBot="1" x14ac:dyDescent="0.3">
      <c r="B16" s="398" t="s">
        <v>673</v>
      </c>
      <c r="C16" s="399"/>
      <c r="D16" s="399"/>
      <c r="E16" s="399"/>
      <c r="F16" s="399"/>
      <c r="G16" s="399"/>
      <c r="H16" s="399"/>
      <c r="I16" s="399"/>
      <c r="J16" s="400"/>
    </row>
    <row r="17" spans="2:10" ht="16.5" thickBot="1" x14ac:dyDescent="0.3">
      <c r="B17" s="366" t="s">
        <v>220</v>
      </c>
      <c r="C17" s="367"/>
      <c r="D17" s="367"/>
      <c r="E17" s="367"/>
      <c r="F17" s="367"/>
      <c r="G17" s="367"/>
      <c r="H17" s="367"/>
      <c r="I17" s="367"/>
      <c r="J17" s="368"/>
    </row>
    <row r="18" spans="2:10" ht="14.65" customHeight="1" x14ac:dyDescent="0.25">
      <c r="B18" s="520" t="s">
        <v>674</v>
      </c>
      <c r="C18" s="402"/>
      <c r="D18" s="402"/>
      <c r="E18" s="402"/>
      <c r="F18" s="402"/>
      <c r="G18" s="402"/>
      <c r="H18" s="402"/>
      <c r="I18" s="402"/>
      <c r="J18" s="403"/>
    </row>
    <row r="19" spans="2:10" ht="28.9" customHeight="1" x14ac:dyDescent="0.25">
      <c r="B19" s="513" t="s">
        <v>675</v>
      </c>
      <c r="C19" s="393"/>
      <c r="D19" s="393"/>
      <c r="E19" s="393"/>
      <c r="F19" s="393"/>
      <c r="G19" s="393"/>
      <c r="H19" s="393"/>
      <c r="I19" s="393"/>
      <c r="J19" s="394"/>
    </row>
    <row r="20" spans="2:10" ht="28.9" customHeight="1" x14ac:dyDescent="0.25">
      <c r="B20" s="513" t="s">
        <v>676</v>
      </c>
      <c r="C20" s="393"/>
      <c r="D20" s="393"/>
      <c r="E20" s="393"/>
      <c r="F20" s="393"/>
      <c r="G20" s="393"/>
      <c r="H20" s="393"/>
      <c r="I20" s="393"/>
      <c r="J20" s="394"/>
    </row>
    <row r="21" spans="2:10" ht="14.65" customHeight="1" x14ac:dyDescent="0.25">
      <c r="B21" s="513" t="s">
        <v>677</v>
      </c>
      <c r="C21" s="393"/>
      <c r="D21" s="393"/>
      <c r="E21" s="393"/>
      <c r="F21" s="393"/>
      <c r="G21" s="393"/>
      <c r="H21" s="393"/>
      <c r="I21" s="393"/>
      <c r="J21" s="394"/>
    </row>
    <row r="22" spans="2:10" ht="14.65" customHeight="1" x14ac:dyDescent="0.25">
      <c r="B22" s="513" t="s">
        <v>678</v>
      </c>
      <c r="C22" s="393"/>
      <c r="D22" s="393"/>
      <c r="E22" s="393"/>
      <c r="F22" s="393"/>
      <c r="G22" s="393"/>
      <c r="H22" s="393"/>
      <c r="I22" s="393"/>
      <c r="J22" s="394"/>
    </row>
    <row r="23" spans="2:10" ht="15.75" thickBot="1" x14ac:dyDescent="0.3">
      <c r="B23" s="514" t="s">
        <v>679</v>
      </c>
      <c r="C23" s="515"/>
      <c r="D23" s="515"/>
      <c r="E23" s="515"/>
      <c r="F23" s="515"/>
      <c r="G23" s="515"/>
      <c r="H23" s="515"/>
      <c r="I23" s="515"/>
      <c r="J23" s="516"/>
    </row>
    <row r="24" spans="2:10" ht="16.5" thickBot="1" x14ac:dyDescent="0.3">
      <c r="B24" s="366" t="s">
        <v>221</v>
      </c>
      <c r="C24" s="367"/>
      <c r="D24" s="367"/>
      <c r="E24" s="367"/>
      <c r="F24" s="367"/>
      <c r="G24" s="367"/>
      <c r="H24" s="367"/>
      <c r="I24" s="367"/>
      <c r="J24" s="368"/>
    </row>
    <row r="25" spans="2:10" ht="34.15" customHeight="1" thickBot="1" x14ac:dyDescent="0.3">
      <c r="B25" s="517" t="s">
        <v>261</v>
      </c>
      <c r="C25" s="518"/>
      <c r="D25" s="518"/>
      <c r="E25" s="518"/>
      <c r="F25" s="518"/>
      <c r="G25" s="518"/>
      <c r="H25" s="518"/>
      <c r="I25" s="518"/>
      <c r="J25" s="519"/>
    </row>
    <row r="26" spans="2:10" ht="16.5" thickBot="1" x14ac:dyDescent="0.3">
      <c r="B26" s="366" t="s">
        <v>222</v>
      </c>
      <c r="C26" s="367"/>
      <c r="D26" s="367"/>
      <c r="E26" s="367"/>
      <c r="F26" s="367"/>
      <c r="G26" s="367"/>
      <c r="H26" s="367"/>
      <c r="I26" s="367"/>
      <c r="J26" s="368"/>
    </row>
    <row r="27" spans="2:10" ht="15.75" thickBot="1" x14ac:dyDescent="0.3">
      <c r="B27" s="387" t="s">
        <v>262</v>
      </c>
      <c r="C27" s="388"/>
      <c r="D27" s="388"/>
      <c r="E27" s="388"/>
      <c r="F27" s="388"/>
      <c r="G27" s="388"/>
      <c r="H27" s="388"/>
      <c r="I27" s="388"/>
      <c r="J27" s="389"/>
    </row>
    <row r="28" spans="2:10" ht="15.75" thickBot="1" x14ac:dyDescent="0.3">
      <c r="B28" s="387" t="s">
        <v>263</v>
      </c>
      <c r="C28" s="388"/>
      <c r="D28" s="388"/>
      <c r="E28" s="388"/>
      <c r="F28" s="388"/>
      <c r="G28" s="388"/>
      <c r="H28" s="388"/>
      <c r="I28" s="388"/>
      <c r="J28" s="389"/>
    </row>
    <row r="29" spans="2:10" ht="15.75" thickBot="1" x14ac:dyDescent="0.3">
      <c r="B29" s="387" t="s">
        <v>264</v>
      </c>
      <c r="C29" s="388"/>
      <c r="D29" s="388"/>
      <c r="E29" s="388"/>
      <c r="F29" s="388"/>
      <c r="G29" s="388"/>
      <c r="H29" s="388"/>
      <c r="I29" s="388"/>
      <c r="J29" s="389"/>
    </row>
    <row r="30" spans="2:10" ht="15.75" thickBot="1" x14ac:dyDescent="0.3">
      <c r="B30" s="422"/>
      <c r="C30" s="422"/>
      <c r="D30" s="422"/>
      <c r="E30" s="422"/>
      <c r="F30" s="422"/>
      <c r="G30" s="422"/>
      <c r="H30" s="391"/>
      <c r="I30" s="391"/>
      <c r="J30" s="391"/>
    </row>
    <row r="31" spans="2:10" ht="16.5" thickBot="1" x14ac:dyDescent="0.3">
      <c r="B31" s="366" t="s">
        <v>226</v>
      </c>
      <c r="C31" s="367"/>
      <c r="D31" s="367"/>
      <c r="E31" s="367"/>
      <c r="F31" s="367"/>
      <c r="G31" s="367"/>
      <c r="H31" s="367"/>
      <c r="I31" s="367"/>
      <c r="J31" s="368"/>
    </row>
    <row r="32" spans="2:10" ht="15.4" customHeight="1" x14ac:dyDescent="0.25">
      <c r="B32" s="401" t="s">
        <v>680</v>
      </c>
      <c r="C32" s="552"/>
      <c r="D32" s="552"/>
      <c r="E32" s="552"/>
      <c r="F32" s="552"/>
      <c r="G32" s="552"/>
      <c r="H32" s="552"/>
      <c r="I32" s="552"/>
      <c r="J32" s="553"/>
    </row>
    <row r="33" spans="2:10" ht="14.65" customHeight="1" x14ac:dyDescent="0.25">
      <c r="B33" s="392" t="s">
        <v>681</v>
      </c>
      <c r="C33" s="547"/>
      <c r="D33" s="547"/>
      <c r="E33" s="547"/>
      <c r="F33" s="547"/>
      <c r="G33" s="547"/>
      <c r="H33" s="547"/>
      <c r="I33" s="547"/>
      <c r="J33" s="548"/>
    </row>
    <row r="34" spans="2:10" ht="14.65" customHeight="1" x14ac:dyDescent="0.25">
      <c r="B34" s="392" t="s">
        <v>682</v>
      </c>
      <c r="C34" s="547"/>
      <c r="D34" s="547"/>
      <c r="E34" s="547"/>
      <c r="F34" s="547"/>
      <c r="G34" s="547"/>
      <c r="H34" s="547"/>
      <c r="I34" s="547"/>
      <c r="J34" s="548"/>
    </row>
    <row r="35" spans="2:10" ht="14.65" customHeight="1" x14ac:dyDescent="0.25">
      <c r="B35" s="392" t="s">
        <v>683</v>
      </c>
      <c r="C35" s="547"/>
      <c r="D35" s="547"/>
      <c r="E35" s="547"/>
      <c r="F35" s="547"/>
      <c r="G35" s="547"/>
      <c r="H35" s="547"/>
      <c r="I35" s="547"/>
      <c r="J35" s="548"/>
    </row>
    <row r="36" spans="2:10" ht="14.65" customHeight="1" x14ac:dyDescent="0.25">
      <c r="B36" s="392" t="s">
        <v>684</v>
      </c>
      <c r="C36" s="547"/>
      <c r="D36" s="547"/>
      <c r="E36" s="547"/>
      <c r="F36" s="547"/>
      <c r="G36" s="547"/>
      <c r="H36" s="547"/>
      <c r="I36" s="547"/>
      <c r="J36" s="548"/>
    </row>
    <row r="37" spans="2:10" ht="14.65" customHeight="1" x14ac:dyDescent="0.25">
      <c r="B37" s="392" t="s">
        <v>685</v>
      </c>
      <c r="C37" s="547"/>
      <c r="D37" s="547"/>
      <c r="E37" s="547"/>
      <c r="F37" s="547"/>
      <c r="G37" s="547"/>
      <c r="H37" s="547"/>
      <c r="I37" s="547"/>
      <c r="J37" s="548"/>
    </row>
    <row r="38" spans="2:10" ht="16.5" thickBot="1" x14ac:dyDescent="0.3">
      <c r="B38" s="549" t="s">
        <v>686</v>
      </c>
      <c r="C38" s="550"/>
      <c r="D38" s="550"/>
      <c r="E38" s="550"/>
      <c r="F38" s="550"/>
      <c r="G38" s="550"/>
      <c r="H38" s="550"/>
      <c r="I38" s="550"/>
      <c r="J38" s="551"/>
    </row>
    <row r="39" spans="2:10" ht="16.5" thickBot="1" x14ac:dyDescent="0.3">
      <c r="B39" s="366" t="s">
        <v>227</v>
      </c>
      <c r="C39" s="367"/>
      <c r="D39" s="367"/>
      <c r="E39" s="367"/>
      <c r="F39" s="367"/>
      <c r="G39" s="367"/>
      <c r="H39" s="367"/>
      <c r="I39" s="367"/>
      <c r="J39" s="368"/>
    </row>
    <row r="40" spans="2:10" ht="16.5" thickBot="1" x14ac:dyDescent="0.3">
      <c r="B40" s="363" t="s">
        <v>245</v>
      </c>
      <c r="C40" s="364"/>
      <c r="D40" s="365"/>
      <c r="E40" s="363" t="s">
        <v>248</v>
      </c>
      <c r="F40" s="364"/>
      <c r="G40" s="364"/>
      <c r="H40" s="364"/>
      <c r="I40" s="364"/>
      <c r="J40" s="365"/>
    </row>
    <row r="41" spans="2:10" ht="16.5" thickBot="1" x14ac:dyDescent="0.3">
      <c r="B41" s="363" t="s">
        <v>247</v>
      </c>
      <c r="C41" s="364"/>
      <c r="D41" s="365"/>
      <c r="E41" s="363" t="s">
        <v>265</v>
      </c>
      <c r="F41" s="364"/>
      <c r="G41" s="364"/>
      <c r="H41" s="364"/>
      <c r="I41" s="364"/>
      <c r="J41" s="365"/>
    </row>
    <row r="42" spans="2:10" ht="16.5" thickBot="1" x14ac:dyDescent="0.3">
      <c r="B42" s="363" t="s">
        <v>230</v>
      </c>
      <c r="C42" s="364"/>
      <c r="D42" s="365"/>
      <c r="E42" s="363" t="s">
        <v>231</v>
      </c>
      <c r="F42" s="364"/>
      <c r="G42" s="364"/>
      <c r="H42" s="364"/>
      <c r="I42" s="364"/>
      <c r="J42" s="445"/>
    </row>
    <row r="43" spans="2:10" ht="16.5" thickBot="1" x14ac:dyDescent="0.3">
      <c r="B43" s="363" t="s">
        <v>249</v>
      </c>
      <c r="C43" s="364"/>
      <c r="D43" s="365"/>
      <c r="E43" s="363" t="s">
        <v>250</v>
      </c>
      <c r="F43" s="364"/>
      <c r="G43" s="364"/>
      <c r="H43" s="364"/>
      <c r="I43" s="364"/>
      <c r="J43" s="365"/>
    </row>
    <row r="44" spans="2:10" ht="16.5" thickBot="1" x14ac:dyDescent="0.3">
      <c r="B44" s="366" t="s">
        <v>232</v>
      </c>
      <c r="C44" s="367"/>
      <c r="D44" s="367"/>
      <c r="E44" s="367"/>
      <c r="F44" s="367"/>
      <c r="G44" s="367"/>
      <c r="H44" s="367"/>
      <c r="I44" s="367"/>
      <c r="J44" s="368"/>
    </row>
    <row r="45" spans="2:10" x14ac:dyDescent="0.25">
      <c r="B45" s="544" t="s">
        <v>266</v>
      </c>
      <c r="C45" s="545"/>
      <c r="D45" s="545"/>
      <c r="E45" s="545"/>
      <c r="F45" s="545"/>
      <c r="G45" s="545"/>
      <c r="H45" s="545"/>
      <c r="I45" s="545"/>
      <c r="J45" s="546"/>
    </row>
    <row r="46" spans="2:10" ht="15.75" thickBot="1" x14ac:dyDescent="0.3">
      <c r="B46" s="541" t="s">
        <v>489</v>
      </c>
      <c r="C46" s="542"/>
      <c r="D46" s="542"/>
      <c r="E46" s="542"/>
      <c r="F46" s="542"/>
      <c r="G46" s="542"/>
      <c r="H46" s="542"/>
      <c r="I46" s="542"/>
      <c r="J46" s="543"/>
    </row>
    <row r="47" spans="2:10" ht="15.75" thickBot="1" x14ac:dyDescent="0.3">
      <c r="B47" s="181" t="s">
        <v>490</v>
      </c>
      <c r="C47" s="182"/>
      <c r="D47" s="182"/>
      <c r="E47" s="182"/>
      <c r="F47" s="182"/>
      <c r="G47" s="182"/>
      <c r="H47" s="182"/>
      <c r="I47" s="182"/>
      <c r="J47" s="183"/>
    </row>
    <row r="48" spans="2:10" ht="16.5" thickBot="1" x14ac:dyDescent="0.3">
      <c r="B48" s="366" t="s">
        <v>234</v>
      </c>
      <c r="C48" s="367"/>
      <c r="D48" s="367"/>
      <c r="E48" s="367"/>
      <c r="F48" s="367"/>
      <c r="G48" s="367"/>
      <c r="H48" s="367"/>
      <c r="I48" s="367"/>
      <c r="J48" s="368"/>
    </row>
    <row r="49" spans="2:10" ht="14.65" customHeight="1" x14ac:dyDescent="0.25">
      <c r="B49" s="430" t="s">
        <v>687</v>
      </c>
      <c r="C49" s="431"/>
      <c r="D49" s="431"/>
      <c r="E49" s="431"/>
      <c r="F49" s="431"/>
      <c r="G49" s="431"/>
      <c r="H49" s="431"/>
      <c r="I49" s="431"/>
      <c r="J49" s="432"/>
    </row>
    <row r="50" spans="2:10" ht="28.9" customHeight="1" x14ac:dyDescent="0.25">
      <c r="B50" s="433" t="s">
        <v>688</v>
      </c>
      <c r="C50" s="434"/>
      <c r="D50" s="434"/>
      <c r="E50" s="434"/>
      <c r="F50" s="434"/>
      <c r="G50" s="434"/>
      <c r="H50" s="434"/>
      <c r="I50" s="434"/>
      <c r="J50" s="435"/>
    </row>
    <row r="51" spans="2:10" ht="14.65" customHeight="1" x14ac:dyDescent="0.25">
      <c r="B51" s="433" t="s">
        <v>267</v>
      </c>
      <c r="C51" s="434"/>
      <c r="D51" s="434"/>
      <c r="E51" s="434"/>
      <c r="F51" s="434"/>
      <c r="G51" s="434"/>
      <c r="H51" s="434"/>
      <c r="I51" s="434"/>
      <c r="J51" s="435"/>
    </row>
    <row r="52" spans="2:10" ht="14.65" customHeight="1" x14ac:dyDescent="0.25">
      <c r="B52" s="433" t="s">
        <v>689</v>
      </c>
      <c r="C52" s="434"/>
      <c r="D52" s="434"/>
      <c r="E52" s="434"/>
      <c r="F52" s="434"/>
      <c r="G52" s="434"/>
      <c r="H52" s="434"/>
      <c r="I52" s="434"/>
      <c r="J52" s="435"/>
    </row>
    <row r="53" spans="2:10" ht="14.65" customHeight="1" x14ac:dyDescent="0.25">
      <c r="B53" s="433" t="s">
        <v>690</v>
      </c>
      <c r="C53" s="434"/>
      <c r="D53" s="434"/>
      <c r="E53" s="434"/>
      <c r="F53" s="434"/>
      <c r="G53" s="434"/>
      <c r="H53" s="434"/>
      <c r="I53" s="434"/>
      <c r="J53" s="435"/>
    </row>
    <row r="54" spans="2:10" ht="14.65" customHeight="1" x14ac:dyDescent="0.25">
      <c r="B54" s="433" t="s">
        <v>691</v>
      </c>
      <c r="C54" s="434"/>
      <c r="D54" s="434"/>
      <c r="E54" s="434"/>
      <c r="F54" s="434"/>
      <c r="G54" s="434"/>
      <c r="H54" s="434"/>
      <c r="I54" s="434"/>
      <c r="J54" s="435"/>
    </row>
    <row r="55" spans="2:10" ht="15.75" thickBot="1" x14ac:dyDescent="0.3">
      <c r="B55" s="427" t="s">
        <v>268</v>
      </c>
      <c r="C55" s="428"/>
      <c r="D55" s="428"/>
      <c r="E55" s="428"/>
      <c r="F55" s="428"/>
      <c r="G55" s="428"/>
      <c r="H55" s="428"/>
      <c r="I55" s="428"/>
      <c r="J55" s="429"/>
    </row>
  </sheetData>
  <mergeCells count="71">
    <mergeCell ref="B2:J2"/>
    <mergeCell ref="B3:D3"/>
    <mergeCell ref="E3:G3"/>
    <mergeCell ref="H3:J3"/>
    <mergeCell ref="B4:D4"/>
    <mergeCell ref="E4:J4"/>
    <mergeCell ref="B11:E11"/>
    <mergeCell ref="F11:J11"/>
    <mergeCell ref="B5:D5"/>
    <mergeCell ref="E5:J5"/>
    <mergeCell ref="B6:D6"/>
    <mergeCell ref="E6:J6"/>
    <mergeCell ref="B7:D7"/>
    <mergeCell ref="E7:J7"/>
    <mergeCell ref="B8:D8"/>
    <mergeCell ref="E8:J8"/>
    <mergeCell ref="B9:D9"/>
    <mergeCell ref="E9:J9"/>
    <mergeCell ref="B10:J10"/>
    <mergeCell ref="B12:E12"/>
    <mergeCell ref="F12:J12"/>
    <mergeCell ref="C13:F13"/>
    <mergeCell ref="G13:H13"/>
    <mergeCell ref="C14:F14"/>
    <mergeCell ref="G14:H14"/>
    <mergeCell ref="B26:J26"/>
    <mergeCell ref="B15:J15"/>
    <mergeCell ref="B16:J16"/>
    <mergeCell ref="B17:J17"/>
    <mergeCell ref="B18:J18"/>
    <mergeCell ref="B19:J19"/>
    <mergeCell ref="B20:J20"/>
    <mergeCell ref="B21:J21"/>
    <mergeCell ref="B22:J22"/>
    <mergeCell ref="B23:J23"/>
    <mergeCell ref="B24:J24"/>
    <mergeCell ref="B25:J25"/>
    <mergeCell ref="B36:J36"/>
    <mergeCell ref="B27:J27"/>
    <mergeCell ref="B28:J28"/>
    <mergeCell ref="B29:J29"/>
    <mergeCell ref="B30:D30"/>
    <mergeCell ref="E30:G30"/>
    <mergeCell ref="H30:J30"/>
    <mergeCell ref="B31:J31"/>
    <mergeCell ref="B32:J32"/>
    <mergeCell ref="B33:J33"/>
    <mergeCell ref="B34:J34"/>
    <mergeCell ref="B35:J35"/>
    <mergeCell ref="B45:J45"/>
    <mergeCell ref="B37:J37"/>
    <mergeCell ref="B38:J38"/>
    <mergeCell ref="B39:J39"/>
    <mergeCell ref="B40:D40"/>
    <mergeCell ref="E40:J40"/>
    <mergeCell ref="B41:D41"/>
    <mergeCell ref="E41:J41"/>
    <mergeCell ref="B42:D42"/>
    <mergeCell ref="E42:J42"/>
    <mergeCell ref="B43:D43"/>
    <mergeCell ref="E43:J43"/>
    <mergeCell ref="B44:J44"/>
    <mergeCell ref="B53:J53"/>
    <mergeCell ref="B54:J54"/>
    <mergeCell ref="B55:J55"/>
    <mergeCell ref="B46:J46"/>
    <mergeCell ref="B48:J48"/>
    <mergeCell ref="B49:J49"/>
    <mergeCell ref="B50:J50"/>
    <mergeCell ref="B51:J51"/>
    <mergeCell ref="B52:J52"/>
  </mergeCells>
  <hyperlinks>
    <hyperlink ref="B1" location="'Schéma d''enseignement'!G10" display="Schéma d'enseignement"/>
  </hyperlink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5"/>
  </sheetPr>
  <dimension ref="B1:J58"/>
  <sheetViews>
    <sheetView zoomScaleNormal="100" workbookViewId="0">
      <selection activeCell="B1" sqref="B1"/>
    </sheetView>
  </sheetViews>
  <sheetFormatPr baseColWidth="10" defaultColWidth="8.7109375" defaultRowHeight="15" x14ac:dyDescent="0.25"/>
  <cols>
    <col min="1" max="1" width="1.28515625" style="1" customWidth="1"/>
    <col min="2" max="2" width="21.42578125" style="1" customWidth="1"/>
    <col min="3" max="6" width="4.140625" style="1" customWidth="1"/>
    <col min="7" max="9" width="8.7109375" style="1"/>
    <col min="10" max="10" width="22.28515625" style="1" customWidth="1"/>
    <col min="11" max="16384" width="8.7109375" style="1"/>
  </cols>
  <sheetData>
    <row r="1" spans="2:10" x14ac:dyDescent="0.25">
      <c r="B1" s="287" t="s">
        <v>1267</v>
      </c>
    </row>
    <row r="2" spans="2:10" ht="15.75" x14ac:dyDescent="0.25">
      <c r="B2" s="421" t="s">
        <v>195</v>
      </c>
      <c r="C2" s="421"/>
      <c r="D2" s="421"/>
      <c r="E2" s="421"/>
      <c r="F2" s="421"/>
      <c r="G2" s="421"/>
      <c r="H2" s="421"/>
      <c r="I2" s="421"/>
      <c r="J2" s="421"/>
    </row>
    <row r="3" spans="2:10" ht="16.5" thickBot="1" x14ac:dyDescent="0.3">
      <c r="B3" s="475"/>
      <c r="C3" s="475"/>
      <c r="D3" s="475"/>
      <c r="E3" s="476"/>
      <c r="F3" s="476"/>
      <c r="G3" s="476"/>
      <c r="H3" s="477"/>
      <c r="I3" s="477"/>
      <c r="J3" s="477"/>
    </row>
    <row r="4" spans="2:10" ht="16.5" thickBot="1" x14ac:dyDescent="0.3">
      <c r="B4" s="366" t="s">
        <v>196</v>
      </c>
      <c r="C4" s="367"/>
      <c r="D4" s="464"/>
      <c r="E4" s="478"/>
      <c r="F4" s="479"/>
      <c r="G4" s="479"/>
      <c r="H4" s="479"/>
      <c r="I4" s="479"/>
      <c r="J4" s="480"/>
    </row>
    <row r="5" spans="2:10" ht="16.5" thickBot="1" x14ac:dyDescent="0.3">
      <c r="B5" s="424" t="s">
        <v>197</v>
      </c>
      <c r="C5" s="425"/>
      <c r="D5" s="474"/>
      <c r="E5" s="468" t="s">
        <v>198</v>
      </c>
      <c r="F5" s="469"/>
      <c r="G5" s="469"/>
      <c r="H5" s="469"/>
      <c r="I5" s="469"/>
      <c r="J5" s="470"/>
    </row>
    <row r="6" spans="2:10" ht="16.5" thickBot="1" x14ac:dyDescent="0.3">
      <c r="B6" s="366" t="s">
        <v>199</v>
      </c>
      <c r="C6" s="367"/>
      <c r="D6" s="464"/>
      <c r="E6" s="468" t="s">
        <v>200</v>
      </c>
      <c r="F6" s="469"/>
      <c r="G6" s="469"/>
      <c r="H6" s="469"/>
      <c r="I6" s="469"/>
      <c r="J6" s="470"/>
    </row>
    <row r="7" spans="2:10" ht="16.5" thickBot="1" x14ac:dyDescent="0.3">
      <c r="B7" s="366" t="s">
        <v>201</v>
      </c>
      <c r="C7" s="367"/>
      <c r="D7" s="464"/>
      <c r="E7" s="468" t="s">
        <v>202</v>
      </c>
      <c r="F7" s="469"/>
      <c r="G7" s="469"/>
      <c r="H7" s="469"/>
      <c r="I7" s="469"/>
      <c r="J7" s="470"/>
    </row>
    <row r="8" spans="2:10" ht="16.5" thickBot="1" x14ac:dyDescent="0.3">
      <c r="B8" s="366" t="s">
        <v>203</v>
      </c>
      <c r="C8" s="367"/>
      <c r="D8" s="464"/>
      <c r="E8" s="465" t="s">
        <v>258</v>
      </c>
      <c r="F8" s="466"/>
      <c r="G8" s="466"/>
      <c r="H8" s="466"/>
      <c r="I8" s="466"/>
      <c r="J8" s="467"/>
    </row>
    <row r="9" spans="2:10" ht="16.5" thickBot="1" x14ac:dyDescent="0.3">
      <c r="B9" s="366" t="s">
        <v>204</v>
      </c>
      <c r="C9" s="367"/>
      <c r="D9" s="464"/>
      <c r="E9" s="468" t="s">
        <v>205</v>
      </c>
      <c r="F9" s="469"/>
      <c r="G9" s="469"/>
      <c r="H9" s="469"/>
      <c r="I9" s="469"/>
      <c r="J9" s="470"/>
    </row>
    <row r="10" spans="2:10" ht="16.5" thickBot="1" x14ac:dyDescent="0.3">
      <c r="B10" s="471" t="s">
        <v>206</v>
      </c>
      <c r="C10" s="472"/>
      <c r="D10" s="472"/>
      <c r="E10" s="472"/>
      <c r="F10" s="472"/>
      <c r="G10" s="472"/>
      <c r="H10" s="472"/>
      <c r="I10" s="472"/>
      <c r="J10" s="473"/>
    </row>
    <row r="11" spans="2:10" ht="16.5" thickBot="1" x14ac:dyDescent="0.3">
      <c r="B11" s="404" t="s">
        <v>207</v>
      </c>
      <c r="C11" s="405"/>
      <c r="D11" s="405"/>
      <c r="E11" s="406"/>
      <c r="F11" s="404" t="s">
        <v>208</v>
      </c>
      <c r="G11" s="405"/>
      <c r="H11" s="405"/>
      <c r="I11" s="405"/>
      <c r="J11" s="406"/>
    </row>
    <row r="12" spans="2:10" ht="16.5" thickBot="1" x14ac:dyDescent="0.3">
      <c r="B12" s="571" t="s">
        <v>209</v>
      </c>
      <c r="C12" s="572"/>
      <c r="D12" s="572"/>
      <c r="E12" s="573"/>
      <c r="F12" s="571"/>
      <c r="G12" s="572"/>
      <c r="H12" s="572"/>
      <c r="I12" s="572"/>
      <c r="J12" s="573"/>
    </row>
    <row r="13" spans="2:10" ht="16.5" thickBot="1" x14ac:dyDescent="0.3">
      <c r="B13" s="69" t="s">
        <v>210</v>
      </c>
      <c r="C13" s="404" t="s">
        <v>211</v>
      </c>
      <c r="D13" s="405"/>
      <c r="E13" s="405"/>
      <c r="F13" s="406"/>
      <c r="G13" s="404" t="s">
        <v>212</v>
      </c>
      <c r="H13" s="406"/>
      <c r="I13" s="70" t="s">
        <v>213</v>
      </c>
      <c r="J13" s="70" t="s">
        <v>214</v>
      </c>
    </row>
    <row r="14" spans="2:10" ht="30.75" thickBot="1" x14ac:dyDescent="0.3">
      <c r="B14" s="119" t="s">
        <v>269</v>
      </c>
      <c r="C14" s="410" t="s">
        <v>260</v>
      </c>
      <c r="D14" s="411"/>
      <c r="E14" s="411"/>
      <c r="F14" s="412"/>
      <c r="G14" s="410" t="s">
        <v>217</v>
      </c>
      <c r="H14" s="412"/>
      <c r="I14" s="120">
        <v>3</v>
      </c>
      <c r="J14" s="120" t="s">
        <v>218</v>
      </c>
    </row>
    <row r="15" spans="2:10" ht="16.5" thickBot="1" x14ac:dyDescent="0.3">
      <c r="B15" s="366" t="s">
        <v>219</v>
      </c>
      <c r="C15" s="367"/>
      <c r="D15" s="367"/>
      <c r="E15" s="367"/>
      <c r="F15" s="367"/>
      <c r="G15" s="367"/>
      <c r="H15" s="367"/>
      <c r="I15" s="367"/>
      <c r="J15" s="368"/>
    </row>
    <row r="16" spans="2:10" ht="30" customHeight="1" thickBot="1" x14ac:dyDescent="0.3">
      <c r="B16" s="565" t="s">
        <v>270</v>
      </c>
      <c r="C16" s="566"/>
      <c r="D16" s="566"/>
      <c r="E16" s="566"/>
      <c r="F16" s="566"/>
      <c r="G16" s="566"/>
      <c r="H16" s="566"/>
      <c r="I16" s="566"/>
      <c r="J16" s="567"/>
    </row>
    <row r="17" spans="2:10" ht="16.5" thickBot="1" x14ac:dyDescent="0.3">
      <c r="B17" s="366" t="s">
        <v>220</v>
      </c>
      <c r="C17" s="367"/>
      <c r="D17" s="367"/>
      <c r="E17" s="367"/>
      <c r="F17" s="367"/>
      <c r="G17" s="367"/>
      <c r="H17" s="367"/>
      <c r="I17" s="367"/>
      <c r="J17" s="368"/>
    </row>
    <row r="18" spans="2:10" ht="14.65" customHeight="1" x14ac:dyDescent="0.25">
      <c r="B18" s="562" t="s">
        <v>271</v>
      </c>
      <c r="C18" s="563"/>
      <c r="D18" s="563"/>
      <c r="E18" s="563"/>
      <c r="F18" s="563"/>
      <c r="G18" s="563"/>
      <c r="H18" s="563"/>
      <c r="I18" s="563"/>
      <c r="J18" s="564"/>
    </row>
    <row r="19" spans="2:10" ht="28.9" customHeight="1" x14ac:dyDescent="0.25">
      <c r="B19" s="556" t="s">
        <v>272</v>
      </c>
      <c r="C19" s="557"/>
      <c r="D19" s="557"/>
      <c r="E19" s="557"/>
      <c r="F19" s="557"/>
      <c r="G19" s="557"/>
      <c r="H19" s="557"/>
      <c r="I19" s="557"/>
      <c r="J19" s="558"/>
    </row>
    <row r="20" spans="2:10" ht="14.65" customHeight="1" x14ac:dyDescent="0.25">
      <c r="B20" s="556" t="s">
        <v>273</v>
      </c>
      <c r="C20" s="557"/>
      <c r="D20" s="557"/>
      <c r="E20" s="557"/>
      <c r="F20" s="557"/>
      <c r="G20" s="557"/>
      <c r="H20" s="557"/>
      <c r="I20" s="557"/>
      <c r="J20" s="558"/>
    </row>
    <row r="21" spans="2:10" ht="14.65" customHeight="1" x14ac:dyDescent="0.25">
      <c r="B21" s="556" t="s">
        <v>274</v>
      </c>
      <c r="C21" s="557"/>
      <c r="D21" s="557"/>
      <c r="E21" s="557"/>
      <c r="F21" s="557"/>
      <c r="G21" s="557"/>
      <c r="H21" s="557"/>
      <c r="I21" s="557"/>
      <c r="J21" s="558"/>
    </row>
    <row r="22" spans="2:10" ht="28.9" customHeight="1" x14ac:dyDescent="0.25">
      <c r="B22" s="556" t="s">
        <v>275</v>
      </c>
      <c r="C22" s="557"/>
      <c r="D22" s="557"/>
      <c r="E22" s="557"/>
      <c r="F22" s="557"/>
      <c r="G22" s="557"/>
      <c r="H22" s="557"/>
      <c r="I22" s="557"/>
      <c r="J22" s="558"/>
    </row>
    <row r="23" spans="2:10" ht="15.75" thickBot="1" x14ac:dyDescent="0.3">
      <c r="B23" s="568" t="s">
        <v>276</v>
      </c>
      <c r="C23" s="569"/>
      <c r="D23" s="569"/>
      <c r="E23" s="569"/>
      <c r="F23" s="569"/>
      <c r="G23" s="569"/>
      <c r="H23" s="569"/>
      <c r="I23" s="569"/>
      <c r="J23" s="570"/>
    </row>
    <row r="24" spans="2:10" ht="16.5" thickBot="1" x14ac:dyDescent="0.3">
      <c r="B24" s="366" t="s">
        <v>221</v>
      </c>
      <c r="C24" s="367"/>
      <c r="D24" s="367"/>
      <c r="E24" s="367"/>
      <c r="F24" s="367"/>
      <c r="G24" s="367"/>
      <c r="H24" s="367"/>
      <c r="I24" s="367"/>
      <c r="J24" s="368"/>
    </row>
    <row r="25" spans="2:10" ht="16.5" thickBot="1" x14ac:dyDescent="0.3">
      <c r="B25" s="363" t="s">
        <v>692</v>
      </c>
      <c r="C25" s="364"/>
      <c r="D25" s="364"/>
      <c r="E25" s="364"/>
      <c r="F25" s="364"/>
      <c r="G25" s="364"/>
      <c r="H25" s="364"/>
      <c r="I25" s="364"/>
      <c r="J25" s="445"/>
    </row>
    <row r="26" spans="2:10" ht="16.5" thickBot="1" x14ac:dyDescent="0.3">
      <c r="B26" s="366" t="s">
        <v>222</v>
      </c>
      <c r="C26" s="367"/>
      <c r="D26" s="367"/>
      <c r="E26" s="367"/>
      <c r="F26" s="367"/>
      <c r="G26" s="367"/>
      <c r="H26" s="367"/>
      <c r="I26" s="367"/>
      <c r="J26" s="368"/>
    </row>
    <row r="27" spans="2:10" ht="15.75" thickBot="1" x14ac:dyDescent="0.3">
      <c r="B27" s="387" t="s">
        <v>262</v>
      </c>
      <c r="C27" s="388"/>
      <c r="D27" s="388"/>
      <c r="E27" s="388"/>
      <c r="F27" s="388"/>
      <c r="G27" s="388"/>
      <c r="H27" s="388"/>
      <c r="I27" s="388"/>
      <c r="J27" s="389"/>
    </row>
    <row r="28" spans="2:10" ht="15.75" thickBot="1" x14ac:dyDescent="0.3">
      <c r="B28" s="387" t="s">
        <v>263</v>
      </c>
      <c r="C28" s="388"/>
      <c r="D28" s="388"/>
      <c r="E28" s="388"/>
      <c r="F28" s="388"/>
      <c r="G28" s="388"/>
      <c r="H28" s="388"/>
      <c r="I28" s="388"/>
      <c r="J28" s="389"/>
    </row>
    <row r="29" spans="2:10" ht="15.75" thickBot="1" x14ac:dyDescent="0.3">
      <c r="B29" s="387" t="s">
        <v>264</v>
      </c>
      <c r="C29" s="388"/>
      <c r="D29" s="388"/>
      <c r="E29" s="388"/>
      <c r="F29" s="388"/>
      <c r="G29" s="388"/>
      <c r="H29" s="388"/>
      <c r="I29" s="388"/>
      <c r="J29" s="389"/>
    </row>
    <row r="30" spans="2:10" ht="16.5" thickBot="1" x14ac:dyDescent="0.3">
      <c r="B30" s="390"/>
      <c r="C30" s="390"/>
      <c r="D30" s="390"/>
      <c r="E30" s="390"/>
      <c r="F30" s="390"/>
      <c r="G30" s="390"/>
      <c r="H30" s="391"/>
      <c r="I30" s="391"/>
      <c r="J30" s="391"/>
    </row>
    <row r="31" spans="2:10" ht="16.5" thickBot="1" x14ac:dyDescent="0.3">
      <c r="B31" s="366" t="s">
        <v>226</v>
      </c>
      <c r="C31" s="367"/>
      <c r="D31" s="367"/>
      <c r="E31" s="367"/>
      <c r="F31" s="367"/>
      <c r="G31" s="367"/>
      <c r="H31" s="367"/>
      <c r="I31" s="367"/>
      <c r="J31" s="368"/>
    </row>
    <row r="32" spans="2:10" ht="14.65" customHeight="1" x14ac:dyDescent="0.25">
      <c r="B32" s="562" t="s">
        <v>277</v>
      </c>
      <c r="C32" s="563"/>
      <c r="D32" s="563"/>
      <c r="E32" s="563"/>
      <c r="F32" s="563"/>
      <c r="G32" s="563"/>
      <c r="H32" s="563"/>
      <c r="I32" s="563"/>
      <c r="J32" s="564"/>
    </row>
    <row r="33" spans="2:10" ht="14.65" customHeight="1" x14ac:dyDescent="0.25">
      <c r="B33" s="556" t="s">
        <v>278</v>
      </c>
      <c r="C33" s="557"/>
      <c r="D33" s="557"/>
      <c r="E33" s="557"/>
      <c r="F33" s="557"/>
      <c r="G33" s="557"/>
      <c r="H33" s="557"/>
      <c r="I33" s="557"/>
      <c r="J33" s="558"/>
    </row>
    <row r="34" spans="2:10" ht="14.65" customHeight="1" x14ac:dyDescent="0.25">
      <c r="B34" s="556" t="s">
        <v>279</v>
      </c>
      <c r="C34" s="557"/>
      <c r="D34" s="557"/>
      <c r="E34" s="557"/>
      <c r="F34" s="557"/>
      <c r="G34" s="557"/>
      <c r="H34" s="557"/>
      <c r="I34" s="557"/>
      <c r="J34" s="558"/>
    </row>
    <row r="35" spans="2:10" ht="14.65" customHeight="1" x14ac:dyDescent="0.25">
      <c r="B35" s="556" t="s">
        <v>280</v>
      </c>
      <c r="C35" s="557"/>
      <c r="D35" s="557"/>
      <c r="E35" s="557"/>
      <c r="F35" s="557"/>
      <c r="G35" s="557"/>
      <c r="H35" s="557"/>
      <c r="I35" s="557"/>
      <c r="J35" s="558"/>
    </row>
    <row r="36" spans="2:10" ht="14.65" customHeight="1" x14ac:dyDescent="0.25">
      <c r="B36" s="556" t="s">
        <v>281</v>
      </c>
      <c r="C36" s="557"/>
      <c r="D36" s="557"/>
      <c r="E36" s="557"/>
      <c r="F36" s="557"/>
      <c r="G36" s="557"/>
      <c r="H36" s="557"/>
      <c r="I36" s="557"/>
      <c r="J36" s="558"/>
    </row>
    <row r="37" spans="2:10" ht="14.65" customHeight="1" x14ac:dyDescent="0.25">
      <c r="B37" s="556" t="s">
        <v>282</v>
      </c>
      <c r="C37" s="557"/>
      <c r="D37" s="557"/>
      <c r="E37" s="557"/>
      <c r="F37" s="557"/>
      <c r="G37" s="557"/>
      <c r="H37" s="557"/>
      <c r="I37" s="557"/>
      <c r="J37" s="558"/>
    </row>
    <row r="38" spans="2:10" ht="14.65" customHeight="1" x14ac:dyDescent="0.25">
      <c r="B38" s="556" t="s">
        <v>283</v>
      </c>
      <c r="C38" s="557"/>
      <c r="D38" s="557"/>
      <c r="E38" s="557"/>
      <c r="F38" s="557"/>
      <c r="G38" s="557"/>
      <c r="H38" s="557"/>
      <c r="I38" s="557"/>
      <c r="J38" s="558"/>
    </row>
    <row r="39" spans="2:10" ht="14.65" customHeight="1" x14ac:dyDescent="0.25">
      <c r="B39" s="556" t="s">
        <v>284</v>
      </c>
      <c r="C39" s="557"/>
      <c r="D39" s="557"/>
      <c r="E39" s="557"/>
      <c r="F39" s="557"/>
      <c r="G39" s="557"/>
      <c r="H39" s="557"/>
      <c r="I39" s="557"/>
      <c r="J39" s="558"/>
    </row>
    <row r="40" spans="2:10" ht="14.65" customHeight="1" x14ac:dyDescent="0.25">
      <c r="B40" s="556" t="s">
        <v>285</v>
      </c>
      <c r="C40" s="557"/>
      <c r="D40" s="557"/>
      <c r="E40" s="557"/>
      <c r="F40" s="557"/>
      <c r="G40" s="557"/>
      <c r="H40" s="557"/>
      <c r="I40" s="557"/>
      <c r="J40" s="558"/>
    </row>
    <row r="41" spans="2:10" ht="14.65" customHeight="1" x14ac:dyDescent="0.25">
      <c r="B41" s="556" t="s">
        <v>286</v>
      </c>
      <c r="C41" s="557"/>
      <c r="D41" s="557"/>
      <c r="E41" s="557"/>
      <c r="F41" s="557"/>
      <c r="G41" s="557"/>
      <c r="H41" s="557"/>
      <c r="I41" s="557"/>
      <c r="J41" s="558"/>
    </row>
    <row r="42" spans="2:10" ht="14.65" customHeight="1" x14ac:dyDescent="0.25">
      <c r="B42" s="556" t="s">
        <v>287</v>
      </c>
      <c r="C42" s="557"/>
      <c r="D42" s="557"/>
      <c r="E42" s="557"/>
      <c r="F42" s="557"/>
      <c r="G42" s="557"/>
      <c r="H42" s="557"/>
      <c r="I42" s="557"/>
      <c r="J42" s="558"/>
    </row>
    <row r="43" spans="2:10" ht="14.65" customHeight="1" x14ac:dyDescent="0.25">
      <c r="B43" s="556" t="s">
        <v>288</v>
      </c>
      <c r="C43" s="557"/>
      <c r="D43" s="557"/>
      <c r="E43" s="557"/>
      <c r="F43" s="557"/>
      <c r="G43" s="557"/>
      <c r="H43" s="557"/>
      <c r="I43" s="557"/>
      <c r="J43" s="558"/>
    </row>
    <row r="44" spans="2:10" ht="14.65" customHeight="1" x14ac:dyDescent="0.25">
      <c r="B44" s="556" t="s">
        <v>289</v>
      </c>
      <c r="C44" s="557"/>
      <c r="D44" s="557"/>
      <c r="E44" s="557"/>
      <c r="F44" s="557"/>
      <c r="G44" s="557"/>
      <c r="H44" s="557"/>
      <c r="I44" s="557"/>
      <c r="J44" s="558"/>
    </row>
    <row r="45" spans="2:10" ht="15.75" thickBot="1" x14ac:dyDescent="0.3">
      <c r="B45" s="559" t="s">
        <v>290</v>
      </c>
      <c r="C45" s="560"/>
      <c r="D45" s="560"/>
      <c r="E45" s="560"/>
      <c r="F45" s="560"/>
      <c r="G45" s="560"/>
      <c r="H45" s="560"/>
      <c r="I45" s="560"/>
      <c r="J45" s="561"/>
    </row>
    <row r="46" spans="2:10" ht="16.5" thickBot="1" x14ac:dyDescent="0.3">
      <c r="B46" s="366" t="s">
        <v>227</v>
      </c>
      <c r="C46" s="367"/>
      <c r="D46" s="367"/>
      <c r="E46" s="367"/>
      <c r="F46" s="367"/>
      <c r="G46" s="367"/>
      <c r="H46" s="367"/>
      <c r="I46" s="367"/>
      <c r="J46" s="368"/>
    </row>
    <row r="47" spans="2:10" ht="16.5" thickBot="1" x14ac:dyDescent="0.3">
      <c r="B47" s="363" t="s">
        <v>228</v>
      </c>
      <c r="C47" s="364"/>
      <c r="D47" s="365"/>
      <c r="E47" s="363" t="s">
        <v>217</v>
      </c>
      <c r="F47" s="364"/>
      <c r="G47" s="364"/>
      <c r="H47" s="364"/>
      <c r="I47" s="364"/>
      <c r="J47" s="365"/>
    </row>
    <row r="48" spans="2:10" ht="16.5" thickBot="1" x14ac:dyDescent="0.3">
      <c r="B48" s="363" t="s">
        <v>230</v>
      </c>
      <c r="C48" s="364"/>
      <c r="D48" s="365"/>
      <c r="E48" s="363" t="s">
        <v>231</v>
      </c>
      <c r="F48" s="364"/>
      <c r="G48" s="364"/>
      <c r="H48" s="364"/>
      <c r="I48" s="364"/>
      <c r="J48" s="365"/>
    </row>
    <row r="49" spans="2:10" ht="16.5" thickBot="1" x14ac:dyDescent="0.3">
      <c r="B49" s="366" t="s">
        <v>232</v>
      </c>
      <c r="C49" s="367"/>
      <c r="D49" s="367"/>
      <c r="E49" s="367"/>
      <c r="F49" s="367"/>
      <c r="G49" s="367"/>
      <c r="H49" s="367"/>
      <c r="I49" s="367"/>
      <c r="J49" s="368"/>
    </row>
    <row r="50" spans="2:10" ht="15.75" thickBot="1" x14ac:dyDescent="0.3">
      <c r="B50" s="387" t="s">
        <v>487</v>
      </c>
      <c r="C50" s="388"/>
      <c r="D50" s="388"/>
      <c r="E50" s="388"/>
      <c r="F50" s="388"/>
      <c r="G50" s="388"/>
      <c r="H50" s="388"/>
      <c r="I50" s="388"/>
      <c r="J50" s="389"/>
    </row>
    <row r="51" spans="2:10" ht="15.75" thickBot="1" x14ac:dyDescent="0.3">
      <c r="B51" s="121" t="s">
        <v>491</v>
      </c>
      <c r="C51" s="122"/>
      <c r="D51" s="122"/>
      <c r="E51" s="122"/>
      <c r="F51" s="122"/>
      <c r="G51" s="122"/>
      <c r="H51" s="122"/>
      <c r="I51" s="122"/>
      <c r="J51" s="123"/>
    </row>
    <row r="52" spans="2:10" ht="15.75" thickBot="1" x14ac:dyDescent="0.3">
      <c r="B52" s="121" t="s">
        <v>490</v>
      </c>
      <c r="C52" s="122"/>
      <c r="D52" s="122"/>
      <c r="E52" s="122"/>
      <c r="F52" s="122"/>
      <c r="G52" s="122"/>
      <c r="H52" s="122"/>
      <c r="I52" s="122"/>
      <c r="J52" s="123"/>
    </row>
    <row r="53" spans="2:10" ht="16.5" thickBot="1" x14ac:dyDescent="0.3">
      <c r="B53" s="366" t="s">
        <v>234</v>
      </c>
      <c r="C53" s="367"/>
      <c r="D53" s="367"/>
      <c r="E53" s="367"/>
      <c r="F53" s="367"/>
      <c r="G53" s="367"/>
      <c r="H53" s="367"/>
      <c r="I53" s="367"/>
      <c r="J53" s="368"/>
    </row>
    <row r="54" spans="2:10" ht="14.65" customHeight="1" x14ac:dyDescent="0.25">
      <c r="B54" s="430" t="s">
        <v>693</v>
      </c>
      <c r="C54" s="431"/>
      <c r="D54" s="431"/>
      <c r="E54" s="431"/>
      <c r="F54" s="431"/>
      <c r="G54" s="431"/>
      <c r="H54" s="431"/>
      <c r="I54" s="431"/>
      <c r="J54" s="432"/>
    </row>
    <row r="55" spans="2:10" ht="14.65" customHeight="1" x14ac:dyDescent="0.25">
      <c r="B55" s="433" t="s">
        <v>694</v>
      </c>
      <c r="C55" s="434"/>
      <c r="D55" s="434"/>
      <c r="E55" s="434"/>
      <c r="F55" s="434"/>
      <c r="G55" s="434"/>
      <c r="H55" s="434"/>
      <c r="I55" s="434"/>
      <c r="J55" s="435"/>
    </row>
    <row r="56" spans="2:10" ht="14.65" customHeight="1" x14ac:dyDescent="0.25">
      <c r="B56" s="433" t="s">
        <v>695</v>
      </c>
      <c r="C56" s="434"/>
      <c r="D56" s="434"/>
      <c r="E56" s="434"/>
      <c r="F56" s="434"/>
      <c r="G56" s="434"/>
      <c r="H56" s="434"/>
      <c r="I56" s="434"/>
      <c r="J56" s="435"/>
    </row>
    <row r="57" spans="2:10" ht="14.65" customHeight="1" x14ac:dyDescent="0.25">
      <c r="B57" s="433" t="s">
        <v>696</v>
      </c>
      <c r="C57" s="434"/>
      <c r="D57" s="434"/>
      <c r="E57" s="434"/>
      <c r="F57" s="434"/>
      <c r="G57" s="434"/>
      <c r="H57" s="434"/>
      <c r="I57" s="434"/>
      <c r="J57" s="435"/>
    </row>
    <row r="58" spans="2:10" ht="28.9" customHeight="1" thickBot="1" x14ac:dyDescent="0.3">
      <c r="B58" s="427" t="s">
        <v>697</v>
      </c>
      <c r="C58" s="428"/>
      <c r="D58" s="428"/>
      <c r="E58" s="428"/>
      <c r="F58" s="428"/>
      <c r="G58" s="428"/>
      <c r="H58" s="428"/>
      <c r="I58" s="428"/>
      <c r="J58" s="429"/>
    </row>
  </sheetData>
  <mergeCells count="71">
    <mergeCell ref="B2:J2"/>
    <mergeCell ref="B3:D3"/>
    <mergeCell ref="E3:G3"/>
    <mergeCell ref="H3:J3"/>
    <mergeCell ref="B4:D4"/>
    <mergeCell ref="E4:J4"/>
    <mergeCell ref="B11:E11"/>
    <mergeCell ref="F11:J11"/>
    <mergeCell ref="B5:D5"/>
    <mergeCell ref="E5:J5"/>
    <mergeCell ref="B6:D6"/>
    <mergeCell ref="E6:J6"/>
    <mergeCell ref="B7:D7"/>
    <mergeCell ref="E7:J7"/>
    <mergeCell ref="B8:D8"/>
    <mergeCell ref="E8:J8"/>
    <mergeCell ref="B9:D9"/>
    <mergeCell ref="E9:J9"/>
    <mergeCell ref="B10:J10"/>
    <mergeCell ref="B12:E12"/>
    <mergeCell ref="F12:J12"/>
    <mergeCell ref="C13:F13"/>
    <mergeCell ref="G13:H13"/>
    <mergeCell ref="C14:F14"/>
    <mergeCell ref="G14:H14"/>
    <mergeCell ref="B26:J26"/>
    <mergeCell ref="B15:J15"/>
    <mergeCell ref="B16:J16"/>
    <mergeCell ref="B17:J17"/>
    <mergeCell ref="B18:J18"/>
    <mergeCell ref="B19:J19"/>
    <mergeCell ref="B20:J20"/>
    <mergeCell ref="B21:J21"/>
    <mergeCell ref="B22:J22"/>
    <mergeCell ref="B23:J23"/>
    <mergeCell ref="B24:J24"/>
    <mergeCell ref="B25:J25"/>
    <mergeCell ref="B27:J27"/>
    <mergeCell ref="B28:J28"/>
    <mergeCell ref="B29:J29"/>
    <mergeCell ref="B30:D30"/>
    <mergeCell ref="E30:G30"/>
    <mergeCell ref="H30:J30"/>
    <mergeCell ref="B42:J42"/>
    <mergeCell ref="B31:J31"/>
    <mergeCell ref="B32:J32"/>
    <mergeCell ref="B33:J33"/>
    <mergeCell ref="B34:J34"/>
    <mergeCell ref="B35:J35"/>
    <mergeCell ref="B36:J36"/>
    <mergeCell ref="B37:J37"/>
    <mergeCell ref="B38:J38"/>
    <mergeCell ref="B39:J39"/>
    <mergeCell ref="B40:J40"/>
    <mergeCell ref="B41:J41"/>
    <mergeCell ref="B43:J43"/>
    <mergeCell ref="B44:J44"/>
    <mergeCell ref="B45:J45"/>
    <mergeCell ref="B46:J46"/>
    <mergeCell ref="B47:D47"/>
    <mergeCell ref="E47:J47"/>
    <mergeCell ref="B55:J55"/>
    <mergeCell ref="B56:J56"/>
    <mergeCell ref="B57:J57"/>
    <mergeCell ref="B58:J58"/>
    <mergeCell ref="B48:D48"/>
    <mergeCell ref="E48:J48"/>
    <mergeCell ref="B49:J49"/>
    <mergeCell ref="B50:J50"/>
    <mergeCell ref="B53:J53"/>
    <mergeCell ref="B54:J54"/>
  </mergeCells>
  <hyperlinks>
    <hyperlink ref="B1" location="'Schéma d''enseignement'!G11" display="Schéma d'enseignement"/>
  </hyperlink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sheetPr>
  <dimension ref="B1:J52"/>
  <sheetViews>
    <sheetView zoomScaleNormal="100" workbookViewId="0">
      <selection activeCell="B1" sqref="B1:D1"/>
    </sheetView>
  </sheetViews>
  <sheetFormatPr baseColWidth="10" defaultColWidth="8.7109375" defaultRowHeight="15" x14ac:dyDescent="0.25"/>
  <cols>
    <col min="1" max="1" width="1.28515625" style="1" customWidth="1"/>
    <col min="2" max="2" width="19.28515625" style="1" customWidth="1"/>
    <col min="3" max="6" width="4" style="1" customWidth="1"/>
    <col min="7" max="8" width="6.7109375" style="1" customWidth="1"/>
    <col min="9" max="9" width="8.7109375" style="1"/>
    <col min="10" max="10" width="23.7109375" style="1" customWidth="1"/>
    <col min="11" max="16384" width="8.7109375" style="1"/>
  </cols>
  <sheetData>
    <row r="1" spans="2:10" ht="15.75" thickBot="1" x14ac:dyDescent="0.3">
      <c r="B1" s="586" t="s">
        <v>1267</v>
      </c>
      <c r="C1" s="586"/>
      <c r="D1" s="586"/>
      <c r="E1" s="76"/>
      <c r="F1" s="76"/>
      <c r="G1" s="76"/>
      <c r="H1" s="76"/>
      <c r="I1" s="76"/>
      <c r="J1" s="76"/>
    </row>
    <row r="2" spans="2:10" ht="15.75" x14ac:dyDescent="0.25">
      <c r="B2" s="421" t="s">
        <v>195</v>
      </c>
      <c r="C2" s="421"/>
      <c r="D2" s="421"/>
      <c r="E2" s="421"/>
      <c r="F2" s="421"/>
      <c r="G2" s="421"/>
      <c r="H2" s="421"/>
      <c r="I2" s="421"/>
      <c r="J2" s="421"/>
    </row>
    <row r="3" spans="2:10" ht="16.5" thickBot="1" x14ac:dyDescent="0.3">
      <c r="E3" s="476"/>
      <c r="F3" s="476"/>
      <c r="G3" s="476"/>
      <c r="H3" s="477"/>
      <c r="I3" s="477"/>
      <c r="J3" s="477"/>
    </row>
    <row r="4" spans="2:10" ht="16.5" thickBot="1" x14ac:dyDescent="0.3">
      <c r="B4" s="366" t="s">
        <v>196</v>
      </c>
      <c r="C4" s="367"/>
      <c r="D4" s="464"/>
      <c r="E4" s="478"/>
      <c r="F4" s="479"/>
      <c r="G4" s="479"/>
      <c r="H4" s="479"/>
      <c r="I4" s="479"/>
      <c r="J4" s="480"/>
    </row>
    <row r="5" spans="2:10" ht="16.5" thickBot="1" x14ac:dyDescent="0.3">
      <c r="B5" s="424" t="s">
        <v>197</v>
      </c>
      <c r="C5" s="425"/>
      <c r="D5" s="474"/>
      <c r="E5" s="468" t="s">
        <v>198</v>
      </c>
      <c r="F5" s="469"/>
      <c r="G5" s="469"/>
      <c r="H5" s="469"/>
      <c r="I5" s="469"/>
      <c r="J5" s="470"/>
    </row>
    <row r="6" spans="2:10" ht="16.5" thickBot="1" x14ac:dyDescent="0.3">
      <c r="B6" s="366" t="s">
        <v>199</v>
      </c>
      <c r="C6" s="367"/>
      <c r="D6" s="464"/>
      <c r="E6" s="468" t="s">
        <v>200</v>
      </c>
      <c r="F6" s="469"/>
      <c r="G6" s="469"/>
      <c r="H6" s="469"/>
      <c r="I6" s="469"/>
      <c r="J6" s="470"/>
    </row>
    <row r="7" spans="2:10" ht="16.5" thickBot="1" x14ac:dyDescent="0.3">
      <c r="B7" s="366" t="s">
        <v>201</v>
      </c>
      <c r="C7" s="367"/>
      <c r="D7" s="464"/>
      <c r="E7" s="468" t="s">
        <v>202</v>
      </c>
      <c r="F7" s="469"/>
      <c r="G7" s="469"/>
      <c r="H7" s="469"/>
      <c r="I7" s="469"/>
      <c r="J7" s="470"/>
    </row>
    <row r="8" spans="2:10" ht="16.5" thickBot="1" x14ac:dyDescent="0.3">
      <c r="B8" s="366" t="s">
        <v>203</v>
      </c>
      <c r="C8" s="367"/>
      <c r="D8" s="464"/>
      <c r="E8" s="465" t="s">
        <v>291</v>
      </c>
      <c r="F8" s="466"/>
      <c r="G8" s="466"/>
      <c r="H8" s="466"/>
      <c r="I8" s="466"/>
      <c r="J8" s="467"/>
    </row>
    <row r="9" spans="2:10" ht="16.5" thickBot="1" x14ac:dyDescent="0.3">
      <c r="B9" s="366" t="s">
        <v>204</v>
      </c>
      <c r="C9" s="367"/>
      <c r="D9" s="464"/>
      <c r="E9" s="468" t="s">
        <v>205</v>
      </c>
      <c r="F9" s="469"/>
      <c r="G9" s="469"/>
      <c r="H9" s="469"/>
      <c r="I9" s="469"/>
      <c r="J9" s="470"/>
    </row>
    <row r="10" spans="2:10" ht="16.5" thickBot="1" x14ac:dyDescent="0.3">
      <c r="B10" s="471" t="s">
        <v>206</v>
      </c>
      <c r="C10" s="472"/>
      <c r="D10" s="472"/>
      <c r="E10" s="472"/>
      <c r="F10" s="472"/>
      <c r="G10" s="472"/>
      <c r="H10" s="472"/>
      <c r="I10" s="472"/>
      <c r="J10" s="473"/>
    </row>
    <row r="11" spans="2:10" ht="16.5" thickBot="1" x14ac:dyDescent="0.3">
      <c r="B11" s="404" t="s">
        <v>207</v>
      </c>
      <c r="C11" s="405"/>
      <c r="D11" s="405"/>
      <c r="E11" s="406"/>
      <c r="F11" s="404" t="s">
        <v>208</v>
      </c>
      <c r="G11" s="405"/>
      <c r="H11" s="405"/>
      <c r="I11" s="405"/>
      <c r="J11" s="406"/>
    </row>
    <row r="12" spans="2:10" ht="16.5" thickBot="1" x14ac:dyDescent="0.3">
      <c r="B12" s="407" t="s">
        <v>209</v>
      </c>
      <c r="C12" s="408"/>
      <c r="D12" s="408"/>
      <c r="E12" s="409"/>
      <c r="F12" s="571"/>
      <c r="G12" s="572"/>
      <c r="H12" s="572"/>
      <c r="I12" s="572"/>
      <c r="J12" s="573"/>
    </row>
    <row r="13" spans="2:10" ht="16.5" thickBot="1" x14ac:dyDescent="0.3">
      <c r="B13" s="69" t="s">
        <v>210</v>
      </c>
      <c r="C13" s="404" t="s">
        <v>211</v>
      </c>
      <c r="D13" s="405"/>
      <c r="E13" s="405"/>
      <c r="F13" s="406"/>
      <c r="G13" s="404" t="s">
        <v>212</v>
      </c>
      <c r="H13" s="406"/>
      <c r="I13" s="70" t="s">
        <v>213</v>
      </c>
      <c r="J13" s="70" t="s">
        <v>214</v>
      </c>
    </row>
    <row r="14" spans="2:10" ht="30.75" thickBot="1" x14ac:dyDescent="0.3">
      <c r="B14" s="119" t="s">
        <v>292</v>
      </c>
      <c r="C14" s="410" t="s">
        <v>260</v>
      </c>
      <c r="D14" s="411"/>
      <c r="E14" s="411"/>
      <c r="F14" s="412"/>
      <c r="G14" s="410" t="s">
        <v>217</v>
      </c>
      <c r="H14" s="412"/>
      <c r="I14" s="120">
        <v>3</v>
      </c>
      <c r="J14" s="120" t="s">
        <v>218</v>
      </c>
    </row>
    <row r="15" spans="2:10" ht="16.5" thickBot="1" x14ac:dyDescent="0.3">
      <c r="B15" s="366" t="s">
        <v>219</v>
      </c>
      <c r="C15" s="367"/>
      <c r="D15" s="367"/>
      <c r="E15" s="367"/>
      <c r="F15" s="367"/>
      <c r="G15" s="367"/>
      <c r="H15" s="367"/>
      <c r="I15" s="367"/>
      <c r="J15" s="368"/>
    </row>
    <row r="16" spans="2:10" ht="30" customHeight="1" thickBot="1" x14ac:dyDescent="0.3">
      <c r="B16" s="398" t="s">
        <v>716</v>
      </c>
      <c r="C16" s="399"/>
      <c r="D16" s="399"/>
      <c r="E16" s="399"/>
      <c r="F16" s="399"/>
      <c r="G16" s="399"/>
      <c r="H16" s="399"/>
      <c r="I16" s="399"/>
      <c r="J16" s="400"/>
    </row>
    <row r="17" spans="2:10" ht="16.5" thickBot="1" x14ac:dyDescent="0.3">
      <c r="B17" s="366" t="s">
        <v>220</v>
      </c>
      <c r="C17" s="367"/>
      <c r="D17" s="367"/>
      <c r="E17" s="367"/>
      <c r="F17" s="367"/>
      <c r="G17" s="367"/>
      <c r="H17" s="367"/>
      <c r="I17" s="367"/>
      <c r="J17" s="368"/>
    </row>
    <row r="18" spans="2:10" ht="30" customHeight="1" x14ac:dyDescent="0.25">
      <c r="B18" s="401" t="s">
        <v>712</v>
      </c>
      <c r="C18" s="552"/>
      <c r="D18" s="552"/>
      <c r="E18" s="552"/>
      <c r="F18" s="552"/>
      <c r="G18" s="552"/>
      <c r="H18" s="552"/>
      <c r="I18" s="552"/>
      <c r="J18" s="553"/>
    </row>
    <row r="19" spans="2:10" ht="43.5" customHeight="1" x14ac:dyDescent="0.25">
      <c r="B19" s="392" t="s">
        <v>713</v>
      </c>
      <c r="C19" s="547"/>
      <c r="D19" s="547"/>
      <c r="E19" s="547"/>
      <c r="F19" s="547"/>
      <c r="G19" s="547"/>
      <c r="H19" s="547"/>
      <c r="I19" s="547"/>
      <c r="J19" s="548"/>
    </row>
    <row r="20" spans="2:10" ht="28.9" customHeight="1" x14ac:dyDescent="0.25">
      <c r="B20" s="392" t="s">
        <v>714</v>
      </c>
      <c r="C20" s="547"/>
      <c r="D20" s="547"/>
      <c r="E20" s="547"/>
      <c r="F20" s="547"/>
      <c r="G20" s="547"/>
      <c r="H20" s="547"/>
      <c r="I20" s="547"/>
      <c r="J20" s="548"/>
    </row>
    <row r="21" spans="2:10" ht="28.9" customHeight="1" thickBot="1" x14ac:dyDescent="0.3">
      <c r="B21" s="395" t="s">
        <v>715</v>
      </c>
      <c r="C21" s="583"/>
      <c r="D21" s="583"/>
      <c r="E21" s="583"/>
      <c r="F21" s="583"/>
      <c r="G21" s="583"/>
      <c r="H21" s="583"/>
      <c r="I21" s="583"/>
      <c r="J21" s="584"/>
    </row>
    <row r="22" spans="2:10" ht="16.5" thickBot="1" x14ac:dyDescent="0.3">
      <c r="B22" s="366" t="s">
        <v>221</v>
      </c>
      <c r="C22" s="367"/>
      <c r="D22" s="367"/>
      <c r="E22" s="367"/>
      <c r="F22" s="367"/>
      <c r="G22" s="367"/>
      <c r="H22" s="367"/>
      <c r="I22" s="367"/>
      <c r="J22" s="368"/>
    </row>
    <row r="23" spans="2:10" ht="16.5" thickBot="1" x14ac:dyDescent="0.3">
      <c r="B23" s="363" t="s">
        <v>711</v>
      </c>
      <c r="C23" s="364"/>
      <c r="D23" s="364"/>
      <c r="E23" s="364"/>
      <c r="F23" s="364"/>
      <c r="G23" s="364"/>
      <c r="H23" s="364"/>
      <c r="I23" s="364"/>
      <c r="J23" s="445"/>
    </row>
    <row r="24" spans="2:10" ht="16.5" thickBot="1" x14ac:dyDescent="0.3">
      <c r="B24" s="366" t="s">
        <v>222</v>
      </c>
      <c r="C24" s="367"/>
      <c r="D24" s="367"/>
      <c r="E24" s="367"/>
      <c r="F24" s="367"/>
      <c r="G24" s="367"/>
      <c r="H24" s="367"/>
      <c r="I24" s="367"/>
      <c r="J24" s="368"/>
    </row>
    <row r="25" spans="2:10" ht="15.75" thickBot="1" x14ac:dyDescent="0.3">
      <c r="B25" s="387" t="s">
        <v>22</v>
      </c>
      <c r="C25" s="388"/>
      <c r="D25" s="388"/>
      <c r="E25" s="388"/>
      <c r="F25" s="388"/>
      <c r="G25" s="388"/>
      <c r="H25" s="388"/>
      <c r="I25" s="388"/>
      <c r="J25" s="389"/>
    </row>
    <row r="26" spans="2:10" ht="15.75" thickBot="1" x14ac:dyDescent="0.3">
      <c r="B26" s="387" t="s">
        <v>293</v>
      </c>
      <c r="C26" s="388"/>
      <c r="D26" s="388"/>
      <c r="E26" s="388"/>
      <c r="F26" s="388"/>
      <c r="G26" s="388"/>
      <c r="H26" s="388"/>
      <c r="I26" s="388"/>
      <c r="J26" s="490"/>
    </row>
    <row r="27" spans="2:10" ht="15.75" thickBot="1" x14ac:dyDescent="0.3">
      <c r="B27" s="387" t="s">
        <v>24</v>
      </c>
      <c r="C27" s="388"/>
      <c r="D27" s="388"/>
      <c r="E27" s="388"/>
      <c r="F27" s="388"/>
      <c r="G27" s="388"/>
      <c r="H27" s="388"/>
      <c r="I27" s="388"/>
      <c r="J27" s="490"/>
    </row>
    <row r="28" spans="2:10" ht="16.5" thickBot="1" x14ac:dyDescent="0.3">
      <c r="B28" s="585"/>
      <c r="C28" s="585"/>
      <c r="D28" s="585"/>
      <c r="E28" s="390"/>
      <c r="F28" s="390"/>
      <c r="G28" s="390"/>
      <c r="H28" s="391"/>
      <c r="I28" s="391"/>
      <c r="J28" s="391"/>
    </row>
    <row r="29" spans="2:10" ht="16.5" thickBot="1" x14ac:dyDescent="0.3">
      <c r="B29" s="366" t="s">
        <v>226</v>
      </c>
      <c r="C29" s="367"/>
      <c r="D29" s="367"/>
      <c r="E29" s="367"/>
      <c r="F29" s="367"/>
      <c r="G29" s="367"/>
      <c r="H29" s="367"/>
      <c r="I29" s="367"/>
      <c r="J29" s="368"/>
    </row>
    <row r="30" spans="2:10" ht="14.65" customHeight="1" x14ac:dyDescent="0.25">
      <c r="B30" s="401" t="s">
        <v>704</v>
      </c>
      <c r="C30" s="552"/>
      <c r="D30" s="552"/>
      <c r="E30" s="552"/>
      <c r="F30" s="552"/>
      <c r="G30" s="552"/>
      <c r="H30" s="552"/>
      <c r="I30" s="552"/>
      <c r="J30" s="553"/>
    </row>
    <row r="31" spans="2:10" ht="28.5" customHeight="1" x14ac:dyDescent="0.25">
      <c r="B31" s="392" t="s">
        <v>705</v>
      </c>
      <c r="C31" s="547"/>
      <c r="D31" s="547"/>
      <c r="E31" s="547"/>
      <c r="F31" s="547"/>
      <c r="G31" s="547"/>
      <c r="H31" s="547"/>
      <c r="I31" s="547"/>
      <c r="J31" s="548"/>
    </row>
    <row r="32" spans="2:10" ht="14.65" customHeight="1" x14ac:dyDescent="0.25">
      <c r="B32" s="392" t="s">
        <v>706</v>
      </c>
      <c r="C32" s="547"/>
      <c r="D32" s="547"/>
      <c r="E32" s="547"/>
      <c r="F32" s="547"/>
      <c r="G32" s="547"/>
      <c r="H32" s="547"/>
      <c r="I32" s="547"/>
      <c r="J32" s="548"/>
    </row>
    <row r="33" spans="2:10" ht="14.65" customHeight="1" x14ac:dyDescent="0.25">
      <c r="B33" s="392" t="s">
        <v>707</v>
      </c>
      <c r="C33" s="547"/>
      <c r="D33" s="547"/>
      <c r="E33" s="547"/>
      <c r="F33" s="547"/>
      <c r="G33" s="547"/>
      <c r="H33" s="547"/>
      <c r="I33" s="547"/>
      <c r="J33" s="548"/>
    </row>
    <row r="34" spans="2:10" ht="14.65" customHeight="1" x14ac:dyDescent="0.25">
      <c r="B34" s="392" t="s">
        <v>708</v>
      </c>
      <c r="C34" s="547"/>
      <c r="D34" s="547"/>
      <c r="E34" s="547"/>
      <c r="F34" s="547"/>
      <c r="G34" s="547"/>
      <c r="H34" s="547"/>
      <c r="I34" s="547"/>
      <c r="J34" s="548"/>
    </row>
    <row r="35" spans="2:10" ht="14.65" customHeight="1" x14ac:dyDescent="0.25">
      <c r="B35" s="392" t="s">
        <v>709</v>
      </c>
      <c r="C35" s="547"/>
      <c r="D35" s="547"/>
      <c r="E35" s="547"/>
      <c r="F35" s="547"/>
      <c r="G35" s="547"/>
      <c r="H35" s="547"/>
      <c r="I35" s="547"/>
      <c r="J35" s="548"/>
    </row>
    <row r="36" spans="2:10" ht="15.75" thickBot="1" x14ac:dyDescent="0.3">
      <c r="B36" s="395" t="s">
        <v>710</v>
      </c>
      <c r="C36" s="583"/>
      <c r="D36" s="583"/>
      <c r="E36" s="583"/>
      <c r="F36" s="583"/>
      <c r="G36" s="583"/>
      <c r="H36" s="583"/>
      <c r="I36" s="583"/>
      <c r="J36" s="584"/>
    </row>
    <row r="37" spans="2:10" ht="16.5" thickBot="1" x14ac:dyDescent="0.3">
      <c r="B37" s="366" t="s">
        <v>227</v>
      </c>
      <c r="C37" s="367"/>
      <c r="D37" s="367"/>
      <c r="E37" s="367"/>
      <c r="F37" s="367"/>
      <c r="G37" s="367"/>
      <c r="H37" s="367"/>
      <c r="I37" s="367"/>
      <c r="J37" s="368"/>
    </row>
    <row r="38" spans="2:10" ht="16.5" thickBot="1" x14ac:dyDescent="0.3">
      <c r="B38" s="363" t="s">
        <v>245</v>
      </c>
      <c r="C38" s="364"/>
      <c r="D38" s="365"/>
      <c r="E38" s="363" t="s">
        <v>248</v>
      </c>
      <c r="F38" s="364"/>
      <c r="G38" s="364"/>
      <c r="H38" s="364"/>
      <c r="I38" s="364"/>
      <c r="J38" s="365"/>
    </row>
    <row r="39" spans="2:10" ht="16.5" thickBot="1" x14ac:dyDescent="0.3">
      <c r="B39" s="363" t="s">
        <v>247</v>
      </c>
      <c r="C39" s="364"/>
      <c r="D39" s="365"/>
      <c r="E39" s="363" t="s">
        <v>265</v>
      </c>
      <c r="F39" s="364"/>
      <c r="G39" s="364"/>
      <c r="H39" s="364"/>
      <c r="I39" s="364"/>
      <c r="J39" s="365"/>
    </row>
    <row r="40" spans="2:10" ht="16.5" thickBot="1" x14ac:dyDescent="0.3">
      <c r="B40" s="363" t="s">
        <v>230</v>
      </c>
      <c r="C40" s="364"/>
      <c r="D40" s="365"/>
      <c r="E40" s="363" t="s">
        <v>231</v>
      </c>
      <c r="F40" s="364"/>
      <c r="G40" s="364"/>
      <c r="H40" s="364"/>
      <c r="I40" s="364"/>
      <c r="J40" s="445"/>
    </row>
    <row r="41" spans="2:10" ht="16.5" thickBot="1" x14ac:dyDescent="0.3">
      <c r="B41" s="363" t="s">
        <v>249</v>
      </c>
      <c r="C41" s="364"/>
      <c r="D41" s="365"/>
      <c r="E41" s="363" t="s">
        <v>250</v>
      </c>
      <c r="F41" s="364"/>
      <c r="G41" s="364"/>
      <c r="H41" s="364"/>
      <c r="I41" s="364"/>
      <c r="J41" s="365"/>
    </row>
    <row r="42" spans="2:10" ht="16.5" thickBot="1" x14ac:dyDescent="0.3">
      <c r="B42" s="366" t="s">
        <v>232</v>
      </c>
      <c r="C42" s="367"/>
      <c r="D42" s="367"/>
      <c r="E42" s="367"/>
      <c r="F42" s="367"/>
      <c r="G42" s="367"/>
      <c r="H42" s="367"/>
      <c r="I42" s="367"/>
      <c r="J42" s="368"/>
    </row>
    <row r="43" spans="2:10" ht="15.75" thickBot="1" x14ac:dyDescent="0.3">
      <c r="B43" s="387" t="s">
        <v>487</v>
      </c>
      <c r="C43" s="388"/>
      <c r="D43" s="388"/>
      <c r="E43" s="388"/>
      <c r="F43" s="388"/>
      <c r="G43" s="388"/>
      <c r="H43" s="388"/>
      <c r="I43" s="388"/>
      <c r="J43" s="389"/>
    </row>
    <row r="44" spans="2:10" ht="15.75" thickBot="1" x14ac:dyDescent="0.3">
      <c r="B44" s="121" t="s">
        <v>491</v>
      </c>
      <c r="C44" s="122"/>
      <c r="D44" s="122"/>
      <c r="E44" s="122"/>
      <c r="F44" s="122"/>
      <c r="G44" s="122"/>
      <c r="H44" s="122"/>
      <c r="I44" s="122"/>
      <c r="J44" s="123"/>
    </row>
    <row r="45" spans="2:10" ht="15.75" thickBot="1" x14ac:dyDescent="0.3">
      <c r="B45" s="121" t="s">
        <v>490</v>
      </c>
      <c r="C45" s="122"/>
      <c r="D45" s="122"/>
      <c r="E45" s="122"/>
      <c r="F45" s="122"/>
      <c r="G45" s="122"/>
      <c r="H45" s="122"/>
      <c r="I45" s="122"/>
      <c r="J45" s="123"/>
    </row>
    <row r="46" spans="2:10" ht="16.5" thickBot="1" x14ac:dyDescent="0.3">
      <c r="B46" s="366" t="s">
        <v>234</v>
      </c>
      <c r="C46" s="367"/>
      <c r="D46" s="367"/>
      <c r="E46" s="367"/>
      <c r="F46" s="367"/>
      <c r="G46" s="367"/>
      <c r="H46" s="367"/>
      <c r="I46" s="367"/>
      <c r="J46" s="368"/>
    </row>
    <row r="47" spans="2:10" ht="14.65" customHeight="1" x14ac:dyDescent="0.25">
      <c r="B47" s="577" t="s">
        <v>698</v>
      </c>
      <c r="C47" s="578"/>
      <c r="D47" s="578"/>
      <c r="E47" s="578"/>
      <c r="F47" s="578"/>
      <c r="G47" s="578"/>
      <c r="H47" s="578"/>
      <c r="I47" s="578"/>
      <c r="J47" s="579"/>
    </row>
    <row r="48" spans="2:10" ht="14.65" customHeight="1" x14ac:dyDescent="0.25">
      <c r="B48" s="580" t="s">
        <v>699</v>
      </c>
      <c r="C48" s="581"/>
      <c r="D48" s="581"/>
      <c r="E48" s="581"/>
      <c r="F48" s="581"/>
      <c r="G48" s="581"/>
      <c r="H48" s="581"/>
      <c r="I48" s="581"/>
      <c r="J48" s="582"/>
    </row>
    <row r="49" spans="2:10" ht="28.9" customHeight="1" x14ac:dyDescent="0.25">
      <c r="B49" s="580" t="s">
        <v>700</v>
      </c>
      <c r="C49" s="581"/>
      <c r="D49" s="581"/>
      <c r="E49" s="581"/>
      <c r="F49" s="581"/>
      <c r="G49" s="581"/>
      <c r="H49" s="581"/>
      <c r="I49" s="581"/>
      <c r="J49" s="582"/>
    </row>
    <row r="50" spans="2:10" ht="14.65" customHeight="1" x14ac:dyDescent="0.25">
      <c r="B50" s="580" t="s">
        <v>701</v>
      </c>
      <c r="C50" s="581"/>
      <c r="D50" s="581"/>
      <c r="E50" s="581"/>
      <c r="F50" s="581"/>
      <c r="G50" s="581"/>
      <c r="H50" s="581"/>
      <c r="I50" s="581"/>
      <c r="J50" s="582"/>
    </row>
    <row r="51" spans="2:10" ht="28.9" customHeight="1" x14ac:dyDescent="0.25">
      <c r="B51" s="580" t="s">
        <v>702</v>
      </c>
      <c r="C51" s="581"/>
      <c r="D51" s="581"/>
      <c r="E51" s="581"/>
      <c r="F51" s="581"/>
      <c r="G51" s="581"/>
      <c r="H51" s="581"/>
      <c r="I51" s="581"/>
      <c r="J51" s="582"/>
    </row>
    <row r="52" spans="2:10" ht="28.9" customHeight="1" thickBot="1" x14ac:dyDescent="0.3">
      <c r="B52" s="574" t="s">
        <v>703</v>
      </c>
      <c r="C52" s="575"/>
      <c r="D52" s="575"/>
      <c r="E52" s="575"/>
      <c r="F52" s="575"/>
      <c r="G52" s="575"/>
      <c r="H52" s="575"/>
      <c r="I52" s="575"/>
      <c r="J52" s="576"/>
    </row>
  </sheetData>
  <mergeCells count="67">
    <mergeCell ref="B2:J2"/>
    <mergeCell ref="B1:D1"/>
    <mergeCell ref="E3:G3"/>
    <mergeCell ref="H3:J3"/>
    <mergeCell ref="B4:D4"/>
    <mergeCell ref="E4:J4"/>
    <mergeCell ref="B11:E11"/>
    <mergeCell ref="F11:J11"/>
    <mergeCell ref="B5:D5"/>
    <mergeCell ref="E5:J5"/>
    <mergeCell ref="B6:D6"/>
    <mergeCell ref="E6:J6"/>
    <mergeCell ref="B7:D7"/>
    <mergeCell ref="E7:J7"/>
    <mergeCell ref="B8:D8"/>
    <mergeCell ref="E8:J8"/>
    <mergeCell ref="B9:D9"/>
    <mergeCell ref="E9:J9"/>
    <mergeCell ref="B10:J10"/>
    <mergeCell ref="B20:J20"/>
    <mergeCell ref="B12:E12"/>
    <mergeCell ref="F12:J12"/>
    <mergeCell ref="C13:F13"/>
    <mergeCell ref="G13:H13"/>
    <mergeCell ref="C14:F14"/>
    <mergeCell ref="G14:H14"/>
    <mergeCell ref="B15:J15"/>
    <mergeCell ref="B16:J16"/>
    <mergeCell ref="B17:J17"/>
    <mergeCell ref="B18:J18"/>
    <mergeCell ref="B19:J19"/>
    <mergeCell ref="B30:J30"/>
    <mergeCell ref="B21:J21"/>
    <mergeCell ref="B22:J22"/>
    <mergeCell ref="B23:J23"/>
    <mergeCell ref="B24:J24"/>
    <mergeCell ref="B25:J25"/>
    <mergeCell ref="B26:J26"/>
    <mergeCell ref="B27:J27"/>
    <mergeCell ref="B28:D28"/>
    <mergeCell ref="E28:G28"/>
    <mergeCell ref="H28:J28"/>
    <mergeCell ref="B29:J29"/>
    <mergeCell ref="B40:D40"/>
    <mergeCell ref="E40:J40"/>
    <mergeCell ref="B31:J31"/>
    <mergeCell ref="B32:J32"/>
    <mergeCell ref="B33:J33"/>
    <mergeCell ref="B34:J34"/>
    <mergeCell ref="B35:J35"/>
    <mergeCell ref="B36:J36"/>
    <mergeCell ref="B37:J37"/>
    <mergeCell ref="B38:D38"/>
    <mergeCell ref="E38:J38"/>
    <mergeCell ref="B39:D39"/>
    <mergeCell ref="E39:J39"/>
    <mergeCell ref="B41:D41"/>
    <mergeCell ref="E41:J41"/>
    <mergeCell ref="B42:J42"/>
    <mergeCell ref="B43:J43"/>
    <mergeCell ref="B46:J46"/>
    <mergeCell ref="B52:J52"/>
    <mergeCell ref="B47:J47"/>
    <mergeCell ref="B48:J48"/>
    <mergeCell ref="B49:J49"/>
    <mergeCell ref="B50:J50"/>
    <mergeCell ref="B51:J51"/>
  </mergeCells>
  <hyperlinks>
    <hyperlink ref="B1:D1" location="'Schéma d''enseignement'!G12" display="Schéma d'enseignement"/>
  </hyperlinks>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sheetPr>
  <dimension ref="B1:J58"/>
  <sheetViews>
    <sheetView zoomScaleNormal="100" workbookViewId="0">
      <selection activeCell="B1" sqref="B1"/>
    </sheetView>
  </sheetViews>
  <sheetFormatPr baseColWidth="10" defaultColWidth="8.7109375" defaultRowHeight="15" x14ac:dyDescent="0.25"/>
  <cols>
    <col min="1" max="1" width="2.5703125" style="1" customWidth="1"/>
    <col min="2" max="2" width="18.28515625" style="1" customWidth="1"/>
    <col min="3" max="6" width="4.140625" style="1" customWidth="1"/>
    <col min="7" max="9" width="8.7109375" style="1"/>
    <col min="10" max="10" width="21.28515625" style="1" customWidth="1"/>
    <col min="11" max="16384" width="8.7109375" style="1"/>
  </cols>
  <sheetData>
    <row r="1" spans="2:10" x14ac:dyDescent="0.25">
      <c r="B1" s="287" t="s">
        <v>1267</v>
      </c>
    </row>
    <row r="2" spans="2:10" ht="15.75" x14ac:dyDescent="0.25">
      <c r="B2" s="421" t="s">
        <v>195</v>
      </c>
      <c r="C2" s="421"/>
      <c r="D2" s="421"/>
      <c r="E2" s="421"/>
      <c r="F2" s="421"/>
      <c r="G2" s="421"/>
      <c r="H2" s="421"/>
      <c r="I2" s="421"/>
      <c r="J2" s="421"/>
    </row>
    <row r="3" spans="2:10" ht="16.5" thickBot="1" x14ac:dyDescent="0.3">
      <c r="B3" s="475"/>
      <c r="C3" s="475"/>
      <c r="D3" s="475"/>
      <c r="E3" s="476"/>
      <c r="F3" s="476"/>
      <c r="G3" s="476"/>
      <c r="H3" s="477"/>
      <c r="I3" s="477"/>
      <c r="J3" s="477"/>
    </row>
    <row r="4" spans="2:10" ht="16.5" thickBot="1" x14ac:dyDescent="0.3">
      <c r="B4" s="366" t="s">
        <v>196</v>
      </c>
      <c r="C4" s="367"/>
      <c r="D4" s="464"/>
      <c r="E4" s="478"/>
      <c r="F4" s="479"/>
      <c r="G4" s="479"/>
      <c r="H4" s="479"/>
      <c r="I4" s="479"/>
      <c r="J4" s="480"/>
    </row>
    <row r="5" spans="2:10" ht="16.5" thickBot="1" x14ac:dyDescent="0.3">
      <c r="B5" s="424" t="s">
        <v>197</v>
      </c>
      <c r="C5" s="425"/>
      <c r="D5" s="474"/>
      <c r="E5" s="468" t="s">
        <v>198</v>
      </c>
      <c r="F5" s="469"/>
      <c r="G5" s="469"/>
      <c r="H5" s="469"/>
      <c r="I5" s="469"/>
      <c r="J5" s="470"/>
    </row>
    <row r="6" spans="2:10" ht="16.5" thickBot="1" x14ac:dyDescent="0.3">
      <c r="B6" s="366" t="s">
        <v>199</v>
      </c>
      <c r="C6" s="367"/>
      <c r="D6" s="464"/>
      <c r="E6" s="468" t="s">
        <v>200</v>
      </c>
      <c r="F6" s="469"/>
      <c r="G6" s="469"/>
      <c r="H6" s="469"/>
      <c r="I6" s="469"/>
      <c r="J6" s="470"/>
    </row>
    <row r="7" spans="2:10" ht="16.5" thickBot="1" x14ac:dyDescent="0.3">
      <c r="B7" s="366" t="s">
        <v>201</v>
      </c>
      <c r="C7" s="367"/>
      <c r="D7" s="464"/>
      <c r="E7" s="468" t="s">
        <v>202</v>
      </c>
      <c r="F7" s="469"/>
      <c r="G7" s="469"/>
      <c r="H7" s="469"/>
      <c r="I7" s="469"/>
      <c r="J7" s="470"/>
    </row>
    <row r="8" spans="2:10" ht="16.5" thickBot="1" x14ac:dyDescent="0.3">
      <c r="B8" s="366" t="s">
        <v>203</v>
      </c>
      <c r="C8" s="367"/>
      <c r="D8" s="464"/>
      <c r="E8" s="465" t="s">
        <v>291</v>
      </c>
      <c r="F8" s="466"/>
      <c r="G8" s="466"/>
      <c r="H8" s="466"/>
      <c r="I8" s="466"/>
      <c r="J8" s="467"/>
    </row>
    <row r="9" spans="2:10" ht="16.5" thickBot="1" x14ac:dyDescent="0.3">
      <c r="B9" s="366" t="s">
        <v>204</v>
      </c>
      <c r="C9" s="367"/>
      <c r="D9" s="464"/>
      <c r="E9" s="468" t="s">
        <v>205</v>
      </c>
      <c r="F9" s="469"/>
      <c r="G9" s="469"/>
      <c r="H9" s="469"/>
      <c r="I9" s="469"/>
      <c r="J9" s="470"/>
    </row>
    <row r="10" spans="2:10" ht="16.5" thickBot="1" x14ac:dyDescent="0.3">
      <c r="B10" s="471" t="s">
        <v>206</v>
      </c>
      <c r="C10" s="472"/>
      <c r="D10" s="472"/>
      <c r="E10" s="472"/>
      <c r="F10" s="472"/>
      <c r="G10" s="472"/>
      <c r="H10" s="472"/>
      <c r="I10" s="472"/>
      <c r="J10" s="473"/>
    </row>
    <row r="11" spans="2:10" ht="16.5" thickBot="1" x14ac:dyDescent="0.3">
      <c r="B11" s="404" t="s">
        <v>207</v>
      </c>
      <c r="C11" s="405"/>
      <c r="D11" s="405"/>
      <c r="E11" s="406"/>
      <c r="F11" s="404" t="s">
        <v>208</v>
      </c>
      <c r="G11" s="405"/>
      <c r="H11" s="405"/>
      <c r="I11" s="405"/>
      <c r="J11" s="406"/>
    </row>
    <row r="12" spans="2:10" ht="16.5" thickBot="1" x14ac:dyDescent="0.3">
      <c r="B12" s="407" t="s">
        <v>209</v>
      </c>
      <c r="C12" s="408"/>
      <c r="D12" s="408"/>
      <c r="E12" s="409"/>
      <c r="F12" s="571"/>
      <c r="G12" s="572"/>
      <c r="H12" s="572"/>
      <c r="I12" s="572"/>
      <c r="J12" s="573"/>
    </row>
    <row r="13" spans="2:10" ht="16.5" thickBot="1" x14ac:dyDescent="0.3">
      <c r="B13" s="69" t="s">
        <v>210</v>
      </c>
      <c r="C13" s="404" t="s">
        <v>211</v>
      </c>
      <c r="D13" s="405"/>
      <c r="E13" s="405"/>
      <c r="F13" s="406"/>
      <c r="G13" s="404" t="s">
        <v>212</v>
      </c>
      <c r="H13" s="406"/>
      <c r="I13" s="70" t="s">
        <v>213</v>
      </c>
      <c r="J13" s="70" t="s">
        <v>214</v>
      </c>
    </row>
    <row r="14" spans="2:10" ht="45.75" thickBot="1" x14ac:dyDescent="0.3">
      <c r="B14" s="119" t="s">
        <v>294</v>
      </c>
      <c r="C14" s="410" t="s">
        <v>239</v>
      </c>
      <c r="D14" s="411"/>
      <c r="E14" s="411"/>
      <c r="F14" s="412"/>
      <c r="G14" s="410" t="s">
        <v>217</v>
      </c>
      <c r="H14" s="412"/>
      <c r="I14" s="120">
        <v>3</v>
      </c>
      <c r="J14" s="120" t="s">
        <v>218</v>
      </c>
    </row>
    <row r="15" spans="2:10" ht="16.5" thickBot="1" x14ac:dyDescent="0.3">
      <c r="B15" s="366" t="s">
        <v>219</v>
      </c>
      <c r="C15" s="367"/>
      <c r="D15" s="367"/>
      <c r="E15" s="367"/>
      <c r="F15" s="367"/>
      <c r="G15" s="367"/>
      <c r="H15" s="367"/>
      <c r="I15" s="367"/>
      <c r="J15" s="368"/>
    </row>
    <row r="16" spans="2:10" ht="44.65" customHeight="1" thickBot="1" x14ac:dyDescent="0.3">
      <c r="B16" s="398" t="s">
        <v>717</v>
      </c>
      <c r="C16" s="399"/>
      <c r="D16" s="399"/>
      <c r="E16" s="399"/>
      <c r="F16" s="399"/>
      <c r="G16" s="399"/>
      <c r="H16" s="399"/>
      <c r="I16" s="399"/>
      <c r="J16" s="400"/>
    </row>
    <row r="17" spans="2:10" ht="16.5" thickBot="1" x14ac:dyDescent="0.3">
      <c r="B17" s="366" t="s">
        <v>220</v>
      </c>
      <c r="C17" s="367"/>
      <c r="D17" s="367"/>
      <c r="E17" s="367"/>
      <c r="F17" s="367"/>
      <c r="G17" s="367"/>
      <c r="H17" s="367"/>
      <c r="I17" s="367"/>
      <c r="J17" s="368"/>
    </row>
    <row r="18" spans="2:10" ht="43.15" customHeight="1" thickBot="1" x14ac:dyDescent="0.3">
      <c r="B18" s="602" t="s">
        <v>718</v>
      </c>
      <c r="C18" s="603"/>
      <c r="D18" s="603"/>
      <c r="E18" s="603"/>
      <c r="F18" s="603"/>
      <c r="G18" s="603"/>
      <c r="H18" s="603"/>
      <c r="I18" s="603"/>
      <c r="J18" s="604"/>
    </row>
    <row r="19" spans="2:10" ht="16.5" thickBot="1" x14ac:dyDescent="0.3">
      <c r="B19" s="366" t="s">
        <v>221</v>
      </c>
      <c r="C19" s="367"/>
      <c r="D19" s="367"/>
      <c r="E19" s="367"/>
      <c r="F19" s="367"/>
      <c r="G19" s="367"/>
      <c r="H19" s="367"/>
      <c r="I19" s="367"/>
      <c r="J19" s="368"/>
    </row>
    <row r="20" spans="2:10" ht="25.15" customHeight="1" thickBot="1" x14ac:dyDescent="0.3">
      <c r="B20" s="363" t="s">
        <v>719</v>
      </c>
      <c r="C20" s="364"/>
      <c r="D20" s="364"/>
      <c r="E20" s="364"/>
      <c r="F20" s="364"/>
      <c r="G20" s="364"/>
      <c r="H20" s="364"/>
      <c r="I20" s="364"/>
      <c r="J20" s="445"/>
    </row>
    <row r="21" spans="2:10" ht="16.5" thickBot="1" x14ac:dyDescent="0.3">
      <c r="B21" s="366" t="s">
        <v>222</v>
      </c>
      <c r="C21" s="367"/>
      <c r="D21" s="367"/>
      <c r="E21" s="367"/>
      <c r="F21" s="367"/>
      <c r="G21" s="367"/>
      <c r="H21" s="367"/>
      <c r="I21" s="367"/>
      <c r="J21" s="368"/>
    </row>
    <row r="22" spans="2:10" ht="15.75" thickBot="1" x14ac:dyDescent="0.3">
      <c r="B22" s="387" t="s">
        <v>22</v>
      </c>
      <c r="C22" s="388"/>
      <c r="D22" s="388"/>
      <c r="E22" s="388"/>
      <c r="F22" s="388"/>
      <c r="G22" s="388"/>
      <c r="H22" s="388"/>
      <c r="I22" s="388"/>
      <c r="J22" s="389"/>
    </row>
    <row r="23" spans="2:10" ht="15.75" thickBot="1" x14ac:dyDescent="0.3">
      <c r="B23" s="387" t="s">
        <v>293</v>
      </c>
      <c r="C23" s="388"/>
      <c r="D23" s="388"/>
      <c r="E23" s="388"/>
      <c r="F23" s="388"/>
      <c r="G23" s="388"/>
      <c r="H23" s="388"/>
      <c r="I23" s="388"/>
      <c r="J23" s="490"/>
    </row>
    <row r="24" spans="2:10" ht="15.75" thickBot="1" x14ac:dyDescent="0.3">
      <c r="B24" s="387" t="s">
        <v>24</v>
      </c>
      <c r="C24" s="388"/>
      <c r="D24" s="388"/>
      <c r="E24" s="388"/>
      <c r="F24" s="388"/>
      <c r="G24" s="388"/>
      <c r="H24" s="388"/>
      <c r="I24" s="388"/>
      <c r="J24" s="490"/>
    </row>
    <row r="25" spans="2:10" ht="15.75" thickBot="1" x14ac:dyDescent="0.3">
      <c r="B25" s="387" t="s">
        <v>295</v>
      </c>
      <c r="C25" s="388"/>
      <c r="D25" s="388"/>
      <c r="E25" s="388"/>
      <c r="F25" s="388"/>
      <c r="G25" s="388"/>
      <c r="H25" s="388"/>
      <c r="I25" s="388"/>
      <c r="J25" s="490"/>
    </row>
    <row r="26" spans="2:10" ht="16.5" thickBot="1" x14ac:dyDescent="0.3">
      <c r="B26" s="390"/>
      <c r="C26" s="390"/>
      <c r="D26" s="390"/>
      <c r="E26" s="390"/>
      <c r="F26" s="390"/>
      <c r="G26" s="390"/>
      <c r="H26" s="391"/>
      <c r="I26" s="391"/>
      <c r="J26" s="391"/>
    </row>
    <row r="27" spans="2:10" ht="16.5" thickBot="1" x14ac:dyDescent="0.3">
      <c r="B27" s="366" t="s">
        <v>226</v>
      </c>
      <c r="C27" s="367"/>
      <c r="D27" s="367"/>
      <c r="E27" s="367"/>
      <c r="F27" s="367"/>
      <c r="G27" s="367"/>
      <c r="H27" s="367"/>
      <c r="I27" s="367"/>
      <c r="J27" s="368"/>
    </row>
    <row r="28" spans="2:10" ht="15.4" customHeight="1" x14ac:dyDescent="0.25">
      <c r="B28" s="596" t="s">
        <v>720</v>
      </c>
      <c r="C28" s="597"/>
      <c r="D28" s="597"/>
      <c r="E28" s="597"/>
      <c r="F28" s="597"/>
      <c r="G28" s="597"/>
      <c r="H28" s="597"/>
      <c r="I28" s="597"/>
      <c r="J28" s="598"/>
    </row>
    <row r="29" spans="2:10" ht="14.65" customHeight="1" x14ac:dyDescent="0.25">
      <c r="B29" s="599" t="s">
        <v>721</v>
      </c>
      <c r="C29" s="600"/>
      <c r="D29" s="600"/>
      <c r="E29" s="600"/>
      <c r="F29" s="600"/>
      <c r="G29" s="600"/>
      <c r="H29" s="600"/>
      <c r="I29" s="600"/>
      <c r="J29" s="601"/>
    </row>
    <row r="30" spans="2:10" ht="43.5" customHeight="1" x14ac:dyDescent="0.25">
      <c r="B30" s="580" t="s">
        <v>296</v>
      </c>
      <c r="C30" s="581"/>
      <c r="D30" s="581"/>
      <c r="E30" s="581"/>
      <c r="F30" s="581"/>
      <c r="G30" s="581"/>
      <c r="H30" s="581"/>
      <c r="I30" s="581"/>
      <c r="J30" s="582"/>
    </row>
    <row r="31" spans="2:10" ht="14.65" customHeight="1" x14ac:dyDescent="0.25">
      <c r="B31" s="599" t="s">
        <v>722</v>
      </c>
      <c r="C31" s="600"/>
      <c r="D31" s="600"/>
      <c r="E31" s="600"/>
      <c r="F31" s="600"/>
      <c r="G31" s="600"/>
      <c r="H31" s="600"/>
      <c r="I31" s="600"/>
      <c r="J31" s="601"/>
    </row>
    <row r="32" spans="2:10" ht="28.9" customHeight="1" x14ac:dyDescent="0.25">
      <c r="B32" s="593" t="s">
        <v>297</v>
      </c>
      <c r="C32" s="594"/>
      <c r="D32" s="594"/>
      <c r="E32" s="594"/>
      <c r="F32" s="594"/>
      <c r="G32" s="594"/>
      <c r="H32" s="594"/>
      <c r="I32" s="594"/>
      <c r="J32" s="595"/>
    </row>
    <row r="33" spans="2:10" ht="14.65" customHeight="1" x14ac:dyDescent="0.25">
      <c r="B33" s="587" t="s">
        <v>298</v>
      </c>
      <c r="C33" s="588"/>
      <c r="D33" s="588"/>
      <c r="E33" s="588"/>
      <c r="F33" s="588"/>
      <c r="G33" s="588"/>
      <c r="H33" s="588"/>
      <c r="I33" s="588"/>
      <c r="J33" s="589"/>
    </row>
    <row r="34" spans="2:10" ht="43.5" customHeight="1" x14ac:dyDescent="0.25">
      <c r="B34" s="433" t="s">
        <v>299</v>
      </c>
      <c r="C34" s="434"/>
      <c r="D34" s="434"/>
      <c r="E34" s="434"/>
      <c r="F34" s="434"/>
      <c r="G34" s="434"/>
      <c r="H34" s="434"/>
      <c r="I34" s="434"/>
      <c r="J34" s="435"/>
    </row>
    <row r="35" spans="2:10" ht="14.65" customHeight="1" x14ac:dyDescent="0.25">
      <c r="B35" s="433" t="s">
        <v>723</v>
      </c>
      <c r="C35" s="434"/>
      <c r="D35" s="434"/>
      <c r="E35" s="434"/>
      <c r="F35" s="434"/>
      <c r="G35" s="434"/>
      <c r="H35" s="434"/>
      <c r="I35" s="434"/>
      <c r="J35" s="435"/>
    </row>
    <row r="36" spans="2:10" ht="28.9" customHeight="1" x14ac:dyDescent="0.25">
      <c r="B36" s="433" t="s">
        <v>300</v>
      </c>
      <c r="C36" s="434"/>
      <c r="D36" s="434"/>
      <c r="E36" s="434"/>
      <c r="F36" s="434"/>
      <c r="G36" s="434"/>
      <c r="H36" s="434"/>
      <c r="I36" s="434"/>
      <c r="J36" s="435"/>
    </row>
    <row r="37" spans="2:10" ht="14.65" customHeight="1" x14ac:dyDescent="0.25">
      <c r="B37" s="590" t="s">
        <v>301</v>
      </c>
      <c r="C37" s="591"/>
      <c r="D37" s="591"/>
      <c r="E37" s="591"/>
      <c r="F37" s="591"/>
      <c r="G37" s="591"/>
      <c r="H37" s="591"/>
      <c r="I37" s="591"/>
      <c r="J37" s="592"/>
    </row>
    <row r="38" spans="2:10" ht="28.9" customHeight="1" x14ac:dyDescent="0.25">
      <c r="B38" s="433" t="s">
        <v>302</v>
      </c>
      <c r="C38" s="434"/>
      <c r="D38" s="434"/>
      <c r="E38" s="434"/>
      <c r="F38" s="434"/>
      <c r="G38" s="434"/>
      <c r="H38" s="434"/>
      <c r="I38" s="434"/>
      <c r="J38" s="435"/>
    </row>
    <row r="39" spans="2:10" ht="14.65" customHeight="1" x14ac:dyDescent="0.25">
      <c r="B39" s="433" t="s">
        <v>724</v>
      </c>
      <c r="C39" s="434"/>
      <c r="D39" s="434"/>
      <c r="E39" s="434"/>
      <c r="F39" s="434"/>
      <c r="G39" s="434"/>
      <c r="H39" s="434"/>
      <c r="I39" s="434"/>
      <c r="J39" s="435"/>
    </row>
    <row r="40" spans="2:10" ht="28.9" customHeight="1" x14ac:dyDescent="0.25">
      <c r="B40" s="433" t="s">
        <v>303</v>
      </c>
      <c r="C40" s="434"/>
      <c r="D40" s="434"/>
      <c r="E40" s="434"/>
      <c r="F40" s="434"/>
      <c r="G40" s="434"/>
      <c r="H40" s="434"/>
      <c r="I40" s="434"/>
      <c r="J40" s="435"/>
    </row>
    <row r="41" spans="2:10" ht="14.65" customHeight="1" x14ac:dyDescent="0.25">
      <c r="B41" s="433" t="s">
        <v>725</v>
      </c>
      <c r="C41" s="434"/>
      <c r="D41" s="434"/>
      <c r="E41" s="434"/>
      <c r="F41" s="434"/>
      <c r="G41" s="434"/>
      <c r="H41" s="434"/>
      <c r="I41" s="434"/>
      <c r="J41" s="435"/>
    </row>
    <row r="42" spans="2:10" ht="15.75" thickBot="1" x14ac:dyDescent="0.3">
      <c r="B42" s="427" t="s">
        <v>726</v>
      </c>
      <c r="C42" s="428"/>
      <c r="D42" s="428"/>
      <c r="E42" s="428"/>
      <c r="F42" s="428"/>
      <c r="G42" s="428"/>
      <c r="H42" s="428"/>
      <c r="I42" s="428"/>
      <c r="J42" s="429"/>
    </row>
    <row r="43" spans="2:10" ht="16.5" thickBot="1" x14ac:dyDescent="0.3">
      <c r="B43" s="366" t="s">
        <v>227</v>
      </c>
      <c r="C43" s="367"/>
      <c r="D43" s="367"/>
      <c r="E43" s="367"/>
      <c r="F43" s="367"/>
      <c r="G43" s="367"/>
      <c r="H43" s="367"/>
      <c r="I43" s="367"/>
      <c r="J43" s="368"/>
    </row>
    <row r="44" spans="2:10" ht="16.5" thickBot="1" x14ac:dyDescent="0.3">
      <c r="B44" s="363" t="s">
        <v>228</v>
      </c>
      <c r="C44" s="364"/>
      <c r="D44" s="365"/>
      <c r="E44" s="363" t="s">
        <v>217</v>
      </c>
      <c r="F44" s="364"/>
      <c r="G44" s="364"/>
      <c r="H44" s="364"/>
      <c r="I44" s="364"/>
      <c r="J44" s="365"/>
    </row>
    <row r="45" spans="2:10" ht="16.5" thickBot="1" x14ac:dyDescent="0.3">
      <c r="B45" s="363" t="s">
        <v>230</v>
      </c>
      <c r="C45" s="364"/>
      <c r="D45" s="365"/>
      <c r="E45" s="363" t="s">
        <v>231</v>
      </c>
      <c r="F45" s="364"/>
      <c r="G45" s="364"/>
      <c r="H45" s="364"/>
      <c r="I45" s="364"/>
      <c r="J45" s="365"/>
    </row>
    <row r="46" spans="2:10" ht="16.5" thickBot="1" x14ac:dyDescent="0.3">
      <c r="B46" s="366" t="s">
        <v>232</v>
      </c>
      <c r="C46" s="367"/>
      <c r="D46" s="367"/>
      <c r="E46" s="367"/>
      <c r="F46" s="367"/>
      <c r="G46" s="367"/>
      <c r="H46" s="367"/>
      <c r="I46" s="367"/>
      <c r="J46" s="368"/>
    </row>
    <row r="47" spans="2:10" ht="15.75" thickBot="1" x14ac:dyDescent="0.3">
      <c r="B47" s="544" t="s">
        <v>233</v>
      </c>
      <c r="C47" s="545"/>
      <c r="D47" s="545"/>
      <c r="E47" s="545"/>
      <c r="F47" s="545"/>
      <c r="G47" s="545"/>
      <c r="H47" s="545"/>
      <c r="I47" s="545"/>
      <c r="J47" s="546"/>
    </row>
    <row r="48" spans="2:10" ht="15.75" thickBot="1" x14ac:dyDescent="0.3">
      <c r="B48" s="121" t="s">
        <v>491</v>
      </c>
      <c r="C48" s="184"/>
      <c r="D48" s="184"/>
      <c r="E48" s="184"/>
      <c r="F48" s="184"/>
      <c r="G48" s="184"/>
      <c r="H48" s="184"/>
      <c r="I48" s="184"/>
      <c r="J48" s="185"/>
    </row>
    <row r="49" spans="2:10" ht="15.75" thickBot="1" x14ac:dyDescent="0.3">
      <c r="B49" s="121" t="s">
        <v>490</v>
      </c>
      <c r="C49" s="186"/>
      <c r="D49" s="186"/>
      <c r="E49" s="186"/>
      <c r="F49" s="186"/>
      <c r="G49" s="186"/>
      <c r="H49" s="186"/>
      <c r="I49" s="186"/>
      <c r="J49" s="187"/>
    </row>
    <row r="50" spans="2:10" ht="16.5" thickBot="1" x14ac:dyDescent="0.3">
      <c r="B50" s="366" t="s">
        <v>234</v>
      </c>
      <c r="C50" s="367"/>
      <c r="D50" s="367"/>
      <c r="E50" s="367"/>
      <c r="F50" s="367"/>
      <c r="G50" s="367"/>
      <c r="H50" s="367"/>
      <c r="I50" s="367"/>
      <c r="J50" s="368"/>
    </row>
    <row r="51" spans="2:10" ht="14.65" customHeight="1" x14ac:dyDescent="0.25">
      <c r="B51" s="577" t="s">
        <v>698</v>
      </c>
      <c r="C51" s="578"/>
      <c r="D51" s="578"/>
      <c r="E51" s="578"/>
      <c r="F51" s="578"/>
      <c r="G51" s="578"/>
      <c r="H51" s="578"/>
      <c r="I51" s="578"/>
      <c r="J51" s="579"/>
    </row>
    <row r="52" spans="2:10" ht="14.65" customHeight="1" x14ac:dyDescent="0.25">
      <c r="B52" s="580" t="s">
        <v>699</v>
      </c>
      <c r="C52" s="581"/>
      <c r="D52" s="581"/>
      <c r="E52" s="581"/>
      <c r="F52" s="581"/>
      <c r="G52" s="581"/>
      <c r="H52" s="581"/>
      <c r="I52" s="581"/>
      <c r="J52" s="582"/>
    </row>
    <row r="53" spans="2:10" ht="28.9" customHeight="1" x14ac:dyDescent="0.25">
      <c r="B53" s="580" t="s">
        <v>700</v>
      </c>
      <c r="C53" s="581"/>
      <c r="D53" s="581"/>
      <c r="E53" s="581"/>
      <c r="F53" s="581"/>
      <c r="G53" s="581"/>
      <c r="H53" s="581"/>
      <c r="I53" s="581"/>
      <c r="J53" s="582"/>
    </row>
    <row r="54" spans="2:10" ht="14.65" customHeight="1" x14ac:dyDescent="0.25">
      <c r="B54" s="580" t="s">
        <v>701</v>
      </c>
      <c r="C54" s="581"/>
      <c r="D54" s="581"/>
      <c r="E54" s="581"/>
      <c r="F54" s="581"/>
      <c r="G54" s="581"/>
      <c r="H54" s="581"/>
      <c r="I54" s="581"/>
      <c r="J54" s="582"/>
    </row>
    <row r="55" spans="2:10" ht="28.9" customHeight="1" x14ac:dyDescent="0.25">
      <c r="B55" s="580" t="s">
        <v>702</v>
      </c>
      <c r="C55" s="581"/>
      <c r="D55" s="581"/>
      <c r="E55" s="581"/>
      <c r="F55" s="581"/>
      <c r="G55" s="581"/>
      <c r="H55" s="581"/>
      <c r="I55" s="581"/>
      <c r="J55" s="582"/>
    </row>
    <row r="56" spans="2:10" ht="28.9" customHeight="1" thickBot="1" x14ac:dyDescent="0.3">
      <c r="B56" s="574" t="s">
        <v>703</v>
      </c>
      <c r="C56" s="575"/>
      <c r="D56" s="575"/>
      <c r="E56" s="575"/>
      <c r="F56" s="575"/>
      <c r="G56" s="575"/>
      <c r="H56" s="575"/>
      <c r="I56" s="575"/>
      <c r="J56" s="576"/>
    </row>
    <row r="57" spans="2:10" ht="16.5" thickBot="1" x14ac:dyDescent="0.3">
      <c r="B57" s="366" t="s">
        <v>235</v>
      </c>
      <c r="C57" s="367"/>
      <c r="D57" s="367"/>
      <c r="E57" s="367"/>
      <c r="F57" s="367"/>
      <c r="G57" s="367"/>
      <c r="H57" s="367"/>
      <c r="I57" s="367"/>
      <c r="J57" s="368"/>
    </row>
    <row r="58" spans="2:10" ht="16.5" thickBot="1" x14ac:dyDescent="0.3">
      <c r="B58" s="398" t="s">
        <v>727</v>
      </c>
      <c r="C58" s="399"/>
      <c r="D58" s="399"/>
      <c r="E58" s="399"/>
      <c r="F58" s="399"/>
      <c r="G58" s="399"/>
      <c r="H58" s="399"/>
      <c r="I58" s="399"/>
      <c r="J58" s="400"/>
    </row>
  </sheetData>
  <mergeCells count="71">
    <mergeCell ref="B2:J2"/>
    <mergeCell ref="B3:D3"/>
    <mergeCell ref="E3:G3"/>
    <mergeCell ref="H3:J3"/>
    <mergeCell ref="B4:D4"/>
    <mergeCell ref="E4:J4"/>
    <mergeCell ref="B11:E11"/>
    <mergeCell ref="F11:J11"/>
    <mergeCell ref="B5:D5"/>
    <mergeCell ref="E5:J5"/>
    <mergeCell ref="B6:D6"/>
    <mergeCell ref="E6:J6"/>
    <mergeCell ref="B7:D7"/>
    <mergeCell ref="E7:J7"/>
    <mergeCell ref="B8:D8"/>
    <mergeCell ref="E8:J8"/>
    <mergeCell ref="B9:D9"/>
    <mergeCell ref="E9:J9"/>
    <mergeCell ref="B10:J10"/>
    <mergeCell ref="B20:J20"/>
    <mergeCell ref="B12:E12"/>
    <mergeCell ref="F12:J12"/>
    <mergeCell ref="C13:F13"/>
    <mergeCell ref="G13:H13"/>
    <mergeCell ref="C14:F14"/>
    <mergeCell ref="G14:H14"/>
    <mergeCell ref="B15:J15"/>
    <mergeCell ref="B16:J16"/>
    <mergeCell ref="B17:J17"/>
    <mergeCell ref="B18:J18"/>
    <mergeCell ref="B19:J19"/>
    <mergeCell ref="B32:J32"/>
    <mergeCell ref="B21:J21"/>
    <mergeCell ref="B22:J22"/>
    <mergeCell ref="B23:J23"/>
    <mergeCell ref="B24:J24"/>
    <mergeCell ref="B25:J25"/>
    <mergeCell ref="B26:D26"/>
    <mergeCell ref="E26:G26"/>
    <mergeCell ref="H26:J26"/>
    <mergeCell ref="B27:J27"/>
    <mergeCell ref="B28:J28"/>
    <mergeCell ref="B29:J29"/>
    <mergeCell ref="B30:J30"/>
    <mergeCell ref="B31:J31"/>
    <mergeCell ref="B44:D44"/>
    <mergeCell ref="E44:J44"/>
    <mergeCell ref="B33:J33"/>
    <mergeCell ref="B34:J34"/>
    <mergeCell ref="B35:J35"/>
    <mergeCell ref="B36:J36"/>
    <mergeCell ref="B37:J37"/>
    <mergeCell ref="B38:J38"/>
    <mergeCell ref="B39:J39"/>
    <mergeCell ref="B40:J40"/>
    <mergeCell ref="B41:J41"/>
    <mergeCell ref="B42:J42"/>
    <mergeCell ref="B43:J43"/>
    <mergeCell ref="B45:D45"/>
    <mergeCell ref="E45:J45"/>
    <mergeCell ref="B46:J46"/>
    <mergeCell ref="B47:J47"/>
    <mergeCell ref="B50:J50"/>
    <mergeCell ref="B57:J57"/>
    <mergeCell ref="B58:J58"/>
    <mergeCell ref="B51:J51"/>
    <mergeCell ref="B52:J52"/>
    <mergeCell ref="B53:J53"/>
    <mergeCell ref="B54:J54"/>
    <mergeCell ref="B55:J55"/>
    <mergeCell ref="B56:J56"/>
  </mergeCells>
  <hyperlinks>
    <hyperlink ref="B1" location="'Schéma d''enseignement'!G13" display="Schéma d'enseignement"/>
  </hyperlink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8080"/>
  </sheetPr>
  <dimension ref="A1:E59"/>
  <sheetViews>
    <sheetView zoomScale="85" zoomScaleNormal="85" workbookViewId="0">
      <selection activeCell="B1" sqref="B1:D1"/>
    </sheetView>
  </sheetViews>
  <sheetFormatPr baseColWidth="10" defaultColWidth="9.140625" defaultRowHeight="15" x14ac:dyDescent="0.25"/>
  <cols>
    <col min="1" max="1" width="24.5703125" style="1" customWidth="1"/>
    <col min="2" max="2" width="19.42578125" style="1" customWidth="1"/>
    <col min="3" max="3" width="12.7109375" style="1" customWidth="1"/>
    <col min="4" max="4" width="13.28515625" style="1" customWidth="1"/>
    <col min="5" max="5" width="39.28515625" style="1" customWidth="1"/>
    <col min="6" max="256" width="8.7109375" style="1"/>
    <col min="257" max="257" width="24.5703125" style="1" customWidth="1"/>
    <col min="258" max="258" width="19.42578125" style="1" customWidth="1"/>
    <col min="259" max="259" width="12.7109375" style="1" customWidth="1"/>
    <col min="260" max="260" width="13.28515625" style="1" customWidth="1"/>
    <col min="261" max="261" width="39.28515625" style="1" customWidth="1"/>
    <col min="262" max="512" width="8.7109375" style="1"/>
    <col min="513" max="513" width="24.5703125" style="1" customWidth="1"/>
    <col min="514" max="514" width="19.42578125" style="1" customWidth="1"/>
    <col min="515" max="515" width="12.7109375" style="1" customWidth="1"/>
    <col min="516" max="516" width="13.28515625" style="1" customWidth="1"/>
    <col min="517" max="517" width="39.28515625" style="1" customWidth="1"/>
    <col min="518" max="768" width="8.7109375" style="1"/>
    <col min="769" max="769" width="24.5703125" style="1" customWidth="1"/>
    <col min="770" max="770" width="19.42578125" style="1" customWidth="1"/>
    <col min="771" max="771" width="12.7109375" style="1" customWidth="1"/>
    <col min="772" max="772" width="13.28515625" style="1" customWidth="1"/>
    <col min="773" max="773" width="39.28515625" style="1" customWidth="1"/>
    <col min="774" max="1024" width="8.7109375" style="1"/>
    <col min="1025" max="1025" width="24.5703125" style="1" customWidth="1"/>
    <col min="1026" max="1026" width="19.42578125" style="1" customWidth="1"/>
    <col min="1027" max="1027" width="12.7109375" style="1" customWidth="1"/>
    <col min="1028" max="1028" width="13.28515625" style="1" customWidth="1"/>
    <col min="1029" max="1029" width="39.28515625" style="1" customWidth="1"/>
    <col min="1030" max="1280" width="8.7109375" style="1"/>
    <col min="1281" max="1281" width="24.5703125" style="1" customWidth="1"/>
    <col min="1282" max="1282" width="19.42578125" style="1" customWidth="1"/>
    <col min="1283" max="1283" width="12.7109375" style="1" customWidth="1"/>
    <col min="1284" max="1284" width="13.28515625" style="1" customWidth="1"/>
    <col min="1285" max="1285" width="39.28515625" style="1" customWidth="1"/>
    <col min="1286" max="1536" width="8.7109375" style="1"/>
    <col min="1537" max="1537" width="24.5703125" style="1" customWidth="1"/>
    <col min="1538" max="1538" width="19.42578125" style="1" customWidth="1"/>
    <col min="1539" max="1539" width="12.7109375" style="1" customWidth="1"/>
    <col min="1540" max="1540" width="13.28515625" style="1" customWidth="1"/>
    <col min="1541" max="1541" width="39.28515625" style="1" customWidth="1"/>
    <col min="1542" max="1792" width="8.7109375" style="1"/>
    <col min="1793" max="1793" width="24.5703125" style="1" customWidth="1"/>
    <col min="1794" max="1794" width="19.42578125" style="1" customWidth="1"/>
    <col min="1795" max="1795" width="12.7109375" style="1" customWidth="1"/>
    <col min="1796" max="1796" width="13.28515625" style="1" customWidth="1"/>
    <col min="1797" max="1797" width="39.28515625" style="1" customWidth="1"/>
    <col min="1798" max="2048" width="8.7109375" style="1"/>
    <col min="2049" max="2049" width="24.5703125" style="1" customWidth="1"/>
    <col min="2050" max="2050" width="19.42578125" style="1" customWidth="1"/>
    <col min="2051" max="2051" width="12.7109375" style="1" customWidth="1"/>
    <col min="2052" max="2052" width="13.28515625" style="1" customWidth="1"/>
    <col min="2053" max="2053" width="39.28515625" style="1" customWidth="1"/>
    <col min="2054" max="2304" width="8.7109375" style="1"/>
    <col min="2305" max="2305" width="24.5703125" style="1" customWidth="1"/>
    <col min="2306" max="2306" width="19.42578125" style="1" customWidth="1"/>
    <col min="2307" max="2307" width="12.7109375" style="1" customWidth="1"/>
    <col min="2308" max="2308" width="13.28515625" style="1" customWidth="1"/>
    <col min="2309" max="2309" width="39.28515625" style="1" customWidth="1"/>
    <col min="2310" max="2560" width="8.7109375" style="1"/>
    <col min="2561" max="2561" width="24.5703125" style="1" customWidth="1"/>
    <col min="2562" max="2562" width="19.42578125" style="1" customWidth="1"/>
    <col min="2563" max="2563" width="12.7109375" style="1" customWidth="1"/>
    <col min="2564" max="2564" width="13.28515625" style="1" customWidth="1"/>
    <col min="2565" max="2565" width="39.28515625" style="1" customWidth="1"/>
    <col min="2566" max="2816" width="8.7109375" style="1"/>
    <col min="2817" max="2817" width="24.5703125" style="1" customWidth="1"/>
    <col min="2818" max="2818" width="19.42578125" style="1" customWidth="1"/>
    <col min="2819" max="2819" width="12.7109375" style="1" customWidth="1"/>
    <col min="2820" max="2820" width="13.28515625" style="1" customWidth="1"/>
    <col min="2821" max="2821" width="39.28515625" style="1" customWidth="1"/>
    <col min="2822" max="3072" width="8.7109375" style="1"/>
    <col min="3073" max="3073" width="24.5703125" style="1" customWidth="1"/>
    <col min="3074" max="3074" width="19.42578125" style="1" customWidth="1"/>
    <col min="3075" max="3075" width="12.7109375" style="1" customWidth="1"/>
    <col min="3076" max="3076" width="13.28515625" style="1" customWidth="1"/>
    <col min="3077" max="3077" width="39.28515625" style="1" customWidth="1"/>
    <col min="3078" max="3328" width="8.7109375" style="1"/>
    <col min="3329" max="3329" width="24.5703125" style="1" customWidth="1"/>
    <col min="3330" max="3330" width="19.42578125" style="1" customWidth="1"/>
    <col min="3331" max="3331" width="12.7109375" style="1" customWidth="1"/>
    <col min="3332" max="3332" width="13.28515625" style="1" customWidth="1"/>
    <col min="3333" max="3333" width="39.28515625" style="1" customWidth="1"/>
    <col min="3334" max="3584" width="8.7109375" style="1"/>
    <col min="3585" max="3585" width="24.5703125" style="1" customWidth="1"/>
    <col min="3586" max="3586" width="19.42578125" style="1" customWidth="1"/>
    <col min="3587" max="3587" width="12.7109375" style="1" customWidth="1"/>
    <col min="3588" max="3588" width="13.28515625" style="1" customWidth="1"/>
    <col min="3589" max="3589" width="39.28515625" style="1" customWidth="1"/>
    <col min="3590" max="3840" width="8.7109375" style="1"/>
    <col min="3841" max="3841" width="24.5703125" style="1" customWidth="1"/>
    <col min="3842" max="3842" width="19.42578125" style="1" customWidth="1"/>
    <col min="3843" max="3843" width="12.7109375" style="1" customWidth="1"/>
    <col min="3844" max="3844" width="13.28515625" style="1" customWidth="1"/>
    <col min="3845" max="3845" width="39.28515625" style="1" customWidth="1"/>
    <col min="3846" max="4096" width="8.7109375" style="1"/>
    <col min="4097" max="4097" width="24.5703125" style="1" customWidth="1"/>
    <col min="4098" max="4098" width="19.42578125" style="1" customWidth="1"/>
    <col min="4099" max="4099" width="12.7109375" style="1" customWidth="1"/>
    <col min="4100" max="4100" width="13.28515625" style="1" customWidth="1"/>
    <col min="4101" max="4101" width="39.28515625" style="1" customWidth="1"/>
    <col min="4102" max="4352" width="8.7109375" style="1"/>
    <col min="4353" max="4353" width="24.5703125" style="1" customWidth="1"/>
    <col min="4354" max="4354" width="19.42578125" style="1" customWidth="1"/>
    <col min="4355" max="4355" width="12.7109375" style="1" customWidth="1"/>
    <col min="4356" max="4356" width="13.28515625" style="1" customWidth="1"/>
    <col min="4357" max="4357" width="39.28515625" style="1" customWidth="1"/>
    <col min="4358" max="4608" width="8.7109375" style="1"/>
    <col min="4609" max="4609" width="24.5703125" style="1" customWidth="1"/>
    <col min="4610" max="4610" width="19.42578125" style="1" customWidth="1"/>
    <col min="4611" max="4611" width="12.7109375" style="1" customWidth="1"/>
    <col min="4612" max="4612" width="13.28515625" style="1" customWidth="1"/>
    <col min="4613" max="4613" width="39.28515625" style="1" customWidth="1"/>
    <col min="4614" max="4864" width="8.7109375" style="1"/>
    <col min="4865" max="4865" width="24.5703125" style="1" customWidth="1"/>
    <col min="4866" max="4866" width="19.42578125" style="1" customWidth="1"/>
    <col min="4867" max="4867" width="12.7109375" style="1" customWidth="1"/>
    <col min="4868" max="4868" width="13.28515625" style="1" customWidth="1"/>
    <col min="4869" max="4869" width="39.28515625" style="1" customWidth="1"/>
    <col min="4870" max="5120" width="8.7109375" style="1"/>
    <col min="5121" max="5121" width="24.5703125" style="1" customWidth="1"/>
    <col min="5122" max="5122" width="19.42578125" style="1" customWidth="1"/>
    <col min="5123" max="5123" width="12.7109375" style="1" customWidth="1"/>
    <col min="5124" max="5124" width="13.28515625" style="1" customWidth="1"/>
    <col min="5125" max="5125" width="39.28515625" style="1" customWidth="1"/>
    <col min="5126" max="5376" width="8.7109375" style="1"/>
    <col min="5377" max="5377" width="24.5703125" style="1" customWidth="1"/>
    <col min="5378" max="5378" width="19.42578125" style="1" customWidth="1"/>
    <col min="5379" max="5379" width="12.7109375" style="1" customWidth="1"/>
    <col min="5380" max="5380" width="13.28515625" style="1" customWidth="1"/>
    <col min="5381" max="5381" width="39.28515625" style="1" customWidth="1"/>
    <col min="5382" max="5632" width="8.7109375" style="1"/>
    <col min="5633" max="5633" width="24.5703125" style="1" customWidth="1"/>
    <col min="5634" max="5634" width="19.42578125" style="1" customWidth="1"/>
    <col min="5635" max="5635" width="12.7109375" style="1" customWidth="1"/>
    <col min="5636" max="5636" width="13.28515625" style="1" customWidth="1"/>
    <col min="5637" max="5637" width="39.28515625" style="1" customWidth="1"/>
    <col min="5638" max="5888" width="8.7109375" style="1"/>
    <col min="5889" max="5889" width="24.5703125" style="1" customWidth="1"/>
    <col min="5890" max="5890" width="19.42578125" style="1" customWidth="1"/>
    <col min="5891" max="5891" width="12.7109375" style="1" customWidth="1"/>
    <col min="5892" max="5892" width="13.28515625" style="1" customWidth="1"/>
    <col min="5893" max="5893" width="39.28515625" style="1" customWidth="1"/>
    <col min="5894" max="6144" width="8.7109375" style="1"/>
    <col min="6145" max="6145" width="24.5703125" style="1" customWidth="1"/>
    <col min="6146" max="6146" width="19.42578125" style="1" customWidth="1"/>
    <col min="6147" max="6147" width="12.7109375" style="1" customWidth="1"/>
    <col min="6148" max="6148" width="13.28515625" style="1" customWidth="1"/>
    <col min="6149" max="6149" width="39.28515625" style="1" customWidth="1"/>
    <col min="6150" max="6400" width="8.7109375" style="1"/>
    <col min="6401" max="6401" width="24.5703125" style="1" customWidth="1"/>
    <col min="6402" max="6402" width="19.42578125" style="1" customWidth="1"/>
    <col min="6403" max="6403" width="12.7109375" style="1" customWidth="1"/>
    <col min="6404" max="6404" width="13.28515625" style="1" customWidth="1"/>
    <col min="6405" max="6405" width="39.28515625" style="1" customWidth="1"/>
    <col min="6406" max="6656" width="8.7109375" style="1"/>
    <col min="6657" max="6657" width="24.5703125" style="1" customWidth="1"/>
    <col min="6658" max="6658" width="19.42578125" style="1" customWidth="1"/>
    <col min="6659" max="6659" width="12.7109375" style="1" customWidth="1"/>
    <col min="6660" max="6660" width="13.28515625" style="1" customWidth="1"/>
    <col min="6661" max="6661" width="39.28515625" style="1" customWidth="1"/>
    <col min="6662" max="6912" width="8.7109375" style="1"/>
    <col min="6913" max="6913" width="24.5703125" style="1" customWidth="1"/>
    <col min="6914" max="6914" width="19.42578125" style="1" customWidth="1"/>
    <col min="6915" max="6915" width="12.7109375" style="1" customWidth="1"/>
    <col min="6916" max="6916" width="13.28515625" style="1" customWidth="1"/>
    <col min="6917" max="6917" width="39.28515625" style="1" customWidth="1"/>
    <col min="6918" max="7168" width="8.7109375" style="1"/>
    <col min="7169" max="7169" width="24.5703125" style="1" customWidth="1"/>
    <col min="7170" max="7170" width="19.42578125" style="1" customWidth="1"/>
    <col min="7171" max="7171" width="12.7109375" style="1" customWidth="1"/>
    <col min="7172" max="7172" width="13.28515625" style="1" customWidth="1"/>
    <col min="7173" max="7173" width="39.28515625" style="1" customWidth="1"/>
    <col min="7174" max="7424" width="8.7109375" style="1"/>
    <col min="7425" max="7425" width="24.5703125" style="1" customWidth="1"/>
    <col min="7426" max="7426" width="19.42578125" style="1" customWidth="1"/>
    <col min="7427" max="7427" width="12.7109375" style="1" customWidth="1"/>
    <col min="7428" max="7428" width="13.28515625" style="1" customWidth="1"/>
    <col min="7429" max="7429" width="39.28515625" style="1" customWidth="1"/>
    <col min="7430" max="7680" width="8.7109375" style="1"/>
    <col min="7681" max="7681" width="24.5703125" style="1" customWidth="1"/>
    <col min="7682" max="7682" width="19.42578125" style="1" customWidth="1"/>
    <col min="7683" max="7683" width="12.7109375" style="1" customWidth="1"/>
    <col min="7684" max="7684" width="13.28515625" style="1" customWidth="1"/>
    <col min="7685" max="7685" width="39.28515625" style="1" customWidth="1"/>
    <col min="7686" max="7936" width="8.7109375" style="1"/>
    <col min="7937" max="7937" width="24.5703125" style="1" customWidth="1"/>
    <col min="7938" max="7938" width="19.42578125" style="1" customWidth="1"/>
    <col min="7939" max="7939" width="12.7109375" style="1" customWidth="1"/>
    <col min="7940" max="7940" width="13.28515625" style="1" customWidth="1"/>
    <col min="7941" max="7941" width="39.28515625" style="1" customWidth="1"/>
    <col min="7942" max="8192" width="8.7109375" style="1"/>
    <col min="8193" max="8193" width="24.5703125" style="1" customWidth="1"/>
    <col min="8194" max="8194" width="19.42578125" style="1" customWidth="1"/>
    <col min="8195" max="8195" width="12.7109375" style="1" customWidth="1"/>
    <col min="8196" max="8196" width="13.28515625" style="1" customWidth="1"/>
    <col min="8197" max="8197" width="39.28515625" style="1" customWidth="1"/>
    <col min="8198" max="8448" width="8.7109375" style="1"/>
    <col min="8449" max="8449" width="24.5703125" style="1" customWidth="1"/>
    <col min="8450" max="8450" width="19.42578125" style="1" customWidth="1"/>
    <col min="8451" max="8451" width="12.7109375" style="1" customWidth="1"/>
    <col min="8452" max="8452" width="13.28515625" style="1" customWidth="1"/>
    <col min="8453" max="8453" width="39.28515625" style="1" customWidth="1"/>
    <col min="8454" max="8704" width="8.7109375" style="1"/>
    <col min="8705" max="8705" width="24.5703125" style="1" customWidth="1"/>
    <col min="8706" max="8706" width="19.42578125" style="1" customWidth="1"/>
    <col min="8707" max="8707" width="12.7109375" style="1" customWidth="1"/>
    <col min="8708" max="8708" width="13.28515625" style="1" customWidth="1"/>
    <col min="8709" max="8709" width="39.28515625" style="1" customWidth="1"/>
    <col min="8710" max="8960" width="8.7109375" style="1"/>
    <col min="8961" max="8961" width="24.5703125" style="1" customWidth="1"/>
    <col min="8962" max="8962" width="19.42578125" style="1" customWidth="1"/>
    <col min="8963" max="8963" width="12.7109375" style="1" customWidth="1"/>
    <col min="8964" max="8964" width="13.28515625" style="1" customWidth="1"/>
    <col min="8965" max="8965" width="39.28515625" style="1" customWidth="1"/>
    <col min="8966" max="9216" width="8.7109375" style="1"/>
    <col min="9217" max="9217" width="24.5703125" style="1" customWidth="1"/>
    <col min="9218" max="9218" width="19.42578125" style="1" customWidth="1"/>
    <col min="9219" max="9219" width="12.7109375" style="1" customWidth="1"/>
    <col min="9220" max="9220" width="13.28515625" style="1" customWidth="1"/>
    <col min="9221" max="9221" width="39.28515625" style="1" customWidth="1"/>
    <col min="9222" max="9472" width="8.7109375" style="1"/>
    <col min="9473" max="9473" width="24.5703125" style="1" customWidth="1"/>
    <col min="9474" max="9474" width="19.42578125" style="1" customWidth="1"/>
    <col min="9475" max="9475" width="12.7109375" style="1" customWidth="1"/>
    <col min="9476" max="9476" width="13.28515625" style="1" customWidth="1"/>
    <col min="9477" max="9477" width="39.28515625" style="1" customWidth="1"/>
    <col min="9478" max="9728" width="8.7109375" style="1"/>
    <col min="9729" max="9729" width="24.5703125" style="1" customWidth="1"/>
    <col min="9730" max="9730" width="19.42578125" style="1" customWidth="1"/>
    <col min="9731" max="9731" width="12.7109375" style="1" customWidth="1"/>
    <col min="9732" max="9732" width="13.28515625" style="1" customWidth="1"/>
    <col min="9733" max="9733" width="39.28515625" style="1" customWidth="1"/>
    <col min="9734" max="9984" width="8.7109375" style="1"/>
    <col min="9985" max="9985" width="24.5703125" style="1" customWidth="1"/>
    <col min="9986" max="9986" width="19.42578125" style="1" customWidth="1"/>
    <col min="9987" max="9987" width="12.7109375" style="1" customWidth="1"/>
    <col min="9988" max="9988" width="13.28515625" style="1" customWidth="1"/>
    <col min="9989" max="9989" width="39.28515625" style="1" customWidth="1"/>
    <col min="9990" max="10240" width="8.7109375" style="1"/>
    <col min="10241" max="10241" width="24.5703125" style="1" customWidth="1"/>
    <col min="10242" max="10242" width="19.42578125" style="1" customWidth="1"/>
    <col min="10243" max="10243" width="12.7109375" style="1" customWidth="1"/>
    <col min="10244" max="10244" width="13.28515625" style="1" customWidth="1"/>
    <col min="10245" max="10245" width="39.28515625" style="1" customWidth="1"/>
    <col min="10246" max="10496" width="8.7109375" style="1"/>
    <col min="10497" max="10497" width="24.5703125" style="1" customWidth="1"/>
    <col min="10498" max="10498" width="19.42578125" style="1" customWidth="1"/>
    <col min="10499" max="10499" width="12.7109375" style="1" customWidth="1"/>
    <col min="10500" max="10500" width="13.28515625" style="1" customWidth="1"/>
    <col min="10501" max="10501" width="39.28515625" style="1" customWidth="1"/>
    <col min="10502" max="10752" width="8.7109375" style="1"/>
    <col min="10753" max="10753" width="24.5703125" style="1" customWidth="1"/>
    <col min="10754" max="10754" width="19.42578125" style="1" customWidth="1"/>
    <col min="10755" max="10755" width="12.7109375" style="1" customWidth="1"/>
    <col min="10756" max="10756" width="13.28515625" style="1" customWidth="1"/>
    <col min="10757" max="10757" width="39.28515625" style="1" customWidth="1"/>
    <col min="10758" max="11008" width="8.7109375" style="1"/>
    <col min="11009" max="11009" width="24.5703125" style="1" customWidth="1"/>
    <col min="11010" max="11010" width="19.42578125" style="1" customWidth="1"/>
    <col min="11011" max="11011" width="12.7109375" style="1" customWidth="1"/>
    <col min="11012" max="11012" width="13.28515625" style="1" customWidth="1"/>
    <col min="11013" max="11013" width="39.28515625" style="1" customWidth="1"/>
    <col min="11014" max="11264" width="8.7109375" style="1"/>
    <col min="11265" max="11265" width="24.5703125" style="1" customWidth="1"/>
    <col min="11266" max="11266" width="19.42578125" style="1" customWidth="1"/>
    <col min="11267" max="11267" width="12.7109375" style="1" customWidth="1"/>
    <col min="11268" max="11268" width="13.28515625" style="1" customWidth="1"/>
    <col min="11269" max="11269" width="39.28515625" style="1" customWidth="1"/>
    <col min="11270" max="11520" width="8.7109375" style="1"/>
    <col min="11521" max="11521" width="24.5703125" style="1" customWidth="1"/>
    <col min="11522" max="11522" width="19.42578125" style="1" customWidth="1"/>
    <col min="11523" max="11523" width="12.7109375" style="1" customWidth="1"/>
    <col min="11524" max="11524" width="13.28515625" style="1" customWidth="1"/>
    <col min="11525" max="11525" width="39.28515625" style="1" customWidth="1"/>
    <col min="11526" max="11776" width="8.7109375" style="1"/>
    <col min="11777" max="11777" width="24.5703125" style="1" customWidth="1"/>
    <col min="11778" max="11778" width="19.42578125" style="1" customWidth="1"/>
    <col min="11779" max="11779" width="12.7109375" style="1" customWidth="1"/>
    <col min="11780" max="11780" width="13.28515625" style="1" customWidth="1"/>
    <col min="11781" max="11781" width="39.28515625" style="1" customWidth="1"/>
    <col min="11782" max="12032" width="8.7109375" style="1"/>
    <col min="12033" max="12033" width="24.5703125" style="1" customWidth="1"/>
    <col min="12034" max="12034" width="19.42578125" style="1" customWidth="1"/>
    <col min="12035" max="12035" width="12.7109375" style="1" customWidth="1"/>
    <col min="12036" max="12036" width="13.28515625" style="1" customWidth="1"/>
    <col min="12037" max="12037" width="39.28515625" style="1" customWidth="1"/>
    <col min="12038" max="12288" width="8.7109375" style="1"/>
    <col min="12289" max="12289" width="24.5703125" style="1" customWidth="1"/>
    <col min="12290" max="12290" width="19.42578125" style="1" customWidth="1"/>
    <col min="12291" max="12291" width="12.7109375" style="1" customWidth="1"/>
    <col min="12292" max="12292" width="13.28515625" style="1" customWidth="1"/>
    <col min="12293" max="12293" width="39.28515625" style="1" customWidth="1"/>
    <col min="12294" max="12544" width="8.7109375" style="1"/>
    <col min="12545" max="12545" width="24.5703125" style="1" customWidth="1"/>
    <col min="12546" max="12546" width="19.42578125" style="1" customWidth="1"/>
    <col min="12547" max="12547" width="12.7109375" style="1" customWidth="1"/>
    <col min="12548" max="12548" width="13.28515625" style="1" customWidth="1"/>
    <col min="12549" max="12549" width="39.28515625" style="1" customWidth="1"/>
    <col min="12550" max="12800" width="8.7109375" style="1"/>
    <col min="12801" max="12801" width="24.5703125" style="1" customWidth="1"/>
    <col min="12802" max="12802" width="19.42578125" style="1" customWidth="1"/>
    <col min="12803" max="12803" width="12.7109375" style="1" customWidth="1"/>
    <col min="12804" max="12804" width="13.28515625" style="1" customWidth="1"/>
    <col min="12805" max="12805" width="39.28515625" style="1" customWidth="1"/>
    <col min="12806" max="13056" width="8.7109375" style="1"/>
    <col min="13057" max="13057" width="24.5703125" style="1" customWidth="1"/>
    <col min="13058" max="13058" width="19.42578125" style="1" customWidth="1"/>
    <col min="13059" max="13059" width="12.7109375" style="1" customWidth="1"/>
    <col min="13060" max="13060" width="13.28515625" style="1" customWidth="1"/>
    <col min="13061" max="13061" width="39.28515625" style="1" customWidth="1"/>
    <col min="13062" max="13312" width="8.7109375" style="1"/>
    <col min="13313" max="13313" width="24.5703125" style="1" customWidth="1"/>
    <col min="13314" max="13314" width="19.42578125" style="1" customWidth="1"/>
    <col min="13315" max="13315" width="12.7109375" style="1" customWidth="1"/>
    <col min="13316" max="13316" width="13.28515625" style="1" customWidth="1"/>
    <col min="13317" max="13317" width="39.28515625" style="1" customWidth="1"/>
    <col min="13318" max="13568" width="8.7109375" style="1"/>
    <col min="13569" max="13569" width="24.5703125" style="1" customWidth="1"/>
    <col min="13570" max="13570" width="19.42578125" style="1" customWidth="1"/>
    <col min="13571" max="13571" width="12.7109375" style="1" customWidth="1"/>
    <col min="13572" max="13572" width="13.28515625" style="1" customWidth="1"/>
    <col min="13573" max="13573" width="39.28515625" style="1" customWidth="1"/>
    <col min="13574" max="13824" width="8.7109375" style="1"/>
    <col min="13825" max="13825" width="24.5703125" style="1" customWidth="1"/>
    <col min="13826" max="13826" width="19.42578125" style="1" customWidth="1"/>
    <col min="13827" max="13827" width="12.7109375" style="1" customWidth="1"/>
    <col min="13828" max="13828" width="13.28515625" style="1" customWidth="1"/>
    <col min="13829" max="13829" width="39.28515625" style="1" customWidth="1"/>
    <col min="13830" max="14080" width="8.7109375" style="1"/>
    <col min="14081" max="14081" width="24.5703125" style="1" customWidth="1"/>
    <col min="14082" max="14082" width="19.42578125" style="1" customWidth="1"/>
    <col min="14083" max="14083" width="12.7109375" style="1" customWidth="1"/>
    <col min="14084" max="14084" width="13.28515625" style="1" customWidth="1"/>
    <col min="14085" max="14085" width="39.28515625" style="1" customWidth="1"/>
    <col min="14086" max="14336" width="8.7109375" style="1"/>
    <col min="14337" max="14337" width="24.5703125" style="1" customWidth="1"/>
    <col min="14338" max="14338" width="19.42578125" style="1" customWidth="1"/>
    <col min="14339" max="14339" width="12.7109375" style="1" customWidth="1"/>
    <col min="14340" max="14340" width="13.28515625" style="1" customWidth="1"/>
    <col min="14341" max="14341" width="39.28515625" style="1" customWidth="1"/>
    <col min="14342" max="14592" width="8.7109375" style="1"/>
    <col min="14593" max="14593" width="24.5703125" style="1" customWidth="1"/>
    <col min="14594" max="14594" width="19.42578125" style="1" customWidth="1"/>
    <col min="14595" max="14595" width="12.7109375" style="1" customWidth="1"/>
    <col min="14596" max="14596" width="13.28515625" style="1" customWidth="1"/>
    <col min="14597" max="14597" width="39.28515625" style="1" customWidth="1"/>
    <col min="14598" max="14848" width="8.7109375" style="1"/>
    <col min="14849" max="14849" width="24.5703125" style="1" customWidth="1"/>
    <col min="14850" max="14850" width="19.42578125" style="1" customWidth="1"/>
    <col min="14851" max="14851" width="12.7109375" style="1" customWidth="1"/>
    <col min="14852" max="14852" width="13.28515625" style="1" customWidth="1"/>
    <col min="14853" max="14853" width="39.28515625" style="1" customWidth="1"/>
    <col min="14854" max="15104" width="8.7109375" style="1"/>
    <col min="15105" max="15105" width="24.5703125" style="1" customWidth="1"/>
    <col min="15106" max="15106" width="19.42578125" style="1" customWidth="1"/>
    <col min="15107" max="15107" width="12.7109375" style="1" customWidth="1"/>
    <col min="15108" max="15108" width="13.28515625" style="1" customWidth="1"/>
    <col min="15109" max="15109" width="39.28515625" style="1" customWidth="1"/>
    <col min="15110" max="15360" width="8.7109375" style="1"/>
    <col min="15361" max="15361" width="24.5703125" style="1" customWidth="1"/>
    <col min="15362" max="15362" width="19.42578125" style="1" customWidth="1"/>
    <col min="15363" max="15363" width="12.7109375" style="1" customWidth="1"/>
    <col min="15364" max="15364" width="13.28515625" style="1" customWidth="1"/>
    <col min="15365" max="15365" width="39.28515625" style="1" customWidth="1"/>
    <col min="15366" max="15616" width="8.7109375" style="1"/>
    <col min="15617" max="15617" width="24.5703125" style="1" customWidth="1"/>
    <col min="15618" max="15618" width="19.42578125" style="1" customWidth="1"/>
    <col min="15619" max="15619" width="12.7109375" style="1" customWidth="1"/>
    <col min="15620" max="15620" width="13.28515625" style="1" customWidth="1"/>
    <col min="15621" max="15621" width="39.28515625" style="1" customWidth="1"/>
    <col min="15622" max="15872" width="8.7109375" style="1"/>
    <col min="15873" max="15873" width="24.5703125" style="1" customWidth="1"/>
    <col min="15874" max="15874" width="19.42578125" style="1" customWidth="1"/>
    <col min="15875" max="15875" width="12.7109375" style="1" customWidth="1"/>
    <col min="15876" max="15876" width="13.28515625" style="1" customWidth="1"/>
    <col min="15877" max="15877" width="39.28515625" style="1" customWidth="1"/>
    <col min="15878" max="16128" width="8.7109375" style="1"/>
    <col min="16129" max="16129" width="24.5703125" style="1" customWidth="1"/>
    <col min="16130" max="16130" width="19.42578125" style="1" customWidth="1"/>
    <col min="16131" max="16131" width="12.7109375" style="1" customWidth="1"/>
    <col min="16132" max="16132" width="13.28515625" style="1" customWidth="1"/>
    <col min="16133" max="16133" width="39.28515625" style="1" customWidth="1"/>
    <col min="16134" max="16384" width="8.7109375" style="1"/>
  </cols>
  <sheetData>
    <row r="1" spans="1:5" x14ac:dyDescent="0.25">
      <c r="B1" s="628" t="s">
        <v>1267</v>
      </c>
      <c r="C1" s="628"/>
      <c r="D1" s="628"/>
    </row>
    <row r="2" spans="1:5" ht="15.75" x14ac:dyDescent="0.25">
      <c r="A2" s="135" t="s">
        <v>195</v>
      </c>
      <c r="B2" s="136"/>
      <c r="C2" s="136"/>
      <c r="D2" s="136"/>
      <c r="E2" s="136"/>
    </row>
    <row r="3" spans="1:5" ht="15.75" x14ac:dyDescent="0.25">
      <c r="A3" s="138"/>
      <c r="B3" s="138"/>
      <c r="C3" s="138"/>
      <c r="D3" s="138"/>
      <c r="E3" s="138"/>
    </row>
    <row r="4" spans="1:5" ht="15.75" x14ac:dyDescent="0.25">
      <c r="A4" s="139" t="s">
        <v>196</v>
      </c>
      <c r="B4" s="611" t="s">
        <v>602</v>
      </c>
      <c r="C4" s="611"/>
      <c r="D4" s="611"/>
      <c r="E4" s="611"/>
    </row>
    <row r="5" spans="1:5" ht="15" customHeight="1" x14ac:dyDescent="0.25">
      <c r="A5" s="141" t="s">
        <v>197</v>
      </c>
      <c r="B5" s="612" t="s">
        <v>603</v>
      </c>
      <c r="C5" s="612"/>
      <c r="D5" s="612"/>
      <c r="E5" s="612"/>
    </row>
    <row r="6" spans="1:5" ht="15.75" x14ac:dyDescent="0.25">
      <c r="A6" s="139" t="s">
        <v>199</v>
      </c>
      <c r="B6" s="611" t="s">
        <v>604</v>
      </c>
      <c r="C6" s="611"/>
      <c r="D6" s="611"/>
      <c r="E6" s="611"/>
    </row>
    <row r="7" spans="1:5" ht="15.75" x14ac:dyDescent="0.25">
      <c r="A7" s="139" t="s">
        <v>201</v>
      </c>
      <c r="B7" s="611" t="s">
        <v>605</v>
      </c>
      <c r="C7" s="611"/>
      <c r="D7" s="611"/>
      <c r="E7" s="611"/>
    </row>
    <row r="8" spans="1:5" ht="15.75" x14ac:dyDescent="0.25">
      <c r="A8" s="139" t="s">
        <v>606</v>
      </c>
      <c r="B8" s="611" t="s">
        <v>607</v>
      </c>
      <c r="C8" s="611"/>
      <c r="D8" s="611"/>
      <c r="E8" s="611"/>
    </row>
    <row r="9" spans="1:5" ht="15.75" x14ac:dyDescent="0.25">
      <c r="A9" s="139" t="s">
        <v>204</v>
      </c>
      <c r="B9" s="611">
        <v>4</v>
      </c>
      <c r="C9" s="611"/>
      <c r="D9" s="611"/>
      <c r="E9" s="611"/>
    </row>
    <row r="10" spans="1:5" ht="15.75" x14ac:dyDescent="0.25">
      <c r="A10" s="138"/>
      <c r="B10" s="138"/>
      <c r="C10" s="138"/>
      <c r="D10" s="138"/>
      <c r="E10" s="138"/>
    </row>
    <row r="11" spans="1:5" ht="15.75" x14ac:dyDescent="0.25">
      <c r="A11" s="613" t="s">
        <v>206</v>
      </c>
      <c r="B11" s="613"/>
      <c r="C11" s="613"/>
      <c r="D11" s="613"/>
      <c r="E11" s="613"/>
    </row>
    <row r="12" spans="1:5" ht="15.75" x14ac:dyDescent="0.25">
      <c r="A12" s="614" t="s">
        <v>207</v>
      </c>
      <c r="B12" s="615"/>
      <c r="C12" s="613" t="s">
        <v>208</v>
      </c>
      <c r="D12" s="613"/>
      <c r="E12" s="613"/>
    </row>
    <row r="13" spans="1:5" ht="15.75" x14ac:dyDescent="0.25">
      <c r="A13" s="616"/>
      <c r="B13" s="617"/>
      <c r="C13" s="611" t="s">
        <v>602</v>
      </c>
      <c r="D13" s="611"/>
      <c r="E13" s="611"/>
    </row>
    <row r="14" spans="1:5" ht="15.75" x14ac:dyDescent="0.25">
      <c r="A14" s="138"/>
      <c r="B14" s="138"/>
      <c r="C14" s="138"/>
      <c r="D14" s="138"/>
      <c r="E14" s="138"/>
    </row>
    <row r="15" spans="1:5" ht="15.75" x14ac:dyDescent="0.25">
      <c r="A15" s="144" t="s">
        <v>210</v>
      </c>
      <c r="B15" s="144" t="s">
        <v>211</v>
      </c>
      <c r="C15" s="144" t="s">
        <v>212</v>
      </c>
      <c r="D15" s="144" t="s">
        <v>213</v>
      </c>
      <c r="E15" s="144" t="s">
        <v>214</v>
      </c>
    </row>
    <row r="16" spans="1:5" ht="31.5" x14ac:dyDescent="0.25">
      <c r="A16" s="145" t="s">
        <v>161</v>
      </c>
      <c r="B16" s="46">
        <v>42</v>
      </c>
      <c r="C16" s="46">
        <v>2</v>
      </c>
      <c r="D16" s="46">
        <v>2</v>
      </c>
      <c r="E16" s="46" t="s">
        <v>1270</v>
      </c>
    </row>
    <row r="17" spans="1:5" ht="15.75" x14ac:dyDescent="0.25">
      <c r="A17" s="146"/>
      <c r="B17" s="142"/>
      <c r="C17" s="142"/>
      <c r="D17" s="142"/>
      <c r="E17" s="142"/>
    </row>
    <row r="18" spans="1:5" ht="15.75" x14ac:dyDescent="0.25">
      <c r="A18" s="608" t="s">
        <v>219</v>
      </c>
      <c r="B18" s="609"/>
      <c r="C18" s="609"/>
      <c r="D18" s="609"/>
      <c r="E18" s="610"/>
    </row>
    <row r="19" spans="1:5" x14ac:dyDescent="0.25">
      <c r="A19" s="632" t="s">
        <v>643</v>
      </c>
      <c r="B19" s="633"/>
      <c r="C19" s="633"/>
      <c r="D19" s="633"/>
      <c r="E19" s="634"/>
    </row>
    <row r="20" spans="1:5" x14ac:dyDescent="0.25">
      <c r="A20" s="635"/>
      <c r="B20" s="636"/>
      <c r="C20" s="636"/>
      <c r="D20" s="636"/>
      <c r="E20" s="637"/>
    </row>
    <row r="21" spans="1:5" ht="15.75" x14ac:dyDescent="0.25">
      <c r="A21" s="608" t="s">
        <v>220</v>
      </c>
      <c r="B21" s="609"/>
      <c r="C21" s="609"/>
      <c r="D21" s="609"/>
      <c r="E21" s="610"/>
    </row>
    <row r="22" spans="1:5" ht="15.75" x14ac:dyDescent="0.25">
      <c r="A22" s="177"/>
      <c r="B22" s="178"/>
      <c r="C22" s="178"/>
      <c r="D22" s="178"/>
      <c r="E22" s="179"/>
    </row>
    <row r="23" spans="1:5" x14ac:dyDescent="0.25">
      <c r="A23" s="638" t="s">
        <v>644</v>
      </c>
      <c r="B23" s="639"/>
      <c r="C23" s="639"/>
      <c r="D23" s="639"/>
      <c r="E23" s="640"/>
    </row>
    <row r="24" spans="1:5" x14ac:dyDescent="0.25">
      <c r="A24" s="641"/>
      <c r="B24" s="642"/>
      <c r="C24" s="642"/>
      <c r="D24" s="642"/>
      <c r="E24" s="643"/>
    </row>
    <row r="25" spans="1:5" x14ac:dyDescent="0.25">
      <c r="A25" s="641"/>
      <c r="B25" s="642"/>
      <c r="C25" s="642"/>
      <c r="D25" s="642"/>
      <c r="E25" s="643"/>
    </row>
    <row r="26" spans="1:5" ht="70.150000000000006" customHeight="1" x14ac:dyDescent="0.25">
      <c r="A26" s="644"/>
      <c r="B26" s="645"/>
      <c r="C26" s="645"/>
      <c r="D26" s="645"/>
      <c r="E26" s="646"/>
    </row>
    <row r="27" spans="1:5" ht="15.75" x14ac:dyDescent="0.25">
      <c r="A27" s="608" t="s">
        <v>221</v>
      </c>
      <c r="B27" s="609"/>
      <c r="C27" s="609"/>
      <c r="D27" s="609"/>
      <c r="E27" s="610"/>
    </row>
    <row r="28" spans="1:5" ht="28.9" customHeight="1" x14ac:dyDescent="0.25">
      <c r="A28" s="647" t="s">
        <v>645</v>
      </c>
      <c r="B28" s="648"/>
      <c r="C28" s="648"/>
      <c r="D28" s="648"/>
      <c r="E28" s="649"/>
    </row>
    <row r="29" spans="1:5" ht="15.75" x14ac:dyDescent="0.25">
      <c r="A29" s="138"/>
      <c r="B29" s="138"/>
      <c r="C29" s="138"/>
      <c r="D29" s="138"/>
      <c r="E29" s="138"/>
    </row>
    <row r="30" spans="1:5" ht="15.75" x14ac:dyDescent="0.25">
      <c r="A30" s="608" t="s">
        <v>222</v>
      </c>
      <c r="B30" s="609"/>
      <c r="C30" s="609"/>
      <c r="D30" s="609"/>
      <c r="E30" s="610"/>
    </row>
    <row r="31" spans="1:5" ht="15.75" x14ac:dyDescent="0.25">
      <c r="A31" s="605" t="s">
        <v>646</v>
      </c>
      <c r="B31" s="606"/>
      <c r="C31" s="606"/>
      <c r="D31" s="606"/>
      <c r="E31" s="607"/>
    </row>
    <row r="32" spans="1:5" ht="15.75" x14ac:dyDescent="0.25">
      <c r="A32" s="605" t="s">
        <v>56</v>
      </c>
      <c r="B32" s="606"/>
      <c r="C32" s="606"/>
      <c r="D32" s="606"/>
      <c r="E32" s="607"/>
    </row>
    <row r="33" spans="1:5" ht="15.75" x14ac:dyDescent="0.25">
      <c r="A33" s="605" t="s">
        <v>647</v>
      </c>
      <c r="B33" s="606"/>
      <c r="C33" s="606"/>
      <c r="D33" s="606"/>
      <c r="E33" s="607"/>
    </row>
    <row r="34" spans="1:5" ht="15.75" x14ac:dyDescent="0.25">
      <c r="A34" s="605" t="s">
        <v>648</v>
      </c>
      <c r="B34" s="606"/>
      <c r="C34" s="606"/>
      <c r="D34" s="606"/>
      <c r="E34" s="607"/>
    </row>
    <row r="35" spans="1:5" ht="15.75" x14ac:dyDescent="0.25">
      <c r="A35" s="605" t="s">
        <v>649</v>
      </c>
      <c r="B35" s="606"/>
      <c r="C35" s="606"/>
      <c r="D35" s="606"/>
      <c r="E35" s="607"/>
    </row>
    <row r="36" spans="1:5" ht="15.75" x14ac:dyDescent="0.25">
      <c r="A36" s="605" t="s">
        <v>650</v>
      </c>
      <c r="B36" s="606"/>
      <c r="C36" s="606"/>
      <c r="D36" s="606"/>
      <c r="E36" s="607"/>
    </row>
    <row r="37" spans="1:5" ht="15.75" x14ac:dyDescent="0.25">
      <c r="A37" s="138"/>
      <c r="B37" s="138"/>
      <c r="C37" s="138"/>
      <c r="D37" s="138"/>
      <c r="E37" s="138"/>
    </row>
    <row r="38" spans="1:5" ht="15.75" x14ac:dyDescent="0.25">
      <c r="A38" s="608" t="s">
        <v>226</v>
      </c>
      <c r="B38" s="609"/>
      <c r="C38" s="609"/>
      <c r="D38" s="609"/>
      <c r="E38" s="610"/>
    </row>
    <row r="39" spans="1:5" ht="409.15" customHeight="1" x14ac:dyDescent="0.25">
      <c r="A39" s="624" t="s">
        <v>651</v>
      </c>
      <c r="B39" s="625"/>
      <c r="C39" s="625"/>
      <c r="D39" s="625"/>
      <c r="E39" s="626"/>
    </row>
    <row r="40" spans="1:5" ht="15.75" x14ac:dyDescent="0.25">
      <c r="A40" s="151"/>
      <c r="B40" s="152"/>
      <c r="C40" s="152"/>
      <c r="D40" s="152"/>
      <c r="E40" s="152"/>
    </row>
    <row r="41" spans="1:5" ht="15.75" x14ac:dyDescent="0.25">
      <c r="A41" s="608" t="s">
        <v>227</v>
      </c>
      <c r="B41" s="609"/>
      <c r="C41" s="609"/>
      <c r="D41" s="609"/>
      <c r="E41" s="610"/>
    </row>
    <row r="42" spans="1:5" ht="15.75" x14ac:dyDescent="0.25">
      <c r="A42" s="153" t="s">
        <v>613</v>
      </c>
      <c r="B42" s="627" t="s">
        <v>652</v>
      </c>
      <c r="C42" s="627"/>
      <c r="D42" s="627"/>
      <c r="E42" s="627"/>
    </row>
    <row r="43" spans="1:5" ht="15.75" x14ac:dyDescent="0.25">
      <c r="A43" s="153" t="s">
        <v>653</v>
      </c>
      <c r="B43" s="627" t="s">
        <v>654</v>
      </c>
      <c r="C43" s="627"/>
      <c r="D43" s="627"/>
      <c r="E43" s="627"/>
    </row>
    <row r="44" spans="1:5" ht="15.75" x14ac:dyDescent="0.25">
      <c r="A44" s="153" t="s">
        <v>655</v>
      </c>
      <c r="B44" s="621" t="s">
        <v>656</v>
      </c>
      <c r="C44" s="622"/>
      <c r="D44" s="622"/>
      <c r="E44" s="623"/>
    </row>
    <row r="45" spans="1:5" ht="15.75" x14ac:dyDescent="0.25">
      <c r="A45" s="138"/>
      <c r="B45" s="138"/>
      <c r="C45" s="138"/>
      <c r="D45" s="138"/>
      <c r="E45" s="138"/>
    </row>
    <row r="46" spans="1:5" ht="15.75" x14ac:dyDescent="0.25">
      <c r="A46" s="608" t="s">
        <v>232</v>
      </c>
      <c r="B46" s="609"/>
      <c r="C46" s="609"/>
      <c r="D46" s="609"/>
      <c r="E46" s="610"/>
    </row>
    <row r="47" spans="1:5" ht="15.75" x14ac:dyDescent="0.25">
      <c r="A47" s="621" t="s">
        <v>657</v>
      </c>
      <c r="B47" s="622"/>
      <c r="C47" s="622"/>
      <c r="D47" s="622"/>
      <c r="E47" s="623"/>
    </row>
    <row r="48" spans="1:5" ht="15.75" x14ac:dyDescent="0.25">
      <c r="A48" s="138"/>
      <c r="B48" s="138"/>
      <c r="C48" s="138"/>
      <c r="D48" s="138"/>
      <c r="E48" s="138"/>
    </row>
    <row r="49" spans="1:5" ht="15.75" x14ac:dyDescent="0.25">
      <c r="A49" s="608" t="s">
        <v>614</v>
      </c>
      <c r="B49" s="609"/>
      <c r="C49" s="609"/>
      <c r="D49" s="609"/>
      <c r="E49" s="610"/>
    </row>
    <row r="50" spans="1:5" ht="15.75" x14ac:dyDescent="0.25">
      <c r="A50" s="154" t="s">
        <v>615</v>
      </c>
      <c r="B50" s="154" t="s">
        <v>616</v>
      </c>
      <c r="C50" s="608" t="s">
        <v>617</v>
      </c>
      <c r="D50" s="609"/>
      <c r="E50" s="610"/>
    </row>
    <row r="51" spans="1:5" ht="15.75" x14ac:dyDescent="0.25">
      <c r="A51" s="180" t="s">
        <v>658</v>
      </c>
      <c r="B51" s="180"/>
      <c r="C51" s="621" t="s">
        <v>659</v>
      </c>
      <c r="D51" s="622"/>
      <c r="E51" s="623"/>
    </row>
    <row r="52" spans="1:5" ht="15.75" x14ac:dyDescent="0.25">
      <c r="A52" s="180" t="s">
        <v>660</v>
      </c>
      <c r="B52" s="180"/>
      <c r="C52" s="621" t="s">
        <v>661</v>
      </c>
      <c r="D52" s="622"/>
      <c r="E52" s="623"/>
    </row>
    <row r="53" spans="1:5" ht="15.75" x14ac:dyDescent="0.25">
      <c r="A53" s="158"/>
      <c r="B53" s="158"/>
      <c r="C53" s="629"/>
      <c r="D53" s="630"/>
      <c r="E53" s="631"/>
    </row>
    <row r="54" spans="1:5" ht="15.75" x14ac:dyDescent="0.25">
      <c r="A54" s="138"/>
      <c r="B54" s="138"/>
      <c r="C54" s="138"/>
      <c r="D54" s="138"/>
      <c r="E54" s="138"/>
    </row>
    <row r="55" spans="1:5" ht="15.75" x14ac:dyDescent="0.25">
      <c r="A55" s="608" t="s">
        <v>234</v>
      </c>
      <c r="B55" s="609"/>
      <c r="C55" s="609"/>
      <c r="D55" s="609"/>
      <c r="E55" s="610"/>
    </row>
    <row r="56" spans="1:5" ht="15.75" x14ac:dyDescent="0.25">
      <c r="A56" s="618"/>
      <c r="B56" s="619"/>
      <c r="C56" s="619"/>
      <c r="D56" s="619"/>
      <c r="E56" s="620"/>
    </row>
    <row r="57" spans="1:5" ht="15.75" x14ac:dyDescent="0.25">
      <c r="A57" s="138"/>
      <c r="B57" s="138"/>
      <c r="C57" s="138"/>
      <c r="D57" s="138"/>
      <c r="E57" s="138"/>
    </row>
    <row r="58" spans="1:5" ht="15.75" x14ac:dyDescent="0.25">
      <c r="A58" s="608" t="s">
        <v>235</v>
      </c>
      <c r="B58" s="609"/>
      <c r="C58" s="609"/>
      <c r="D58" s="609"/>
      <c r="E58" s="610"/>
    </row>
    <row r="59" spans="1:5" ht="15.75" x14ac:dyDescent="0.25">
      <c r="A59" s="618"/>
      <c r="B59" s="619"/>
      <c r="C59" s="619"/>
      <c r="D59" s="619"/>
      <c r="E59" s="620"/>
    </row>
  </sheetData>
  <mergeCells count="42">
    <mergeCell ref="B1:D1"/>
    <mergeCell ref="C53:E53"/>
    <mergeCell ref="A55:E55"/>
    <mergeCell ref="A56:E56"/>
    <mergeCell ref="A58:E58"/>
    <mergeCell ref="A36:E36"/>
    <mergeCell ref="A19:E20"/>
    <mergeCell ref="A21:E21"/>
    <mergeCell ref="A23:E26"/>
    <mergeCell ref="A27:E27"/>
    <mergeCell ref="A28:E28"/>
    <mergeCell ref="A30:E30"/>
    <mergeCell ref="A31:E31"/>
    <mergeCell ref="A32:E32"/>
    <mergeCell ref="A33:E33"/>
    <mergeCell ref="A34:E34"/>
    <mergeCell ref="A59:E59"/>
    <mergeCell ref="C52:E52"/>
    <mergeCell ref="A38:E38"/>
    <mergeCell ref="A39:E39"/>
    <mergeCell ref="A41:E41"/>
    <mergeCell ref="B42:E42"/>
    <mergeCell ref="B43:E43"/>
    <mergeCell ref="B44:E44"/>
    <mergeCell ref="A46:E46"/>
    <mergeCell ref="A47:E47"/>
    <mergeCell ref="A49:E49"/>
    <mergeCell ref="C50:E50"/>
    <mergeCell ref="C51:E51"/>
    <mergeCell ref="A35:E35"/>
    <mergeCell ref="A18:E18"/>
    <mergeCell ref="B4:E4"/>
    <mergeCell ref="B5:E5"/>
    <mergeCell ref="B6:E6"/>
    <mergeCell ref="B7:E7"/>
    <mergeCell ref="B8:E8"/>
    <mergeCell ref="B9:E9"/>
    <mergeCell ref="A11:E11"/>
    <mergeCell ref="A12:B12"/>
    <mergeCell ref="C12:E12"/>
    <mergeCell ref="A13:B13"/>
    <mergeCell ref="C13:E13"/>
  </mergeCells>
  <hyperlinks>
    <hyperlink ref="B1:D1" location="'Schéma d''enseignement'!G15" display="Schéma d'enseignement"/>
  </hyperlinks>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2"/>
  <sheetViews>
    <sheetView zoomScale="115" zoomScaleNormal="115" workbookViewId="0">
      <selection activeCell="B1" sqref="B1:D1"/>
    </sheetView>
  </sheetViews>
  <sheetFormatPr baseColWidth="10" defaultColWidth="9.140625" defaultRowHeight="15.75" x14ac:dyDescent="0.25"/>
  <cols>
    <col min="1" max="1" width="1.140625" style="134" customWidth="1"/>
    <col min="2" max="2" width="29.42578125" style="134" customWidth="1"/>
    <col min="3" max="3" width="15.5703125" style="134" customWidth="1"/>
    <col min="4" max="4" width="11.85546875" style="134" customWidth="1"/>
    <col min="5" max="5" width="7" style="134" customWidth="1"/>
    <col min="6" max="6" width="32.5703125" style="134" customWidth="1"/>
    <col min="7" max="7" width="8.140625" style="134" customWidth="1"/>
    <col min="8" max="8" width="20.140625" style="134" customWidth="1"/>
    <col min="9" max="9" width="119.85546875" style="134" customWidth="1"/>
    <col min="10" max="10" width="11.5703125" style="134" customWidth="1"/>
    <col min="11" max="11" width="128.140625" style="134" customWidth="1"/>
    <col min="12" max="256" width="11.5703125" style="134" customWidth="1"/>
    <col min="257" max="257" width="1.140625" style="134" customWidth="1"/>
    <col min="258" max="258" width="29.42578125" style="134" customWidth="1"/>
    <col min="259" max="259" width="15.5703125" style="134" customWidth="1"/>
    <col min="260" max="260" width="11.85546875" style="134" customWidth="1"/>
    <col min="261" max="261" width="7" style="134" customWidth="1"/>
    <col min="262" max="262" width="32.5703125" style="134" customWidth="1"/>
    <col min="263" max="263" width="8.140625" style="134" customWidth="1"/>
    <col min="264" max="264" width="20.140625" style="134" customWidth="1"/>
    <col min="265" max="265" width="119.85546875" style="134" customWidth="1"/>
    <col min="266" max="266" width="11.5703125" style="134" customWidth="1"/>
    <col min="267" max="267" width="128.140625" style="134" customWidth="1"/>
    <col min="268" max="512" width="11.5703125" style="134" customWidth="1"/>
    <col min="513" max="513" width="1.140625" style="134" customWidth="1"/>
    <col min="514" max="514" width="29.42578125" style="134" customWidth="1"/>
    <col min="515" max="515" width="15.5703125" style="134" customWidth="1"/>
    <col min="516" max="516" width="11.85546875" style="134" customWidth="1"/>
    <col min="517" max="517" width="7" style="134" customWidth="1"/>
    <col min="518" max="518" width="32.5703125" style="134" customWidth="1"/>
    <col min="519" max="519" width="8.140625" style="134" customWidth="1"/>
    <col min="520" max="520" width="20.140625" style="134" customWidth="1"/>
    <col min="521" max="521" width="119.85546875" style="134" customWidth="1"/>
    <col min="522" max="522" width="11.5703125" style="134" customWidth="1"/>
    <col min="523" max="523" width="128.140625" style="134" customWidth="1"/>
    <col min="524" max="768" width="11.5703125" style="134" customWidth="1"/>
    <col min="769" max="769" width="1.140625" style="134" customWidth="1"/>
    <col min="770" max="770" width="29.42578125" style="134" customWidth="1"/>
    <col min="771" max="771" width="15.5703125" style="134" customWidth="1"/>
    <col min="772" max="772" width="11.85546875" style="134" customWidth="1"/>
    <col min="773" max="773" width="7" style="134" customWidth="1"/>
    <col min="774" max="774" width="32.5703125" style="134" customWidth="1"/>
    <col min="775" max="775" width="8.140625" style="134" customWidth="1"/>
    <col min="776" max="776" width="20.140625" style="134" customWidth="1"/>
    <col min="777" max="777" width="119.85546875" style="134" customWidth="1"/>
    <col min="778" max="778" width="11.5703125" style="134" customWidth="1"/>
    <col min="779" max="779" width="128.140625" style="134" customWidth="1"/>
    <col min="780" max="1024" width="11.5703125" style="134" customWidth="1"/>
    <col min="1025" max="1025" width="1.140625" style="134" customWidth="1"/>
    <col min="1026" max="1026" width="29.42578125" style="134" customWidth="1"/>
    <col min="1027" max="1027" width="15.5703125" style="134" customWidth="1"/>
    <col min="1028" max="1028" width="11.85546875" style="134" customWidth="1"/>
    <col min="1029" max="1029" width="7" style="134" customWidth="1"/>
    <col min="1030" max="1030" width="32.5703125" style="134" customWidth="1"/>
    <col min="1031" max="1031" width="8.140625" style="134" customWidth="1"/>
    <col min="1032" max="1032" width="20.140625" style="134" customWidth="1"/>
    <col min="1033" max="1033" width="119.85546875" style="134" customWidth="1"/>
    <col min="1034" max="1034" width="11.5703125" style="134" customWidth="1"/>
    <col min="1035" max="1035" width="128.140625" style="134" customWidth="1"/>
    <col min="1036" max="1280" width="11.5703125" style="134" customWidth="1"/>
    <col min="1281" max="1281" width="1.140625" style="134" customWidth="1"/>
    <col min="1282" max="1282" width="29.42578125" style="134" customWidth="1"/>
    <col min="1283" max="1283" width="15.5703125" style="134" customWidth="1"/>
    <col min="1284" max="1284" width="11.85546875" style="134" customWidth="1"/>
    <col min="1285" max="1285" width="7" style="134" customWidth="1"/>
    <col min="1286" max="1286" width="32.5703125" style="134" customWidth="1"/>
    <col min="1287" max="1287" width="8.140625" style="134" customWidth="1"/>
    <col min="1288" max="1288" width="20.140625" style="134" customWidth="1"/>
    <col min="1289" max="1289" width="119.85546875" style="134" customWidth="1"/>
    <col min="1290" max="1290" width="11.5703125" style="134" customWidth="1"/>
    <col min="1291" max="1291" width="128.140625" style="134" customWidth="1"/>
    <col min="1292" max="1536" width="11.5703125" style="134" customWidth="1"/>
    <col min="1537" max="1537" width="1.140625" style="134" customWidth="1"/>
    <col min="1538" max="1538" width="29.42578125" style="134" customWidth="1"/>
    <col min="1539" max="1539" width="15.5703125" style="134" customWidth="1"/>
    <col min="1540" max="1540" width="11.85546875" style="134" customWidth="1"/>
    <col min="1541" max="1541" width="7" style="134" customWidth="1"/>
    <col min="1542" max="1542" width="32.5703125" style="134" customWidth="1"/>
    <col min="1543" max="1543" width="8.140625" style="134" customWidth="1"/>
    <col min="1544" max="1544" width="20.140625" style="134" customWidth="1"/>
    <col min="1545" max="1545" width="119.85546875" style="134" customWidth="1"/>
    <col min="1546" max="1546" width="11.5703125" style="134" customWidth="1"/>
    <col min="1547" max="1547" width="128.140625" style="134" customWidth="1"/>
    <col min="1548" max="1792" width="11.5703125" style="134" customWidth="1"/>
    <col min="1793" max="1793" width="1.140625" style="134" customWidth="1"/>
    <col min="1794" max="1794" width="29.42578125" style="134" customWidth="1"/>
    <col min="1795" max="1795" width="15.5703125" style="134" customWidth="1"/>
    <col min="1796" max="1796" width="11.85546875" style="134" customWidth="1"/>
    <col min="1797" max="1797" width="7" style="134" customWidth="1"/>
    <col min="1798" max="1798" width="32.5703125" style="134" customWidth="1"/>
    <col min="1799" max="1799" width="8.140625" style="134" customWidth="1"/>
    <col min="1800" max="1800" width="20.140625" style="134" customWidth="1"/>
    <col min="1801" max="1801" width="119.85546875" style="134" customWidth="1"/>
    <col min="1802" max="1802" width="11.5703125" style="134" customWidth="1"/>
    <col min="1803" max="1803" width="128.140625" style="134" customWidth="1"/>
    <col min="1804" max="2048" width="11.5703125" style="134" customWidth="1"/>
    <col min="2049" max="2049" width="1.140625" style="134" customWidth="1"/>
    <col min="2050" max="2050" width="29.42578125" style="134" customWidth="1"/>
    <col min="2051" max="2051" width="15.5703125" style="134" customWidth="1"/>
    <col min="2052" max="2052" width="11.85546875" style="134" customWidth="1"/>
    <col min="2053" max="2053" width="7" style="134" customWidth="1"/>
    <col min="2054" max="2054" width="32.5703125" style="134" customWidth="1"/>
    <col min="2055" max="2055" width="8.140625" style="134" customWidth="1"/>
    <col min="2056" max="2056" width="20.140625" style="134" customWidth="1"/>
    <col min="2057" max="2057" width="119.85546875" style="134" customWidth="1"/>
    <col min="2058" max="2058" width="11.5703125" style="134" customWidth="1"/>
    <col min="2059" max="2059" width="128.140625" style="134" customWidth="1"/>
    <col min="2060" max="2304" width="11.5703125" style="134" customWidth="1"/>
    <col min="2305" max="2305" width="1.140625" style="134" customWidth="1"/>
    <col min="2306" max="2306" width="29.42578125" style="134" customWidth="1"/>
    <col min="2307" max="2307" width="15.5703125" style="134" customWidth="1"/>
    <col min="2308" max="2308" width="11.85546875" style="134" customWidth="1"/>
    <col min="2309" max="2309" width="7" style="134" customWidth="1"/>
    <col min="2310" max="2310" width="32.5703125" style="134" customWidth="1"/>
    <col min="2311" max="2311" width="8.140625" style="134" customWidth="1"/>
    <col min="2312" max="2312" width="20.140625" style="134" customWidth="1"/>
    <col min="2313" max="2313" width="119.85546875" style="134" customWidth="1"/>
    <col min="2314" max="2314" width="11.5703125" style="134" customWidth="1"/>
    <col min="2315" max="2315" width="128.140625" style="134" customWidth="1"/>
    <col min="2316" max="2560" width="11.5703125" style="134" customWidth="1"/>
    <col min="2561" max="2561" width="1.140625" style="134" customWidth="1"/>
    <col min="2562" max="2562" width="29.42578125" style="134" customWidth="1"/>
    <col min="2563" max="2563" width="15.5703125" style="134" customWidth="1"/>
    <col min="2564" max="2564" width="11.85546875" style="134" customWidth="1"/>
    <col min="2565" max="2565" width="7" style="134" customWidth="1"/>
    <col min="2566" max="2566" width="32.5703125" style="134" customWidth="1"/>
    <col min="2567" max="2567" width="8.140625" style="134" customWidth="1"/>
    <col min="2568" max="2568" width="20.140625" style="134" customWidth="1"/>
    <col min="2569" max="2569" width="119.85546875" style="134" customWidth="1"/>
    <col min="2570" max="2570" width="11.5703125" style="134" customWidth="1"/>
    <col min="2571" max="2571" width="128.140625" style="134" customWidth="1"/>
    <col min="2572" max="2816" width="11.5703125" style="134" customWidth="1"/>
    <col min="2817" max="2817" width="1.140625" style="134" customWidth="1"/>
    <col min="2818" max="2818" width="29.42578125" style="134" customWidth="1"/>
    <col min="2819" max="2819" width="15.5703125" style="134" customWidth="1"/>
    <col min="2820" max="2820" width="11.85546875" style="134" customWidth="1"/>
    <col min="2821" max="2821" width="7" style="134" customWidth="1"/>
    <col min="2822" max="2822" width="32.5703125" style="134" customWidth="1"/>
    <col min="2823" max="2823" width="8.140625" style="134" customWidth="1"/>
    <col min="2824" max="2824" width="20.140625" style="134" customWidth="1"/>
    <col min="2825" max="2825" width="119.85546875" style="134" customWidth="1"/>
    <col min="2826" max="2826" width="11.5703125" style="134" customWidth="1"/>
    <col min="2827" max="2827" width="128.140625" style="134" customWidth="1"/>
    <col min="2828" max="3072" width="11.5703125" style="134" customWidth="1"/>
    <col min="3073" max="3073" width="1.140625" style="134" customWidth="1"/>
    <col min="3074" max="3074" width="29.42578125" style="134" customWidth="1"/>
    <col min="3075" max="3075" width="15.5703125" style="134" customWidth="1"/>
    <col min="3076" max="3076" width="11.85546875" style="134" customWidth="1"/>
    <col min="3077" max="3077" width="7" style="134" customWidth="1"/>
    <col min="3078" max="3078" width="32.5703125" style="134" customWidth="1"/>
    <col min="3079" max="3079" width="8.140625" style="134" customWidth="1"/>
    <col min="3080" max="3080" width="20.140625" style="134" customWidth="1"/>
    <col min="3081" max="3081" width="119.85546875" style="134" customWidth="1"/>
    <col min="3082" max="3082" width="11.5703125" style="134" customWidth="1"/>
    <col min="3083" max="3083" width="128.140625" style="134" customWidth="1"/>
    <col min="3084" max="3328" width="11.5703125" style="134" customWidth="1"/>
    <col min="3329" max="3329" width="1.140625" style="134" customWidth="1"/>
    <col min="3330" max="3330" width="29.42578125" style="134" customWidth="1"/>
    <col min="3331" max="3331" width="15.5703125" style="134" customWidth="1"/>
    <col min="3332" max="3332" width="11.85546875" style="134" customWidth="1"/>
    <col min="3333" max="3333" width="7" style="134" customWidth="1"/>
    <col min="3334" max="3334" width="32.5703125" style="134" customWidth="1"/>
    <col min="3335" max="3335" width="8.140625" style="134" customWidth="1"/>
    <col min="3336" max="3336" width="20.140625" style="134" customWidth="1"/>
    <col min="3337" max="3337" width="119.85546875" style="134" customWidth="1"/>
    <col min="3338" max="3338" width="11.5703125" style="134" customWidth="1"/>
    <col min="3339" max="3339" width="128.140625" style="134" customWidth="1"/>
    <col min="3340" max="3584" width="11.5703125" style="134" customWidth="1"/>
    <col min="3585" max="3585" width="1.140625" style="134" customWidth="1"/>
    <col min="3586" max="3586" width="29.42578125" style="134" customWidth="1"/>
    <col min="3587" max="3587" width="15.5703125" style="134" customWidth="1"/>
    <col min="3588" max="3588" width="11.85546875" style="134" customWidth="1"/>
    <col min="3589" max="3589" width="7" style="134" customWidth="1"/>
    <col min="3590" max="3590" width="32.5703125" style="134" customWidth="1"/>
    <col min="3591" max="3591" width="8.140625" style="134" customWidth="1"/>
    <col min="3592" max="3592" width="20.140625" style="134" customWidth="1"/>
    <col min="3593" max="3593" width="119.85546875" style="134" customWidth="1"/>
    <col min="3594" max="3594" width="11.5703125" style="134" customWidth="1"/>
    <col min="3595" max="3595" width="128.140625" style="134" customWidth="1"/>
    <col min="3596" max="3840" width="11.5703125" style="134" customWidth="1"/>
    <col min="3841" max="3841" width="1.140625" style="134" customWidth="1"/>
    <col min="3842" max="3842" width="29.42578125" style="134" customWidth="1"/>
    <col min="3843" max="3843" width="15.5703125" style="134" customWidth="1"/>
    <col min="3844" max="3844" width="11.85546875" style="134" customWidth="1"/>
    <col min="3845" max="3845" width="7" style="134" customWidth="1"/>
    <col min="3846" max="3846" width="32.5703125" style="134" customWidth="1"/>
    <col min="3847" max="3847" width="8.140625" style="134" customWidth="1"/>
    <col min="3848" max="3848" width="20.140625" style="134" customWidth="1"/>
    <col min="3849" max="3849" width="119.85546875" style="134" customWidth="1"/>
    <col min="3850" max="3850" width="11.5703125" style="134" customWidth="1"/>
    <col min="3851" max="3851" width="128.140625" style="134" customWidth="1"/>
    <col min="3852" max="4096" width="11.5703125" style="134" customWidth="1"/>
    <col min="4097" max="4097" width="1.140625" style="134" customWidth="1"/>
    <col min="4098" max="4098" width="29.42578125" style="134" customWidth="1"/>
    <col min="4099" max="4099" width="15.5703125" style="134" customWidth="1"/>
    <col min="4100" max="4100" width="11.85546875" style="134" customWidth="1"/>
    <col min="4101" max="4101" width="7" style="134" customWidth="1"/>
    <col min="4102" max="4102" width="32.5703125" style="134" customWidth="1"/>
    <col min="4103" max="4103" width="8.140625" style="134" customWidth="1"/>
    <col min="4104" max="4104" width="20.140625" style="134" customWidth="1"/>
    <col min="4105" max="4105" width="119.85546875" style="134" customWidth="1"/>
    <col min="4106" max="4106" width="11.5703125" style="134" customWidth="1"/>
    <col min="4107" max="4107" width="128.140625" style="134" customWidth="1"/>
    <col min="4108" max="4352" width="11.5703125" style="134" customWidth="1"/>
    <col min="4353" max="4353" width="1.140625" style="134" customWidth="1"/>
    <col min="4354" max="4354" width="29.42578125" style="134" customWidth="1"/>
    <col min="4355" max="4355" width="15.5703125" style="134" customWidth="1"/>
    <col min="4356" max="4356" width="11.85546875" style="134" customWidth="1"/>
    <col min="4357" max="4357" width="7" style="134" customWidth="1"/>
    <col min="4358" max="4358" width="32.5703125" style="134" customWidth="1"/>
    <col min="4359" max="4359" width="8.140625" style="134" customWidth="1"/>
    <col min="4360" max="4360" width="20.140625" style="134" customWidth="1"/>
    <col min="4361" max="4361" width="119.85546875" style="134" customWidth="1"/>
    <col min="4362" max="4362" width="11.5703125" style="134" customWidth="1"/>
    <col min="4363" max="4363" width="128.140625" style="134" customWidth="1"/>
    <col min="4364" max="4608" width="11.5703125" style="134" customWidth="1"/>
    <col min="4609" max="4609" width="1.140625" style="134" customWidth="1"/>
    <col min="4610" max="4610" width="29.42578125" style="134" customWidth="1"/>
    <col min="4611" max="4611" width="15.5703125" style="134" customWidth="1"/>
    <col min="4612" max="4612" width="11.85546875" style="134" customWidth="1"/>
    <col min="4613" max="4613" width="7" style="134" customWidth="1"/>
    <col min="4614" max="4614" width="32.5703125" style="134" customWidth="1"/>
    <col min="4615" max="4615" width="8.140625" style="134" customWidth="1"/>
    <col min="4616" max="4616" width="20.140625" style="134" customWidth="1"/>
    <col min="4617" max="4617" width="119.85546875" style="134" customWidth="1"/>
    <col min="4618" max="4618" width="11.5703125" style="134" customWidth="1"/>
    <col min="4619" max="4619" width="128.140625" style="134" customWidth="1"/>
    <col min="4620" max="4864" width="11.5703125" style="134" customWidth="1"/>
    <col min="4865" max="4865" width="1.140625" style="134" customWidth="1"/>
    <col min="4866" max="4866" width="29.42578125" style="134" customWidth="1"/>
    <col min="4867" max="4867" width="15.5703125" style="134" customWidth="1"/>
    <col min="4868" max="4868" width="11.85546875" style="134" customWidth="1"/>
    <col min="4869" max="4869" width="7" style="134" customWidth="1"/>
    <col min="4870" max="4870" width="32.5703125" style="134" customWidth="1"/>
    <col min="4871" max="4871" width="8.140625" style="134" customWidth="1"/>
    <col min="4872" max="4872" width="20.140625" style="134" customWidth="1"/>
    <col min="4873" max="4873" width="119.85546875" style="134" customWidth="1"/>
    <col min="4874" max="4874" width="11.5703125" style="134" customWidth="1"/>
    <col min="4875" max="4875" width="128.140625" style="134" customWidth="1"/>
    <col min="4876" max="5120" width="11.5703125" style="134" customWidth="1"/>
    <col min="5121" max="5121" width="1.140625" style="134" customWidth="1"/>
    <col min="5122" max="5122" width="29.42578125" style="134" customWidth="1"/>
    <col min="5123" max="5123" width="15.5703125" style="134" customWidth="1"/>
    <col min="5124" max="5124" width="11.85546875" style="134" customWidth="1"/>
    <col min="5125" max="5125" width="7" style="134" customWidth="1"/>
    <col min="5126" max="5126" width="32.5703125" style="134" customWidth="1"/>
    <col min="5127" max="5127" width="8.140625" style="134" customWidth="1"/>
    <col min="5128" max="5128" width="20.140625" style="134" customWidth="1"/>
    <col min="5129" max="5129" width="119.85546875" style="134" customWidth="1"/>
    <col min="5130" max="5130" width="11.5703125" style="134" customWidth="1"/>
    <col min="5131" max="5131" width="128.140625" style="134" customWidth="1"/>
    <col min="5132" max="5376" width="11.5703125" style="134" customWidth="1"/>
    <col min="5377" max="5377" width="1.140625" style="134" customWidth="1"/>
    <col min="5378" max="5378" width="29.42578125" style="134" customWidth="1"/>
    <col min="5379" max="5379" width="15.5703125" style="134" customWidth="1"/>
    <col min="5380" max="5380" width="11.85546875" style="134" customWidth="1"/>
    <col min="5381" max="5381" width="7" style="134" customWidth="1"/>
    <col min="5382" max="5382" width="32.5703125" style="134" customWidth="1"/>
    <col min="5383" max="5383" width="8.140625" style="134" customWidth="1"/>
    <col min="5384" max="5384" width="20.140625" style="134" customWidth="1"/>
    <col min="5385" max="5385" width="119.85546875" style="134" customWidth="1"/>
    <col min="5386" max="5386" width="11.5703125" style="134" customWidth="1"/>
    <col min="5387" max="5387" width="128.140625" style="134" customWidth="1"/>
    <col min="5388" max="5632" width="11.5703125" style="134" customWidth="1"/>
    <col min="5633" max="5633" width="1.140625" style="134" customWidth="1"/>
    <col min="5634" max="5634" width="29.42578125" style="134" customWidth="1"/>
    <col min="5635" max="5635" width="15.5703125" style="134" customWidth="1"/>
    <col min="5636" max="5636" width="11.85546875" style="134" customWidth="1"/>
    <col min="5637" max="5637" width="7" style="134" customWidth="1"/>
    <col min="5638" max="5638" width="32.5703125" style="134" customWidth="1"/>
    <col min="5639" max="5639" width="8.140625" style="134" customWidth="1"/>
    <col min="5640" max="5640" width="20.140625" style="134" customWidth="1"/>
    <col min="5641" max="5641" width="119.85546875" style="134" customWidth="1"/>
    <col min="5642" max="5642" width="11.5703125" style="134" customWidth="1"/>
    <col min="5643" max="5643" width="128.140625" style="134" customWidth="1"/>
    <col min="5644" max="5888" width="11.5703125" style="134" customWidth="1"/>
    <col min="5889" max="5889" width="1.140625" style="134" customWidth="1"/>
    <col min="5890" max="5890" width="29.42578125" style="134" customWidth="1"/>
    <col min="5891" max="5891" width="15.5703125" style="134" customWidth="1"/>
    <col min="5892" max="5892" width="11.85546875" style="134" customWidth="1"/>
    <col min="5893" max="5893" width="7" style="134" customWidth="1"/>
    <col min="5894" max="5894" width="32.5703125" style="134" customWidth="1"/>
    <col min="5895" max="5895" width="8.140625" style="134" customWidth="1"/>
    <col min="5896" max="5896" width="20.140625" style="134" customWidth="1"/>
    <col min="5897" max="5897" width="119.85546875" style="134" customWidth="1"/>
    <col min="5898" max="5898" width="11.5703125" style="134" customWidth="1"/>
    <col min="5899" max="5899" width="128.140625" style="134" customWidth="1"/>
    <col min="5900" max="6144" width="11.5703125" style="134" customWidth="1"/>
    <col min="6145" max="6145" width="1.140625" style="134" customWidth="1"/>
    <col min="6146" max="6146" width="29.42578125" style="134" customWidth="1"/>
    <col min="6147" max="6147" width="15.5703125" style="134" customWidth="1"/>
    <col min="6148" max="6148" width="11.85546875" style="134" customWidth="1"/>
    <col min="6149" max="6149" width="7" style="134" customWidth="1"/>
    <col min="6150" max="6150" width="32.5703125" style="134" customWidth="1"/>
    <col min="6151" max="6151" width="8.140625" style="134" customWidth="1"/>
    <col min="6152" max="6152" width="20.140625" style="134" customWidth="1"/>
    <col min="6153" max="6153" width="119.85546875" style="134" customWidth="1"/>
    <col min="6154" max="6154" width="11.5703125" style="134" customWidth="1"/>
    <col min="6155" max="6155" width="128.140625" style="134" customWidth="1"/>
    <col min="6156" max="6400" width="11.5703125" style="134" customWidth="1"/>
    <col min="6401" max="6401" width="1.140625" style="134" customWidth="1"/>
    <col min="6402" max="6402" width="29.42578125" style="134" customWidth="1"/>
    <col min="6403" max="6403" width="15.5703125" style="134" customWidth="1"/>
    <col min="6404" max="6404" width="11.85546875" style="134" customWidth="1"/>
    <col min="6405" max="6405" width="7" style="134" customWidth="1"/>
    <col min="6406" max="6406" width="32.5703125" style="134" customWidth="1"/>
    <col min="6407" max="6407" width="8.140625" style="134" customWidth="1"/>
    <col min="6408" max="6408" width="20.140625" style="134" customWidth="1"/>
    <col min="6409" max="6409" width="119.85546875" style="134" customWidth="1"/>
    <col min="6410" max="6410" width="11.5703125" style="134" customWidth="1"/>
    <col min="6411" max="6411" width="128.140625" style="134" customWidth="1"/>
    <col min="6412" max="6656" width="11.5703125" style="134" customWidth="1"/>
    <col min="6657" max="6657" width="1.140625" style="134" customWidth="1"/>
    <col min="6658" max="6658" width="29.42578125" style="134" customWidth="1"/>
    <col min="6659" max="6659" width="15.5703125" style="134" customWidth="1"/>
    <col min="6660" max="6660" width="11.85546875" style="134" customWidth="1"/>
    <col min="6661" max="6661" width="7" style="134" customWidth="1"/>
    <col min="6662" max="6662" width="32.5703125" style="134" customWidth="1"/>
    <col min="6663" max="6663" width="8.140625" style="134" customWidth="1"/>
    <col min="6664" max="6664" width="20.140625" style="134" customWidth="1"/>
    <col min="6665" max="6665" width="119.85546875" style="134" customWidth="1"/>
    <col min="6666" max="6666" width="11.5703125" style="134" customWidth="1"/>
    <col min="6667" max="6667" width="128.140625" style="134" customWidth="1"/>
    <col min="6668" max="6912" width="11.5703125" style="134" customWidth="1"/>
    <col min="6913" max="6913" width="1.140625" style="134" customWidth="1"/>
    <col min="6914" max="6914" width="29.42578125" style="134" customWidth="1"/>
    <col min="6915" max="6915" width="15.5703125" style="134" customWidth="1"/>
    <col min="6916" max="6916" width="11.85546875" style="134" customWidth="1"/>
    <col min="6917" max="6917" width="7" style="134" customWidth="1"/>
    <col min="6918" max="6918" width="32.5703125" style="134" customWidth="1"/>
    <col min="6919" max="6919" width="8.140625" style="134" customWidth="1"/>
    <col min="6920" max="6920" width="20.140625" style="134" customWidth="1"/>
    <col min="6921" max="6921" width="119.85546875" style="134" customWidth="1"/>
    <col min="6922" max="6922" width="11.5703125" style="134" customWidth="1"/>
    <col min="6923" max="6923" width="128.140625" style="134" customWidth="1"/>
    <col min="6924" max="7168" width="11.5703125" style="134" customWidth="1"/>
    <col min="7169" max="7169" width="1.140625" style="134" customWidth="1"/>
    <col min="7170" max="7170" width="29.42578125" style="134" customWidth="1"/>
    <col min="7171" max="7171" width="15.5703125" style="134" customWidth="1"/>
    <col min="7172" max="7172" width="11.85546875" style="134" customWidth="1"/>
    <col min="7173" max="7173" width="7" style="134" customWidth="1"/>
    <col min="7174" max="7174" width="32.5703125" style="134" customWidth="1"/>
    <col min="7175" max="7175" width="8.140625" style="134" customWidth="1"/>
    <col min="7176" max="7176" width="20.140625" style="134" customWidth="1"/>
    <col min="7177" max="7177" width="119.85546875" style="134" customWidth="1"/>
    <col min="7178" max="7178" width="11.5703125" style="134" customWidth="1"/>
    <col min="7179" max="7179" width="128.140625" style="134" customWidth="1"/>
    <col min="7180" max="7424" width="11.5703125" style="134" customWidth="1"/>
    <col min="7425" max="7425" width="1.140625" style="134" customWidth="1"/>
    <col min="7426" max="7426" width="29.42578125" style="134" customWidth="1"/>
    <col min="7427" max="7427" width="15.5703125" style="134" customWidth="1"/>
    <col min="7428" max="7428" width="11.85546875" style="134" customWidth="1"/>
    <col min="7429" max="7429" width="7" style="134" customWidth="1"/>
    <col min="7430" max="7430" width="32.5703125" style="134" customWidth="1"/>
    <col min="7431" max="7431" width="8.140625" style="134" customWidth="1"/>
    <col min="7432" max="7432" width="20.140625" style="134" customWidth="1"/>
    <col min="7433" max="7433" width="119.85546875" style="134" customWidth="1"/>
    <col min="7434" max="7434" width="11.5703125" style="134" customWidth="1"/>
    <col min="7435" max="7435" width="128.140625" style="134" customWidth="1"/>
    <col min="7436" max="7680" width="11.5703125" style="134" customWidth="1"/>
    <col min="7681" max="7681" width="1.140625" style="134" customWidth="1"/>
    <col min="7682" max="7682" width="29.42578125" style="134" customWidth="1"/>
    <col min="7683" max="7683" width="15.5703125" style="134" customWidth="1"/>
    <col min="7684" max="7684" width="11.85546875" style="134" customWidth="1"/>
    <col min="7685" max="7685" width="7" style="134" customWidth="1"/>
    <col min="7686" max="7686" width="32.5703125" style="134" customWidth="1"/>
    <col min="7687" max="7687" width="8.140625" style="134" customWidth="1"/>
    <col min="7688" max="7688" width="20.140625" style="134" customWidth="1"/>
    <col min="7689" max="7689" width="119.85546875" style="134" customWidth="1"/>
    <col min="7690" max="7690" width="11.5703125" style="134" customWidth="1"/>
    <col min="7691" max="7691" width="128.140625" style="134" customWidth="1"/>
    <col min="7692" max="7936" width="11.5703125" style="134" customWidth="1"/>
    <col min="7937" max="7937" width="1.140625" style="134" customWidth="1"/>
    <col min="7938" max="7938" width="29.42578125" style="134" customWidth="1"/>
    <col min="7939" max="7939" width="15.5703125" style="134" customWidth="1"/>
    <col min="7940" max="7940" width="11.85546875" style="134" customWidth="1"/>
    <col min="7941" max="7941" width="7" style="134" customWidth="1"/>
    <col min="7942" max="7942" width="32.5703125" style="134" customWidth="1"/>
    <col min="7943" max="7943" width="8.140625" style="134" customWidth="1"/>
    <col min="7944" max="7944" width="20.140625" style="134" customWidth="1"/>
    <col min="7945" max="7945" width="119.85546875" style="134" customWidth="1"/>
    <col min="7946" max="7946" width="11.5703125" style="134" customWidth="1"/>
    <col min="7947" max="7947" width="128.140625" style="134" customWidth="1"/>
    <col min="7948" max="8192" width="11.5703125" style="134" customWidth="1"/>
    <col min="8193" max="8193" width="1.140625" style="134" customWidth="1"/>
    <col min="8194" max="8194" width="29.42578125" style="134" customWidth="1"/>
    <col min="8195" max="8195" width="15.5703125" style="134" customWidth="1"/>
    <col min="8196" max="8196" width="11.85546875" style="134" customWidth="1"/>
    <col min="8197" max="8197" width="7" style="134" customWidth="1"/>
    <col min="8198" max="8198" width="32.5703125" style="134" customWidth="1"/>
    <col min="8199" max="8199" width="8.140625" style="134" customWidth="1"/>
    <col min="8200" max="8200" width="20.140625" style="134" customWidth="1"/>
    <col min="8201" max="8201" width="119.85546875" style="134" customWidth="1"/>
    <col min="8202" max="8202" width="11.5703125" style="134" customWidth="1"/>
    <col min="8203" max="8203" width="128.140625" style="134" customWidth="1"/>
    <col min="8204" max="8448" width="11.5703125" style="134" customWidth="1"/>
    <col min="8449" max="8449" width="1.140625" style="134" customWidth="1"/>
    <col min="8450" max="8450" width="29.42578125" style="134" customWidth="1"/>
    <col min="8451" max="8451" width="15.5703125" style="134" customWidth="1"/>
    <col min="8452" max="8452" width="11.85546875" style="134" customWidth="1"/>
    <col min="8453" max="8453" width="7" style="134" customWidth="1"/>
    <col min="8454" max="8454" width="32.5703125" style="134" customWidth="1"/>
    <col min="8455" max="8455" width="8.140625" style="134" customWidth="1"/>
    <col min="8456" max="8456" width="20.140625" style="134" customWidth="1"/>
    <col min="8457" max="8457" width="119.85546875" style="134" customWidth="1"/>
    <col min="8458" max="8458" width="11.5703125" style="134" customWidth="1"/>
    <col min="8459" max="8459" width="128.140625" style="134" customWidth="1"/>
    <col min="8460" max="8704" width="11.5703125" style="134" customWidth="1"/>
    <col min="8705" max="8705" width="1.140625" style="134" customWidth="1"/>
    <col min="8706" max="8706" width="29.42578125" style="134" customWidth="1"/>
    <col min="8707" max="8707" width="15.5703125" style="134" customWidth="1"/>
    <col min="8708" max="8708" width="11.85546875" style="134" customWidth="1"/>
    <col min="8709" max="8709" width="7" style="134" customWidth="1"/>
    <col min="8710" max="8710" width="32.5703125" style="134" customWidth="1"/>
    <col min="8711" max="8711" width="8.140625" style="134" customWidth="1"/>
    <col min="8712" max="8712" width="20.140625" style="134" customWidth="1"/>
    <col min="8713" max="8713" width="119.85546875" style="134" customWidth="1"/>
    <col min="8714" max="8714" width="11.5703125" style="134" customWidth="1"/>
    <col min="8715" max="8715" width="128.140625" style="134" customWidth="1"/>
    <col min="8716" max="8960" width="11.5703125" style="134" customWidth="1"/>
    <col min="8961" max="8961" width="1.140625" style="134" customWidth="1"/>
    <col min="8962" max="8962" width="29.42578125" style="134" customWidth="1"/>
    <col min="8963" max="8963" width="15.5703125" style="134" customWidth="1"/>
    <col min="8964" max="8964" width="11.85546875" style="134" customWidth="1"/>
    <col min="8965" max="8965" width="7" style="134" customWidth="1"/>
    <col min="8966" max="8966" width="32.5703125" style="134" customWidth="1"/>
    <col min="8967" max="8967" width="8.140625" style="134" customWidth="1"/>
    <col min="8968" max="8968" width="20.140625" style="134" customWidth="1"/>
    <col min="8969" max="8969" width="119.85546875" style="134" customWidth="1"/>
    <col min="8970" max="8970" width="11.5703125" style="134" customWidth="1"/>
    <col min="8971" max="8971" width="128.140625" style="134" customWidth="1"/>
    <col min="8972" max="9216" width="11.5703125" style="134" customWidth="1"/>
    <col min="9217" max="9217" width="1.140625" style="134" customWidth="1"/>
    <col min="9218" max="9218" width="29.42578125" style="134" customWidth="1"/>
    <col min="9219" max="9219" width="15.5703125" style="134" customWidth="1"/>
    <col min="9220" max="9220" width="11.85546875" style="134" customWidth="1"/>
    <col min="9221" max="9221" width="7" style="134" customWidth="1"/>
    <col min="9222" max="9222" width="32.5703125" style="134" customWidth="1"/>
    <col min="9223" max="9223" width="8.140625" style="134" customWidth="1"/>
    <col min="9224" max="9224" width="20.140625" style="134" customWidth="1"/>
    <col min="9225" max="9225" width="119.85546875" style="134" customWidth="1"/>
    <col min="9226" max="9226" width="11.5703125" style="134" customWidth="1"/>
    <col min="9227" max="9227" width="128.140625" style="134" customWidth="1"/>
    <col min="9228" max="9472" width="11.5703125" style="134" customWidth="1"/>
    <col min="9473" max="9473" width="1.140625" style="134" customWidth="1"/>
    <col min="9474" max="9474" width="29.42578125" style="134" customWidth="1"/>
    <col min="9475" max="9475" width="15.5703125" style="134" customWidth="1"/>
    <col min="9476" max="9476" width="11.85546875" style="134" customWidth="1"/>
    <col min="9477" max="9477" width="7" style="134" customWidth="1"/>
    <col min="9478" max="9478" width="32.5703125" style="134" customWidth="1"/>
    <col min="9479" max="9479" width="8.140625" style="134" customWidth="1"/>
    <col min="9480" max="9480" width="20.140625" style="134" customWidth="1"/>
    <col min="9481" max="9481" width="119.85546875" style="134" customWidth="1"/>
    <col min="9482" max="9482" width="11.5703125" style="134" customWidth="1"/>
    <col min="9483" max="9483" width="128.140625" style="134" customWidth="1"/>
    <col min="9484" max="9728" width="11.5703125" style="134" customWidth="1"/>
    <col min="9729" max="9729" width="1.140625" style="134" customWidth="1"/>
    <col min="9730" max="9730" width="29.42578125" style="134" customWidth="1"/>
    <col min="9731" max="9731" width="15.5703125" style="134" customWidth="1"/>
    <col min="9732" max="9732" width="11.85546875" style="134" customWidth="1"/>
    <col min="9733" max="9733" width="7" style="134" customWidth="1"/>
    <col min="9734" max="9734" width="32.5703125" style="134" customWidth="1"/>
    <col min="9735" max="9735" width="8.140625" style="134" customWidth="1"/>
    <col min="9736" max="9736" width="20.140625" style="134" customWidth="1"/>
    <col min="9737" max="9737" width="119.85546875" style="134" customWidth="1"/>
    <col min="9738" max="9738" width="11.5703125" style="134" customWidth="1"/>
    <col min="9739" max="9739" width="128.140625" style="134" customWidth="1"/>
    <col min="9740" max="9984" width="11.5703125" style="134" customWidth="1"/>
    <col min="9985" max="9985" width="1.140625" style="134" customWidth="1"/>
    <col min="9986" max="9986" width="29.42578125" style="134" customWidth="1"/>
    <col min="9987" max="9987" width="15.5703125" style="134" customWidth="1"/>
    <col min="9988" max="9988" width="11.85546875" style="134" customWidth="1"/>
    <col min="9989" max="9989" width="7" style="134" customWidth="1"/>
    <col min="9990" max="9990" width="32.5703125" style="134" customWidth="1"/>
    <col min="9991" max="9991" width="8.140625" style="134" customWidth="1"/>
    <col min="9992" max="9992" width="20.140625" style="134" customWidth="1"/>
    <col min="9993" max="9993" width="119.85546875" style="134" customWidth="1"/>
    <col min="9994" max="9994" width="11.5703125" style="134" customWidth="1"/>
    <col min="9995" max="9995" width="128.140625" style="134" customWidth="1"/>
    <col min="9996" max="10240" width="11.5703125" style="134" customWidth="1"/>
    <col min="10241" max="10241" width="1.140625" style="134" customWidth="1"/>
    <col min="10242" max="10242" width="29.42578125" style="134" customWidth="1"/>
    <col min="10243" max="10243" width="15.5703125" style="134" customWidth="1"/>
    <col min="10244" max="10244" width="11.85546875" style="134" customWidth="1"/>
    <col min="10245" max="10245" width="7" style="134" customWidth="1"/>
    <col min="10246" max="10246" width="32.5703125" style="134" customWidth="1"/>
    <col min="10247" max="10247" width="8.140625" style="134" customWidth="1"/>
    <col min="10248" max="10248" width="20.140625" style="134" customWidth="1"/>
    <col min="10249" max="10249" width="119.85546875" style="134" customWidth="1"/>
    <col min="10250" max="10250" width="11.5703125" style="134" customWidth="1"/>
    <col min="10251" max="10251" width="128.140625" style="134" customWidth="1"/>
    <col min="10252" max="10496" width="11.5703125" style="134" customWidth="1"/>
    <col min="10497" max="10497" width="1.140625" style="134" customWidth="1"/>
    <col min="10498" max="10498" width="29.42578125" style="134" customWidth="1"/>
    <col min="10499" max="10499" width="15.5703125" style="134" customWidth="1"/>
    <col min="10500" max="10500" width="11.85546875" style="134" customWidth="1"/>
    <col min="10501" max="10501" width="7" style="134" customWidth="1"/>
    <col min="10502" max="10502" width="32.5703125" style="134" customWidth="1"/>
    <col min="10503" max="10503" width="8.140625" style="134" customWidth="1"/>
    <col min="10504" max="10504" width="20.140625" style="134" customWidth="1"/>
    <col min="10505" max="10505" width="119.85546875" style="134" customWidth="1"/>
    <col min="10506" max="10506" width="11.5703125" style="134" customWidth="1"/>
    <col min="10507" max="10507" width="128.140625" style="134" customWidth="1"/>
    <col min="10508" max="10752" width="11.5703125" style="134" customWidth="1"/>
    <col min="10753" max="10753" width="1.140625" style="134" customWidth="1"/>
    <col min="10754" max="10754" width="29.42578125" style="134" customWidth="1"/>
    <col min="10755" max="10755" width="15.5703125" style="134" customWidth="1"/>
    <col min="10756" max="10756" width="11.85546875" style="134" customWidth="1"/>
    <col min="10757" max="10757" width="7" style="134" customWidth="1"/>
    <col min="10758" max="10758" width="32.5703125" style="134" customWidth="1"/>
    <col min="10759" max="10759" width="8.140625" style="134" customWidth="1"/>
    <col min="10760" max="10760" width="20.140625" style="134" customWidth="1"/>
    <col min="10761" max="10761" width="119.85546875" style="134" customWidth="1"/>
    <col min="10762" max="10762" width="11.5703125" style="134" customWidth="1"/>
    <col min="10763" max="10763" width="128.140625" style="134" customWidth="1"/>
    <col min="10764" max="11008" width="11.5703125" style="134" customWidth="1"/>
    <col min="11009" max="11009" width="1.140625" style="134" customWidth="1"/>
    <col min="11010" max="11010" width="29.42578125" style="134" customWidth="1"/>
    <col min="11011" max="11011" width="15.5703125" style="134" customWidth="1"/>
    <col min="11012" max="11012" width="11.85546875" style="134" customWidth="1"/>
    <col min="11013" max="11013" width="7" style="134" customWidth="1"/>
    <col min="11014" max="11014" width="32.5703125" style="134" customWidth="1"/>
    <col min="11015" max="11015" width="8.140625" style="134" customWidth="1"/>
    <col min="11016" max="11016" width="20.140625" style="134" customWidth="1"/>
    <col min="11017" max="11017" width="119.85546875" style="134" customWidth="1"/>
    <col min="11018" max="11018" width="11.5703125" style="134" customWidth="1"/>
    <col min="11019" max="11019" width="128.140625" style="134" customWidth="1"/>
    <col min="11020" max="11264" width="11.5703125" style="134" customWidth="1"/>
    <col min="11265" max="11265" width="1.140625" style="134" customWidth="1"/>
    <col min="11266" max="11266" width="29.42578125" style="134" customWidth="1"/>
    <col min="11267" max="11267" width="15.5703125" style="134" customWidth="1"/>
    <col min="11268" max="11268" width="11.85546875" style="134" customWidth="1"/>
    <col min="11269" max="11269" width="7" style="134" customWidth="1"/>
    <col min="11270" max="11270" width="32.5703125" style="134" customWidth="1"/>
    <col min="11271" max="11271" width="8.140625" style="134" customWidth="1"/>
    <col min="11272" max="11272" width="20.140625" style="134" customWidth="1"/>
    <col min="11273" max="11273" width="119.85546875" style="134" customWidth="1"/>
    <col min="11274" max="11274" width="11.5703125" style="134" customWidth="1"/>
    <col min="11275" max="11275" width="128.140625" style="134" customWidth="1"/>
    <col min="11276" max="11520" width="11.5703125" style="134" customWidth="1"/>
    <col min="11521" max="11521" width="1.140625" style="134" customWidth="1"/>
    <col min="11522" max="11522" width="29.42578125" style="134" customWidth="1"/>
    <col min="11523" max="11523" width="15.5703125" style="134" customWidth="1"/>
    <col min="11524" max="11524" width="11.85546875" style="134" customWidth="1"/>
    <col min="11525" max="11525" width="7" style="134" customWidth="1"/>
    <col min="11526" max="11526" width="32.5703125" style="134" customWidth="1"/>
    <col min="11527" max="11527" width="8.140625" style="134" customWidth="1"/>
    <col min="11528" max="11528" width="20.140625" style="134" customWidth="1"/>
    <col min="11529" max="11529" width="119.85546875" style="134" customWidth="1"/>
    <col min="11530" max="11530" width="11.5703125" style="134" customWidth="1"/>
    <col min="11531" max="11531" width="128.140625" style="134" customWidth="1"/>
    <col min="11532" max="11776" width="11.5703125" style="134" customWidth="1"/>
    <col min="11777" max="11777" width="1.140625" style="134" customWidth="1"/>
    <col min="11778" max="11778" width="29.42578125" style="134" customWidth="1"/>
    <col min="11779" max="11779" width="15.5703125" style="134" customWidth="1"/>
    <col min="11780" max="11780" width="11.85546875" style="134" customWidth="1"/>
    <col min="11781" max="11781" width="7" style="134" customWidth="1"/>
    <col min="11782" max="11782" width="32.5703125" style="134" customWidth="1"/>
    <col min="11783" max="11783" width="8.140625" style="134" customWidth="1"/>
    <col min="11784" max="11784" width="20.140625" style="134" customWidth="1"/>
    <col min="11785" max="11785" width="119.85546875" style="134" customWidth="1"/>
    <col min="11786" max="11786" width="11.5703125" style="134" customWidth="1"/>
    <col min="11787" max="11787" width="128.140625" style="134" customWidth="1"/>
    <col min="11788" max="12032" width="11.5703125" style="134" customWidth="1"/>
    <col min="12033" max="12033" width="1.140625" style="134" customWidth="1"/>
    <col min="12034" max="12034" width="29.42578125" style="134" customWidth="1"/>
    <col min="12035" max="12035" width="15.5703125" style="134" customWidth="1"/>
    <col min="12036" max="12036" width="11.85546875" style="134" customWidth="1"/>
    <col min="12037" max="12037" width="7" style="134" customWidth="1"/>
    <col min="12038" max="12038" width="32.5703125" style="134" customWidth="1"/>
    <col min="12039" max="12039" width="8.140625" style="134" customWidth="1"/>
    <col min="12040" max="12040" width="20.140625" style="134" customWidth="1"/>
    <col min="12041" max="12041" width="119.85546875" style="134" customWidth="1"/>
    <col min="12042" max="12042" width="11.5703125" style="134" customWidth="1"/>
    <col min="12043" max="12043" width="128.140625" style="134" customWidth="1"/>
    <col min="12044" max="12288" width="11.5703125" style="134" customWidth="1"/>
    <col min="12289" max="12289" width="1.140625" style="134" customWidth="1"/>
    <col min="12290" max="12290" width="29.42578125" style="134" customWidth="1"/>
    <col min="12291" max="12291" width="15.5703125" style="134" customWidth="1"/>
    <col min="12292" max="12292" width="11.85546875" style="134" customWidth="1"/>
    <col min="12293" max="12293" width="7" style="134" customWidth="1"/>
    <col min="12294" max="12294" width="32.5703125" style="134" customWidth="1"/>
    <col min="12295" max="12295" width="8.140625" style="134" customWidth="1"/>
    <col min="12296" max="12296" width="20.140625" style="134" customWidth="1"/>
    <col min="12297" max="12297" width="119.85546875" style="134" customWidth="1"/>
    <col min="12298" max="12298" width="11.5703125" style="134" customWidth="1"/>
    <col min="12299" max="12299" width="128.140625" style="134" customWidth="1"/>
    <col min="12300" max="12544" width="11.5703125" style="134" customWidth="1"/>
    <col min="12545" max="12545" width="1.140625" style="134" customWidth="1"/>
    <col min="12546" max="12546" width="29.42578125" style="134" customWidth="1"/>
    <col min="12547" max="12547" width="15.5703125" style="134" customWidth="1"/>
    <col min="12548" max="12548" width="11.85546875" style="134" customWidth="1"/>
    <col min="12549" max="12549" width="7" style="134" customWidth="1"/>
    <col min="12550" max="12550" width="32.5703125" style="134" customWidth="1"/>
    <col min="12551" max="12551" width="8.140625" style="134" customWidth="1"/>
    <col min="12552" max="12552" width="20.140625" style="134" customWidth="1"/>
    <col min="12553" max="12553" width="119.85546875" style="134" customWidth="1"/>
    <col min="12554" max="12554" width="11.5703125" style="134" customWidth="1"/>
    <col min="12555" max="12555" width="128.140625" style="134" customWidth="1"/>
    <col min="12556" max="12800" width="11.5703125" style="134" customWidth="1"/>
    <col min="12801" max="12801" width="1.140625" style="134" customWidth="1"/>
    <col min="12802" max="12802" width="29.42578125" style="134" customWidth="1"/>
    <col min="12803" max="12803" width="15.5703125" style="134" customWidth="1"/>
    <col min="12804" max="12804" width="11.85546875" style="134" customWidth="1"/>
    <col min="12805" max="12805" width="7" style="134" customWidth="1"/>
    <col min="12806" max="12806" width="32.5703125" style="134" customWidth="1"/>
    <col min="12807" max="12807" width="8.140625" style="134" customWidth="1"/>
    <col min="12808" max="12808" width="20.140625" style="134" customWidth="1"/>
    <col min="12809" max="12809" width="119.85546875" style="134" customWidth="1"/>
    <col min="12810" max="12810" width="11.5703125" style="134" customWidth="1"/>
    <col min="12811" max="12811" width="128.140625" style="134" customWidth="1"/>
    <col min="12812" max="13056" width="11.5703125" style="134" customWidth="1"/>
    <col min="13057" max="13057" width="1.140625" style="134" customWidth="1"/>
    <col min="13058" max="13058" width="29.42578125" style="134" customWidth="1"/>
    <col min="13059" max="13059" width="15.5703125" style="134" customWidth="1"/>
    <col min="13060" max="13060" width="11.85546875" style="134" customWidth="1"/>
    <col min="13061" max="13061" width="7" style="134" customWidth="1"/>
    <col min="13062" max="13062" width="32.5703125" style="134" customWidth="1"/>
    <col min="13063" max="13063" width="8.140625" style="134" customWidth="1"/>
    <col min="13064" max="13064" width="20.140625" style="134" customWidth="1"/>
    <col min="13065" max="13065" width="119.85546875" style="134" customWidth="1"/>
    <col min="13066" max="13066" width="11.5703125" style="134" customWidth="1"/>
    <col min="13067" max="13067" width="128.140625" style="134" customWidth="1"/>
    <col min="13068" max="13312" width="11.5703125" style="134" customWidth="1"/>
    <col min="13313" max="13313" width="1.140625" style="134" customWidth="1"/>
    <col min="13314" max="13314" width="29.42578125" style="134" customWidth="1"/>
    <col min="13315" max="13315" width="15.5703125" style="134" customWidth="1"/>
    <col min="13316" max="13316" width="11.85546875" style="134" customWidth="1"/>
    <col min="13317" max="13317" width="7" style="134" customWidth="1"/>
    <col min="13318" max="13318" width="32.5703125" style="134" customWidth="1"/>
    <col min="13319" max="13319" width="8.140625" style="134" customWidth="1"/>
    <col min="13320" max="13320" width="20.140625" style="134" customWidth="1"/>
    <col min="13321" max="13321" width="119.85546875" style="134" customWidth="1"/>
    <col min="13322" max="13322" width="11.5703125" style="134" customWidth="1"/>
    <col min="13323" max="13323" width="128.140625" style="134" customWidth="1"/>
    <col min="13324" max="13568" width="11.5703125" style="134" customWidth="1"/>
    <col min="13569" max="13569" width="1.140625" style="134" customWidth="1"/>
    <col min="13570" max="13570" width="29.42578125" style="134" customWidth="1"/>
    <col min="13571" max="13571" width="15.5703125" style="134" customWidth="1"/>
    <col min="13572" max="13572" width="11.85546875" style="134" customWidth="1"/>
    <col min="13573" max="13573" width="7" style="134" customWidth="1"/>
    <col min="13574" max="13574" width="32.5703125" style="134" customWidth="1"/>
    <col min="13575" max="13575" width="8.140625" style="134" customWidth="1"/>
    <col min="13576" max="13576" width="20.140625" style="134" customWidth="1"/>
    <col min="13577" max="13577" width="119.85546875" style="134" customWidth="1"/>
    <col min="13578" max="13578" width="11.5703125" style="134" customWidth="1"/>
    <col min="13579" max="13579" width="128.140625" style="134" customWidth="1"/>
    <col min="13580" max="13824" width="11.5703125" style="134" customWidth="1"/>
    <col min="13825" max="13825" width="1.140625" style="134" customWidth="1"/>
    <col min="13826" max="13826" width="29.42578125" style="134" customWidth="1"/>
    <col min="13827" max="13827" width="15.5703125" style="134" customWidth="1"/>
    <col min="13828" max="13828" width="11.85546875" style="134" customWidth="1"/>
    <col min="13829" max="13829" width="7" style="134" customWidth="1"/>
    <col min="13830" max="13830" width="32.5703125" style="134" customWidth="1"/>
    <col min="13831" max="13831" width="8.140625" style="134" customWidth="1"/>
    <col min="13832" max="13832" width="20.140625" style="134" customWidth="1"/>
    <col min="13833" max="13833" width="119.85546875" style="134" customWidth="1"/>
    <col min="13834" max="13834" width="11.5703125" style="134" customWidth="1"/>
    <col min="13835" max="13835" width="128.140625" style="134" customWidth="1"/>
    <col min="13836" max="14080" width="11.5703125" style="134" customWidth="1"/>
    <col min="14081" max="14081" width="1.140625" style="134" customWidth="1"/>
    <col min="14082" max="14082" width="29.42578125" style="134" customWidth="1"/>
    <col min="14083" max="14083" width="15.5703125" style="134" customWidth="1"/>
    <col min="14084" max="14084" width="11.85546875" style="134" customWidth="1"/>
    <col min="14085" max="14085" width="7" style="134" customWidth="1"/>
    <col min="14086" max="14086" width="32.5703125" style="134" customWidth="1"/>
    <col min="14087" max="14087" width="8.140625" style="134" customWidth="1"/>
    <col min="14088" max="14088" width="20.140625" style="134" customWidth="1"/>
    <col min="14089" max="14089" width="119.85546875" style="134" customWidth="1"/>
    <col min="14090" max="14090" width="11.5703125" style="134" customWidth="1"/>
    <col min="14091" max="14091" width="128.140625" style="134" customWidth="1"/>
    <col min="14092" max="14336" width="11.5703125" style="134" customWidth="1"/>
    <col min="14337" max="14337" width="1.140625" style="134" customWidth="1"/>
    <col min="14338" max="14338" width="29.42578125" style="134" customWidth="1"/>
    <col min="14339" max="14339" width="15.5703125" style="134" customWidth="1"/>
    <col min="14340" max="14340" width="11.85546875" style="134" customWidth="1"/>
    <col min="14341" max="14341" width="7" style="134" customWidth="1"/>
    <col min="14342" max="14342" width="32.5703125" style="134" customWidth="1"/>
    <col min="14343" max="14343" width="8.140625" style="134" customWidth="1"/>
    <col min="14344" max="14344" width="20.140625" style="134" customWidth="1"/>
    <col min="14345" max="14345" width="119.85546875" style="134" customWidth="1"/>
    <col min="14346" max="14346" width="11.5703125" style="134" customWidth="1"/>
    <col min="14347" max="14347" width="128.140625" style="134" customWidth="1"/>
    <col min="14348" max="14592" width="11.5703125" style="134" customWidth="1"/>
    <col min="14593" max="14593" width="1.140625" style="134" customWidth="1"/>
    <col min="14594" max="14594" width="29.42578125" style="134" customWidth="1"/>
    <col min="14595" max="14595" width="15.5703125" style="134" customWidth="1"/>
    <col min="14596" max="14596" width="11.85546875" style="134" customWidth="1"/>
    <col min="14597" max="14597" width="7" style="134" customWidth="1"/>
    <col min="14598" max="14598" width="32.5703125" style="134" customWidth="1"/>
    <col min="14599" max="14599" width="8.140625" style="134" customWidth="1"/>
    <col min="14600" max="14600" width="20.140625" style="134" customWidth="1"/>
    <col min="14601" max="14601" width="119.85546875" style="134" customWidth="1"/>
    <col min="14602" max="14602" width="11.5703125" style="134" customWidth="1"/>
    <col min="14603" max="14603" width="128.140625" style="134" customWidth="1"/>
    <col min="14604" max="14848" width="11.5703125" style="134" customWidth="1"/>
    <col min="14849" max="14849" width="1.140625" style="134" customWidth="1"/>
    <col min="14850" max="14850" width="29.42578125" style="134" customWidth="1"/>
    <col min="14851" max="14851" width="15.5703125" style="134" customWidth="1"/>
    <col min="14852" max="14852" width="11.85546875" style="134" customWidth="1"/>
    <col min="14853" max="14853" width="7" style="134" customWidth="1"/>
    <col min="14854" max="14854" width="32.5703125" style="134" customWidth="1"/>
    <col min="14855" max="14855" width="8.140625" style="134" customWidth="1"/>
    <col min="14856" max="14856" width="20.140625" style="134" customWidth="1"/>
    <col min="14857" max="14857" width="119.85546875" style="134" customWidth="1"/>
    <col min="14858" max="14858" width="11.5703125" style="134" customWidth="1"/>
    <col min="14859" max="14859" width="128.140625" style="134" customWidth="1"/>
    <col min="14860" max="15104" width="11.5703125" style="134" customWidth="1"/>
    <col min="15105" max="15105" width="1.140625" style="134" customWidth="1"/>
    <col min="15106" max="15106" width="29.42578125" style="134" customWidth="1"/>
    <col min="15107" max="15107" width="15.5703125" style="134" customWidth="1"/>
    <col min="15108" max="15108" width="11.85546875" style="134" customWidth="1"/>
    <col min="15109" max="15109" width="7" style="134" customWidth="1"/>
    <col min="15110" max="15110" width="32.5703125" style="134" customWidth="1"/>
    <col min="15111" max="15111" width="8.140625" style="134" customWidth="1"/>
    <col min="15112" max="15112" width="20.140625" style="134" customWidth="1"/>
    <col min="15113" max="15113" width="119.85546875" style="134" customWidth="1"/>
    <col min="15114" max="15114" width="11.5703125" style="134" customWidth="1"/>
    <col min="15115" max="15115" width="128.140625" style="134" customWidth="1"/>
    <col min="15116" max="15360" width="11.5703125" style="134" customWidth="1"/>
    <col min="15361" max="15361" width="1.140625" style="134" customWidth="1"/>
    <col min="15362" max="15362" width="29.42578125" style="134" customWidth="1"/>
    <col min="15363" max="15363" width="15.5703125" style="134" customWidth="1"/>
    <col min="15364" max="15364" width="11.85546875" style="134" customWidth="1"/>
    <col min="15365" max="15365" width="7" style="134" customWidth="1"/>
    <col min="15366" max="15366" width="32.5703125" style="134" customWidth="1"/>
    <col min="15367" max="15367" width="8.140625" style="134" customWidth="1"/>
    <col min="15368" max="15368" width="20.140625" style="134" customWidth="1"/>
    <col min="15369" max="15369" width="119.85546875" style="134" customWidth="1"/>
    <col min="15370" max="15370" width="11.5703125" style="134" customWidth="1"/>
    <col min="15371" max="15371" width="128.140625" style="134" customWidth="1"/>
    <col min="15372" max="15616" width="11.5703125" style="134" customWidth="1"/>
    <col min="15617" max="15617" width="1.140625" style="134" customWidth="1"/>
    <col min="15618" max="15618" width="29.42578125" style="134" customWidth="1"/>
    <col min="15619" max="15619" width="15.5703125" style="134" customWidth="1"/>
    <col min="15620" max="15620" width="11.85546875" style="134" customWidth="1"/>
    <col min="15621" max="15621" width="7" style="134" customWidth="1"/>
    <col min="15622" max="15622" width="32.5703125" style="134" customWidth="1"/>
    <col min="15623" max="15623" width="8.140625" style="134" customWidth="1"/>
    <col min="15624" max="15624" width="20.140625" style="134" customWidth="1"/>
    <col min="15625" max="15625" width="119.85546875" style="134" customWidth="1"/>
    <col min="15626" max="15626" width="11.5703125" style="134" customWidth="1"/>
    <col min="15627" max="15627" width="128.140625" style="134" customWidth="1"/>
    <col min="15628" max="15872" width="11.5703125" style="134" customWidth="1"/>
    <col min="15873" max="15873" width="1.140625" style="134" customWidth="1"/>
    <col min="15874" max="15874" width="29.42578125" style="134" customWidth="1"/>
    <col min="15875" max="15875" width="15.5703125" style="134" customWidth="1"/>
    <col min="15876" max="15876" width="11.85546875" style="134" customWidth="1"/>
    <col min="15877" max="15877" width="7" style="134" customWidth="1"/>
    <col min="15878" max="15878" width="32.5703125" style="134" customWidth="1"/>
    <col min="15879" max="15879" width="8.140625" style="134" customWidth="1"/>
    <col min="15880" max="15880" width="20.140625" style="134" customWidth="1"/>
    <col min="15881" max="15881" width="119.85546875" style="134" customWidth="1"/>
    <col min="15882" max="15882" width="11.5703125" style="134" customWidth="1"/>
    <col min="15883" max="15883" width="128.140625" style="134" customWidth="1"/>
    <col min="15884" max="16128" width="11.5703125" style="134" customWidth="1"/>
    <col min="16129" max="16129" width="1.140625" style="134" customWidth="1"/>
    <col min="16130" max="16130" width="29.42578125" style="134" customWidth="1"/>
    <col min="16131" max="16131" width="15.5703125" style="134" customWidth="1"/>
    <col min="16132" max="16132" width="11.85546875" style="134" customWidth="1"/>
    <col min="16133" max="16133" width="7" style="134" customWidth="1"/>
    <col min="16134" max="16134" width="32.5703125" style="134" customWidth="1"/>
    <col min="16135" max="16135" width="8.140625" style="134" customWidth="1"/>
    <col min="16136" max="16136" width="20.140625" style="134" customWidth="1"/>
    <col min="16137" max="16137" width="119.85546875" style="134" customWidth="1"/>
    <col min="16138" max="16138" width="11.5703125" style="134" customWidth="1"/>
    <col min="16139" max="16139" width="128.140625" style="134" customWidth="1"/>
    <col min="16140" max="16384" width="11.5703125" style="134" customWidth="1"/>
  </cols>
  <sheetData>
    <row r="1" spans="2:10" x14ac:dyDescent="0.25">
      <c r="B1" s="659" t="s">
        <v>1268</v>
      </c>
      <c r="C1" s="659"/>
      <c r="D1" s="659"/>
    </row>
    <row r="2" spans="2:10" x14ac:dyDescent="0.25">
      <c r="B2" s="660" t="s">
        <v>601</v>
      </c>
      <c r="C2" s="661"/>
      <c r="D2" s="661"/>
      <c r="E2" s="662"/>
      <c r="F2" s="662"/>
      <c r="G2" s="662"/>
      <c r="H2" s="662"/>
      <c r="I2" s="663"/>
      <c r="J2" s="133"/>
    </row>
    <row r="4" spans="2:10" x14ac:dyDescent="0.25">
      <c r="B4" s="135" t="s">
        <v>195</v>
      </c>
      <c r="C4" s="136"/>
      <c r="D4" s="136"/>
      <c r="E4" s="136"/>
      <c r="F4" s="136"/>
      <c r="G4" s="137"/>
    </row>
    <row r="5" spans="2:10" s="138" customFormat="1" x14ac:dyDescent="0.25"/>
    <row r="6" spans="2:10" s="138" customFormat="1" x14ac:dyDescent="0.25">
      <c r="B6" s="139" t="s">
        <v>196</v>
      </c>
      <c r="C6" s="611" t="s">
        <v>602</v>
      </c>
      <c r="D6" s="611"/>
      <c r="E6" s="611"/>
      <c r="F6" s="611"/>
      <c r="G6" s="140"/>
    </row>
    <row r="7" spans="2:10" s="138" customFormat="1" x14ac:dyDescent="0.25">
      <c r="B7" s="141" t="s">
        <v>197</v>
      </c>
      <c r="C7" s="612" t="s">
        <v>1230</v>
      </c>
      <c r="D7" s="612"/>
      <c r="E7" s="612"/>
      <c r="F7" s="612"/>
      <c r="G7" s="142"/>
    </row>
    <row r="8" spans="2:10" s="138" customFormat="1" x14ac:dyDescent="0.25">
      <c r="B8" s="139" t="s">
        <v>199</v>
      </c>
      <c r="C8" s="611" t="s">
        <v>604</v>
      </c>
      <c r="D8" s="611"/>
      <c r="E8" s="611"/>
      <c r="F8" s="611"/>
      <c r="G8" s="140"/>
    </row>
    <row r="9" spans="2:10" s="138" customFormat="1" x14ac:dyDescent="0.25">
      <c r="B9" s="139" t="s">
        <v>201</v>
      </c>
      <c r="C9" s="611" t="s">
        <v>1231</v>
      </c>
      <c r="D9" s="611"/>
      <c r="E9" s="611"/>
      <c r="F9" s="611"/>
      <c r="G9" s="140"/>
    </row>
    <row r="10" spans="2:10" s="138" customFormat="1" x14ac:dyDescent="0.25">
      <c r="B10" s="139" t="s">
        <v>606</v>
      </c>
      <c r="C10" s="611" t="s">
        <v>607</v>
      </c>
      <c r="D10" s="611"/>
      <c r="E10" s="611"/>
      <c r="F10" s="611"/>
      <c r="G10" s="140"/>
    </row>
    <row r="11" spans="2:10" s="138" customFormat="1" x14ac:dyDescent="0.25">
      <c r="B11" s="139" t="s">
        <v>204</v>
      </c>
      <c r="C11" s="611">
        <v>3</v>
      </c>
      <c r="D11" s="611"/>
      <c r="E11" s="611"/>
      <c r="F11" s="611"/>
      <c r="G11" s="140"/>
    </row>
    <row r="12" spans="2:10" s="138" customFormat="1" x14ac:dyDescent="0.25"/>
    <row r="13" spans="2:10" s="138" customFormat="1" x14ac:dyDescent="0.25">
      <c r="B13" s="613" t="s">
        <v>206</v>
      </c>
      <c r="C13" s="613"/>
      <c r="D13" s="613"/>
      <c r="E13" s="613"/>
      <c r="F13" s="613"/>
      <c r="G13" s="143"/>
    </row>
    <row r="14" spans="2:10" s="138" customFormat="1" x14ac:dyDescent="0.25">
      <c r="B14" s="614" t="s">
        <v>207</v>
      </c>
      <c r="C14" s="615"/>
      <c r="D14" s="613" t="s">
        <v>208</v>
      </c>
      <c r="E14" s="613"/>
      <c r="F14" s="613"/>
      <c r="G14" s="143"/>
    </row>
    <row r="15" spans="2:10" s="138" customFormat="1" x14ac:dyDescent="0.25">
      <c r="B15" s="616"/>
      <c r="C15" s="617"/>
      <c r="D15" s="611"/>
      <c r="E15" s="611"/>
      <c r="F15" s="611"/>
      <c r="G15" s="140"/>
    </row>
    <row r="16" spans="2:10" s="138" customFormat="1" x14ac:dyDescent="0.25"/>
    <row r="17" spans="2:7" s="138" customFormat="1" x14ac:dyDescent="0.25">
      <c r="B17" s="144" t="s">
        <v>210</v>
      </c>
      <c r="C17" s="144" t="s">
        <v>211</v>
      </c>
      <c r="D17" s="144" t="s">
        <v>212</v>
      </c>
      <c r="E17" s="144" t="s">
        <v>213</v>
      </c>
      <c r="F17" s="144" t="s">
        <v>214</v>
      </c>
      <c r="G17" s="143"/>
    </row>
    <row r="18" spans="2:7" s="138" customFormat="1" x14ac:dyDescent="0.25">
      <c r="B18" s="145" t="s">
        <v>1232</v>
      </c>
      <c r="C18" s="46">
        <v>21</v>
      </c>
      <c r="D18" s="46">
        <v>2</v>
      </c>
      <c r="E18" s="46">
        <v>2</v>
      </c>
      <c r="F18" s="46" t="s">
        <v>1270</v>
      </c>
      <c r="G18" s="142"/>
    </row>
    <row r="19" spans="2:7" s="138" customFormat="1" x14ac:dyDescent="0.25">
      <c r="B19" s="146"/>
      <c r="C19" s="142"/>
      <c r="D19" s="142"/>
      <c r="E19" s="142"/>
      <c r="F19" s="142"/>
      <c r="G19" s="142"/>
    </row>
    <row r="20" spans="2:7" s="138" customFormat="1" x14ac:dyDescent="0.25">
      <c r="B20" s="608" t="s">
        <v>219</v>
      </c>
      <c r="C20" s="609"/>
      <c r="D20" s="609"/>
      <c r="E20" s="609"/>
      <c r="F20" s="610"/>
      <c r="G20" s="147"/>
    </row>
    <row r="21" spans="2:7" s="138" customFormat="1" x14ac:dyDescent="0.25">
      <c r="B21" s="647" t="s">
        <v>1233</v>
      </c>
      <c r="C21" s="657"/>
      <c r="D21" s="657"/>
      <c r="E21" s="657"/>
      <c r="F21" s="658"/>
      <c r="G21" s="148"/>
    </row>
    <row r="22" spans="2:7" s="138" customFormat="1" x14ac:dyDescent="0.25">
      <c r="B22" s="608" t="s">
        <v>220</v>
      </c>
      <c r="C22" s="609"/>
      <c r="D22" s="609"/>
      <c r="E22" s="609"/>
      <c r="F22" s="610"/>
      <c r="G22" s="147"/>
    </row>
    <row r="23" spans="2:7" s="138" customFormat="1" x14ac:dyDescent="0.25">
      <c r="B23" s="647" t="s">
        <v>1234</v>
      </c>
      <c r="C23" s="622"/>
      <c r="D23" s="622"/>
      <c r="E23" s="622"/>
      <c r="F23" s="623"/>
      <c r="G23" s="149"/>
    </row>
    <row r="24" spans="2:7" s="138" customFormat="1" x14ac:dyDescent="0.25"/>
    <row r="25" spans="2:7" s="138" customFormat="1" x14ac:dyDescent="0.25">
      <c r="B25" s="608" t="s">
        <v>221</v>
      </c>
      <c r="C25" s="609"/>
      <c r="D25" s="609"/>
      <c r="E25" s="609"/>
      <c r="F25" s="610"/>
      <c r="G25" s="147"/>
    </row>
    <row r="26" spans="2:7" s="138" customFormat="1" x14ac:dyDescent="0.25">
      <c r="B26" s="621" t="s">
        <v>1235</v>
      </c>
      <c r="C26" s="657"/>
      <c r="D26" s="657"/>
      <c r="E26" s="657"/>
      <c r="F26" s="658"/>
      <c r="G26" s="148"/>
    </row>
    <row r="27" spans="2:7" s="138" customFormat="1" x14ac:dyDescent="0.25"/>
    <row r="28" spans="2:7" s="138" customFormat="1" x14ac:dyDescent="0.25">
      <c r="B28" s="608" t="s">
        <v>222</v>
      </c>
      <c r="C28" s="609"/>
      <c r="D28" s="609"/>
      <c r="E28" s="609"/>
      <c r="F28" s="610"/>
      <c r="G28" s="143"/>
    </row>
    <row r="29" spans="2:7" s="138" customFormat="1" x14ac:dyDescent="0.25">
      <c r="B29" s="651" t="s">
        <v>1236</v>
      </c>
      <c r="C29" s="652"/>
      <c r="D29" s="652"/>
      <c r="E29" s="652"/>
      <c r="F29" s="653"/>
      <c r="G29" s="150"/>
    </row>
    <row r="30" spans="2:7" s="138" customFormat="1" x14ac:dyDescent="0.25">
      <c r="B30" s="651" t="s">
        <v>1237</v>
      </c>
      <c r="C30" s="652"/>
      <c r="D30" s="652"/>
      <c r="E30" s="652"/>
      <c r="F30" s="653"/>
      <c r="G30" s="150"/>
    </row>
    <row r="31" spans="2:7" s="138" customFormat="1" x14ac:dyDescent="0.25">
      <c r="B31" s="651" t="s">
        <v>1238</v>
      </c>
      <c r="C31" s="652"/>
      <c r="D31" s="652"/>
      <c r="E31" s="652"/>
      <c r="F31" s="653"/>
      <c r="G31" s="150"/>
    </row>
    <row r="32" spans="2:7" s="138" customFormat="1" x14ac:dyDescent="0.25">
      <c r="G32" s="150"/>
    </row>
    <row r="33" spans="2:7" s="138" customFormat="1" x14ac:dyDescent="0.25">
      <c r="B33" s="651"/>
      <c r="C33" s="652"/>
      <c r="D33" s="652"/>
      <c r="E33" s="652"/>
      <c r="F33" s="653"/>
      <c r="G33" s="150"/>
    </row>
    <row r="34" spans="2:7" s="138" customFormat="1" x14ac:dyDescent="0.25">
      <c r="B34" s="651"/>
      <c r="C34" s="652"/>
      <c r="D34" s="652"/>
      <c r="E34" s="652"/>
      <c r="F34" s="653"/>
      <c r="G34" s="150"/>
    </row>
    <row r="35" spans="2:7" s="138" customFormat="1" x14ac:dyDescent="0.25">
      <c r="B35" s="651"/>
      <c r="C35" s="652"/>
      <c r="D35" s="652"/>
      <c r="E35" s="652"/>
      <c r="F35" s="653"/>
      <c r="G35" s="150"/>
    </row>
    <row r="36" spans="2:7" s="138" customFormat="1" x14ac:dyDescent="0.25">
      <c r="B36" s="651"/>
      <c r="C36" s="652"/>
      <c r="D36" s="652"/>
      <c r="E36" s="652"/>
      <c r="F36" s="653"/>
      <c r="G36" s="150"/>
    </row>
    <row r="37" spans="2:7" s="138" customFormat="1" x14ac:dyDescent="0.25">
      <c r="B37" s="654"/>
      <c r="C37" s="655"/>
      <c r="D37" s="655"/>
      <c r="E37" s="655"/>
      <c r="F37" s="656"/>
      <c r="G37" s="149"/>
    </row>
    <row r="38" spans="2:7" s="138" customFormat="1" x14ac:dyDescent="0.25"/>
    <row r="39" spans="2:7" s="138" customFormat="1" x14ac:dyDescent="0.25">
      <c r="B39" s="608" t="s">
        <v>226</v>
      </c>
      <c r="C39" s="609"/>
      <c r="D39" s="609"/>
      <c r="E39" s="609"/>
      <c r="F39" s="610"/>
      <c r="G39" s="147"/>
    </row>
    <row r="40" spans="2:7" s="138" customFormat="1" ht="283.14999999999998" customHeight="1" x14ac:dyDescent="0.25">
      <c r="B40" s="624" t="s">
        <v>1239</v>
      </c>
      <c r="C40" s="625"/>
      <c r="D40" s="625"/>
      <c r="E40" s="625"/>
      <c r="F40" s="626"/>
      <c r="G40" s="149"/>
    </row>
    <row r="41" spans="2:7" s="138" customFormat="1" x14ac:dyDescent="0.25">
      <c r="B41" s="151"/>
      <c r="C41" s="152"/>
      <c r="D41" s="152"/>
      <c r="E41" s="152"/>
      <c r="F41" s="152"/>
      <c r="G41" s="152"/>
    </row>
    <row r="42" spans="2:7" s="138" customFormat="1" x14ac:dyDescent="0.25">
      <c r="B42" s="608" t="s">
        <v>227</v>
      </c>
      <c r="C42" s="609"/>
      <c r="D42" s="609"/>
      <c r="E42" s="609"/>
      <c r="F42" s="610"/>
      <c r="G42" s="147"/>
    </row>
    <row r="43" spans="2:7" s="138" customFormat="1" x14ac:dyDescent="0.25">
      <c r="B43" s="153" t="s">
        <v>609</v>
      </c>
      <c r="C43" s="627"/>
      <c r="D43" s="627"/>
      <c r="E43" s="627"/>
      <c r="F43" s="627"/>
      <c r="G43" s="149"/>
    </row>
    <row r="44" spans="2:7" s="138" customFormat="1" x14ac:dyDescent="0.25">
      <c r="B44" s="153" t="s">
        <v>611</v>
      </c>
      <c r="C44" s="627"/>
      <c r="D44" s="627"/>
      <c r="E44" s="627"/>
      <c r="F44" s="627"/>
      <c r="G44" s="149"/>
    </row>
    <row r="45" spans="2:7" s="138" customFormat="1" x14ac:dyDescent="0.25">
      <c r="B45" s="153" t="s">
        <v>613</v>
      </c>
      <c r="C45" s="621"/>
      <c r="D45" s="622"/>
      <c r="E45" s="622"/>
      <c r="F45" s="623"/>
      <c r="G45" s="149"/>
    </row>
    <row r="46" spans="2:7" s="138" customFormat="1" x14ac:dyDescent="0.25">
      <c r="B46" s="153"/>
      <c r="C46" s="627"/>
      <c r="D46" s="627"/>
      <c r="E46" s="627"/>
      <c r="F46" s="627"/>
      <c r="G46" s="149"/>
    </row>
    <row r="47" spans="2:7" s="138" customFormat="1" x14ac:dyDescent="0.25">
      <c r="B47" s="153"/>
      <c r="C47" s="627"/>
      <c r="D47" s="627"/>
      <c r="E47" s="627"/>
      <c r="F47" s="627"/>
      <c r="G47" s="149"/>
    </row>
    <row r="48" spans="2:7" s="138" customFormat="1" x14ac:dyDescent="0.25"/>
    <row r="49" spans="1:7" s="138" customFormat="1" x14ac:dyDescent="0.25">
      <c r="B49" s="608" t="s">
        <v>232</v>
      </c>
      <c r="C49" s="609"/>
      <c r="D49" s="609"/>
      <c r="E49" s="609"/>
      <c r="F49" s="610"/>
      <c r="G49" s="147"/>
    </row>
    <row r="50" spans="1:7" s="138" customFormat="1" x14ac:dyDescent="0.25">
      <c r="B50" s="621"/>
      <c r="C50" s="622"/>
      <c r="D50" s="622"/>
      <c r="E50" s="622"/>
      <c r="F50" s="623"/>
      <c r="G50" s="152"/>
    </row>
    <row r="51" spans="1:7" s="138" customFormat="1" x14ac:dyDescent="0.25"/>
    <row r="52" spans="1:7" s="138" customFormat="1" x14ac:dyDescent="0.25">
      <c r="B52" s="608" t="s">
        <v>614</v>
      </c>
      <c r="C52" s="609"/>
      <c r="D52" s="609"/>
      <c r="E52" s="609"/>
      <c r="F52" s="610"/>
      <c r="G52" s="147"/>
    </row>
    <row r="53" spans="1:7" s="138" customFormat="1" x14ac:dyDescent="0.25">
      <c r="B53" s="154" t="s">
        <v>615</v>
      </c>
      <c r="C53" s="154" t="s">
        <v>616</v>
      </c>
      <c r="D53" s="608" t="s">
        <v>617</v>
      </c>
      <c r="E53" s="609"/>
      <c r="F53" s="610"/>
      <c r="G53" s="147"/>
    </row>
    <row r="54" spans="1:7" s="138" customFormat="1" x14ac:dyDescent="0.25">
      <c r="A54" s="155"/>
      <c r="B54" s="153"/>
      <c r="C54" s="153"/>
      <c r="D54" s="650"/>
      <c r="E54" s="630"/>
      <c r="F54" s="631"/>
      <c r="G54" s="156"/>
    </row>
    <row r="55" spans="1:7" s="138" customFormat="1" x14ac:dyDescent="0.25">
      <c r="B55" s="157"/>
      <c r="C55" s="157"/>
      <c r="D55" s="629"/>
      <c r="E55" s="630"/>
      <c r="F55" s="631"/>
      <c r="G55" s="156"/>
    </row>
    <row r="56" spans="1:7" s="138" customFormat="1" x14ac:dyDescent="0.25">
      <c r="B56" s="158"/>
      <c r="C56" s="158"/>
      <c r="D56" s="629"/>
      <c r="E56" s="630"/>
      <c r="F56" s="631"/>
      <c r="G56" s="156"/>
    </row>
    <row r="57" spans="1:7" s="138" customFormat="1" x14ac:dyDescent="0.25"/>
    <row r="58" spans="1:7" s="138" customFormat="1" x14ac:dyDescent="0.25">
      <c r="B58" s="608" t="s">
        <v>234</v>
      </c>
      <c r="C58" s="609"/>
      <c r="D58" s="609"/>
      <c r="E58" s="609"/>
      <c r="F58" s="610"/>
      <c r="G58" s="147"/>
    </row>
    <row r="59" spans="1:7" s="138" customFormat="1" x14ac:dyDescent="0.25">
      <c r="B59" s="618"/>
      <c r="C59" s="619"/>
      <c r="D59" s="619"/>
      <c r="E59" s="619"/>
      <c r="F59" s="620"/>
      <c r="G59" s="152"/>
    </row>
    <row r="60" spans="1:7" s="138" customFormat="1" x14ac:dyDescent="0.25"/>
    <row r="61" spans="1:7" s="138" customFormat="1" x14ac:dyDescent="0.25">
      <c r="B61" s="608" t="s">
        <v>235</v>
      </c>
      <c r="C61" s="609"/>
      <c r="D61" s="609"/>
      <c r="E61" s="609"/>
      <c r="F61" s="610"/>
      <c r="G61" s="147"/>
    </row>
    <row r="62" spans="1:7" x14ac:dyDescent="0.25">
      <c r="B62" s="618"/>
      <c r="C62" s="619"/>
      <c r="D62" s="619"/>
      <c r="E62" s="619"/>
      <c r="F62" s="620"/>
      <c r="G62" s="152"/>
    </row>
  </sheetData>
  <mergeCells count="47">
    <mergeCell ref="B1:D1"/>
    <mergeCell ref="C10:F10"/>
    <mergeCell ref="B2:I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B49:F49"/>
    <mergeCell ref="B35:F35"/>
    <mergeCell ref="B36:F36"/>
    <mergeCell ref="B37:F37"/>
    <mergeCell ref="B39:F39"/>
    <mergeCell ref="B40:F40"/>
    <mergeCell ref="B42:F42"/>
    <mergeCell ref="C43:F43"/>
    <mergeCell ref="C44:F44"/>
    <mergeCell ref="C45:F45"/>
    <mergeCell ref="C46:F46"/>
    <mergeCell ref="C47:F47"/>
    <mergeCell ref="B58:F58"/>
    <mergeCell ref="B59:F59"/>
    <mergeCell ref="B61:F61"/>
    <mergeCell ref="B62:F62"/>
    <mergeCell ref="B50:F50"/>
    <mergeCell ref="B52:F52"/>
    <mergeCell ref="D53:F53"/>
    <mergeCell ref="D54:F54"/>
    <mergeCell ref="D55:F55"/>
    <mergeCell ref="D56:F56"/>
  </mergeCells>
  <dataValidations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s>
  <hyperlinks>
    <hyperlink ref="B1:D1" location="'Schéma d''enseignement'!G14" display="Shéma d'enseignement"/>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C000"/>
  </sheetPr>
  <dimension ref="D7:E22"/>
  <sheetViews>
    <sheetView topLeftCell="A3" zoomScale="115" zoomScaleNormal="115" workbookViewId="0">
      <selection activeCell="E19" sqref="E19"/>
    </sheetView>
  </sheetViews>
  <sheetFormatPr baseColWidth="10" defaultColWidth="8.7109375" defaultRowHeight="15" x14ac:dyDescent="0.25"/>
  <cols>
    <col min="1" max="3" width="8.7109375" style="1"/>
    <col min="4" max="4" width="32.28515625" style="1" customWidth="1"/>
    <col min="5" max="5" width="50.28515625" style="1" customWidth="1"/>
    <col min="6" max="16384" width="8.7109375" style="1"/>
  </cols>
  <sheetData>
    <row r="7" spans="4:5" x14ac:dyDescent="0.25">
      <c r="D7" s="354" t="s">
        <v>125</v>
      </c>
      <c r="E7" s="354"/>
    </row>
    <row r="8" spans="4:5" x14ac:dyDescent="0.25">
      <c r="D8" s="72" t="s">
        <v>236</v>
      </c>
      <c r="E8" s="72" t="s">
        <v>64</v>
      </c>
    </row>
    <row r="9" spans="4:5" x14ac:dyDescent="0.25">
      <c r="D9" s="668" t="s">
        <v>84</v>
      </c>
      <c r="E9" s="31" t="s">
        <v>83</v>
      </c>
    </row>
    <row r="10" spans="4:5" x14ac:dyDescent="0.25">
      <c r="D10" s="668"/>
      <c r="E10" s="31" t="s">
        <v>85</v>
      </c>
    </row>
    <row r="11" spans="4:5" x14ac:dyDescent="0.25">
      <c r="D11" s="668"/>
      <c r="E11" s="31" t="s">
        <v>86</v>
      </c>
    </row>
    <row r="12" spans="4:5" x14ac:dyDescent="0.25">
      <c r="D12" s="668" t="s">
        <v>194</v>
      </c>
      <c r="E12" s="31" t="s">
        <v>87</v>
      </c>
    </row>
    <row r="13" spans="4:5" x14ac:dyDescent="0.25">
      <c r="D13" s="668"/>
      <c r="E13" s="31" t="s">
        <v>88</v>
      </c>
    </row>
    <row r="14" spans="4:5" x14ac:dyDescent="0.25">
      <c r="D14" s="668" t="s">
        <v>90</v>
      </c>
      <c r="E14" s="31" t="s">
        <v>89</v>
      </c>
    </row>
    <row r="15" spans="4:5" x14ac:dyDescent="0.25">
      <c r="D15" s="668"/>
      <c r="E15" s="31" t="s">
        <v>91</v>
      </c>
    </row>
    <row r="16" spans="4:5" x14ac:dyDescent="0.25">
      <c r="D16" s="668"/>
      <c r="E16" s="31" t="s">
        <v>92</v>
      </c>
    </row>
    <row r="17" spans="4:5" x14ac:dyDescent="0.25">
      <c r="D17" s="668" t="s">
        <v>94</v>
      </c>
      <c r="E17" s="31" t="s">
        <v>93</v>
      </c>
    </row>
    <row r="18" spans="4:5" x14ac:dyDescent="0.25">
      <c r="D18" s="668"/>
      <c r="E18" s="31" t="s">
        <v>95</v>
      </c>
    </row>
    <row r="19" spans="4:5" x14ac:dyDescent="0.25">
      <c r="D19" s="664" t="s">
        <v>97</v>
      </c>
      <c r="E19" s="238" t="s">
        <v>1226</v>
      </c>
    </row>
    <row r="20" spans="4:5" x14ac:dyDescent="0.25">
      <c r="D20" s="665"/>
      <c r="E20" s="238" t="s">
        <v>160</v>
      </c>
    </row>
    <row r="21" spans="4:5" x14ac:dyDescent="0.25">
      <c r="D21" s="666" t="s">
        <v>80</v>
      </c>
      <c r="E21" s="34" t="s">
        <v>1164</v>
      </c>
    </row>
    <row r="22" spans="4:5" x14ac:dyDescent="0.25">
      <c r="D22" s="667"/>
      <c r="E22" s="34" t="s">
        <v>1164</v>
      </c>
    </row>
  </sheetData>
  <mergeCells count="7">
    <mergeCell ref="D7:E7"/>
    <mergeCell ref="D19:D20"/>
    <mergeCell ref="D21:D22"/>
    <mergeCell ref="D9:D11"/>
    <mergeCell ref="D12:D13"/>
    <mergeCell ref="D14:D16"/>
    <mergeCell ref="D17:D18"/>
  </mergeCells>
  <conditionalFormatting sqref="D21">
    <cfRule type="colorScale" priority="2">
      <colorScale>
        <cfvo type="num" val="0"/>
        <cfvo type="num" val="0"/>
        <color rgb="FFFF0000"/>
        <color rgb="FF00B050"/>
      </colorScale>
    </cfRule>
  </conditionalFormatting>
  <conditionalFormatting sqref="E21:E22">
    <cfRule type="colorScale" priority="1">
      <colorScale>
        <cfvo type="num" val="0"/>
        <cfvo type="num" val="0"/>
        <color rgb="FFFF0000"/>
        <color rgb="FF00B050"/>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5"/>
  </sheetPr>
  <dimension ref="B1:J62"/>
  <sheetViews>
    <sheetView zoomScaleNormal="100" workbookViewId="0">
      <selection activeCell="B1" sqref="B1:D1"/>
    </sheetView>
  </sheetViews>
  <sheetFormatPr baseColWidth="10" defaultColWidth="8.7109375" defaultRowHeight="15" x14ac:dyDescent="0.25"/>
  <cols>
    <col min="1" max="1" width="3.140625" style="76" customWidth="1"/>
    <col min="2" max="2" width="8.7109375" style="76"/>
    <col min="3" max="3" width="11.7109375" style="76" customWidth="1"/>
    <col min="4" max="9" width="6.28515625" style="76" customWidth="1"/>
    <col min="10" max="10" width="19.7109375" style="76" customWidth="1"/>
    <col min="11" max="16384" width="8.7109375" style="76"/>
  </cols>
  <sheetData>
    <row r="1" spans="2:10" x14ac:dyDescent="0.25">
      <c r="B1" s="628" t="s">
        <v>1267</v>
      </c>
      <c r="C1" s="628"/>
      <c r="D1" s="628"/>
    </row>
    <row r="2" spans="2:10" ht="15.75" x14ac:dyDescent="0.25">
      <c r="B2" s="692"/>
      <c r="C2" s="692"/>
      <c r="D2" s="692"/>
      <c r="E2" s="692"/>
      <c r="F2" s="692"/>
      <c r="G2" s="693"/>
      <c r="H2" s="693"/>
      <c r="I2" s="693"/>
      <c r="J2" s="693"/>
    </row>
    <row r="3" spans="2:10" ht="15.75" x14ac:dyDescent="0.25">
      <c r="B3" s="694" t="s">
        <v>195</v>
      </c>
      <c r="C3" s="694"/>
      <c r="D3" s="694"/>
      <c r="E3" s="694"/>
      <c r="F3" s="694"/>
      <c r="G3" s="694"/>
      <c r="H3" s="694"/>
      <c r="I3" s="694"/>
      <c r="J3" s="694"/>
    </row>
    <row r="4" spans="2:10" ht="16.5" thickBot="1" x14ac:dyDescent="0.3">
      <c r="B4" s="475"/>
      <c r="C4" s="475"/>
      <c r="D4" s="476"/>
      <c r="E4" s="476"/>
      <c r="F4" s="476"/>
      <c r="G4" s="537"/>
      <c r="H4" s="537"/>
      <c r="I4" s="537"/>
      <c r="J4" s="537"/>
    </row>
    <row r="5" spans="2:10" ht="16.5" thickBot="1" x14ac:dyDescent="0.3">
      <c r="B5" s="366" t="s">
        <v>196</v>
      </c>
      <c r="C5" s="464"/>
      <c r="D5" s="686" t="s">
        <v>304</v>
      </c>
      <c r="E5" s="687"/>
      <c r="F5" s="687"/>
      <c r="G5" s="687"/>
      <c r="H5" s="687"/>
      <c r="I5" s="687"/>
      <c r="J5" s="688"/>
    </row>
    <row r="6" spans="2:10" ht="31.15" customHeight="1" thickBot="1" x14ac:dyDescent="0.3">
      <c r="B6" s="424" t="s">
        <v>197</v>
      </c>
      <c r="C6" s="474"/>
      <c r="D6" s="686" t="s">
        <v>305</v>
      </c>
      <c r="E6" s="687"/>
      <c r="F6" s="687"/>
      <c r="G6" s="687"/>
      <c r="H6" s="687"/>
      <c r="I6" s="687"/>
      <c r="J6" s="688"/>
    </row>
    <row r="7" spans="2:10" ht="16.5" thickBot="1" x14ac:dyDescent="0.3">
      <c r="B7" s="366" t="s">
        <v>199</v>
      </c>
      <c r="C7" s="464"/>
      <c r="D7" s="686" t="s">
        <v>306</v>
      </c>
      <c r="E7" s="687"/>
      <c r="F7" s="687"/>
      <c r="G7" s="687"/>
      <c r="H7" s="687"/>
      <c r="I7" s="687"/>
      <c r="J7" s="688"/>
    </row>
    <row r="8" spans="2:10" ht="16.5" thickBot="1" x14ac:dyDescent="0.3">
      <c r="B8" s="366" t="s">
        <v>201</v>
      </c>
      <c r="C8" s="464"/>
      <c r="D8" s="686" t="s">
        <v>307</v>
      </c>
      <c r="E8" s="687"/>
      <c r="F8" s="687"/>
      <c r="G8" s="687"/>
      <c r="H8" s="687"/>
      <c r="I8" s="687"/>
      <c r="J8" s="688"/>
    </row>
    <row r="9" spans="2:10" ht="16.5" thickBot="1" x14ac:dyDescent="0.3">
      <c r="B9" s="366" t="s">
        <v>203</v>
      </c>
      <c r="C9" s="464"/>
      <c r="D9" s="465" t="s">
        <v>84</v>
      </c>
      <c r="E9" s="466"/>
      <c r="F9" s="466"/>
      <c r="G9" s="466"/>
      <c r="H9" s="466"/>
      <c r="I9" s="466"/>
      <c r="J9" s="467"/>
    </row>
    <row r="10" spans="2:10" ht="16.5" thickBot="1" x14ac:dyDescent="0.3">
      <c r="B10" s="366" t="s">
        <v>204</v>
      </c>
      <c r="C10" s="464"/>
      <c r="D10" s="689" t="s">
        <v>308</v>
      </c>
      <c r="E10" s="690"/>
      <c r="F10" s="690"/>
      <c r="G10" s="690"/>
      <c r="H10" s="690"/>
      <c r="I10" s="690"/>
      <c r="J10" s="691"/>
    </row>
    <row r="11" spans="2:10" ht="16.5" thickBot="1" x14ac:dyDescent="0.3">
      <c r="B11" s="471" t="s">
        <v>206</v>
      </c>
      <c r="C11" s="472"/>
      <c r="D11" s="472"/>
      <c r="E11" s="472"/>
      <c r="F11" s="472"/>
      <c r="G11" s="472"/>
      <c r="H11" s="472"/>
      <c r="I11" s="472"/>
      <c r="J11" s="473"/>
    </row>
    <row r="12" spans="2:10" ht="16.5" thickBot="1" x14ac:dyDescent="0.3">
      <c r="B12" s="404" t="s">
        <v>207</v>
      </c>
      <c r="C12" s="405"/>
      <c r="D12" s="405"/>
      <c r="E12" s="406"/>
      <c r="F12" s="404" t="s">
        <v>208</v>
      </c>
      <c r="G12" s="405"/>
      <c r="H12" s="405"/>
      <c r="I12" s="405"/>
      <c r="J12" s="406"/>
    </row>
    <row r="13" spans="2:10" ht="16.5" thickBot="1" x14ac:dyDescent="0.3">
      <c r="B13" s="407" t="s">
        <v>209</v>
      </c>
      <c r="C13" s="408"/>
      <c r="D13" s="408"/>
      <c r="E13" s="409"/>
      <c r="F13" s="407"/>
      <c r="G13" s="408"/>
      <c r="H13" s="408"/>
      <c r="I13" s="408"/>
      <c r="J13" s="409"/>
    </row>
    <row r="14" spans="2:10" ht="16.5" thickBot="1" x14ac:dyDescent="0.3">
      <c r="B14" s="404" t="s">
        <v>210</v>
      </c>
      <c r="C14" s="406"/>
      <c r="D14" s="404" t="s">
        <v>211</v>
      </c>
      <c r="E14" s="405"/>
      <c r="F14" s="406"/>
      <c r="G14" s="404" t="s">
        <v>212</v>
      </c>
      <c r="H14" s="406"/>
      <c r="I14" s="70" t="s">
        <v>213</v>
      </c>
      <c r="J14" s="70" t="s">
        <v>214</v>
      </c>
    </row>
    <row r="15" spans="2:10" ht="16.5" thickBot="1" x14ac:dyDescent="0.3">
      <c r="B15" s="681" t="s">
        <v>83</v>
      </c>
      <c r="C15" s="682"/>
      <c r="D15" s="410" t="s">
        <v>260</v>
      </c>
      <c r="E15" s="411"/>
      <c r="F15" s="412"/>
      <c r="G15" s="410" t="s">
        <v>246</v>
      </c>
      <c r="H15" s="412"/>
      <c r="I15" s="120">
        <v>2</v>
      </c>
      <c r="J15" s="120" t="s">
        <v>218</v>
      </c>
    </row>
    <row r="16" spans="2:10" ht="16.5" thickBot="1" x14ac:dyDescent="0.3">
      <c r="B16" s="366" t="s">
        <v>219</v>
      </c>
      <c r="C16" s="367"/>
      <c r="D16" s="367"/>
      <c r="E16" s="367"/>
      <c r="F16" s="367"/>
      <c r="G16" s="367"/>
      <c r="H16" s="367"/>
      <c r="I16" s="367"/>
      <c r="J16" s="368"/>
    </row>
    <row r="17" spans="2:10" ht="44.65" customHeight="1" thickBot="1" x14ac:dyDescent="0.3">
      <c r="B17" s="398" t="s">
        <v>734</v>
      </c>
      <c r="C17" s="399"/>
      <c r="D17" s="399"/>
      <c r="E17" s="399"/>
      <c r="F17" s="399"/>
      <c r="G17" s="399"/>
      <c r="H17" s="399"/>
      <c r="I17" s="399"/>
      <c r="J17" s="400"/>
    </row>
    <row r="18" spans="2:10" ht="16.5" thickBot="1" x14ac:dyDescent="0.3">
      <c r="B18" s="366" t="s">
        <v>220</v>
      </c>
      <c r="C18" s="367"/>
      <c r="D18" s="367"/>
      <c r="E18" s="367"/>
      <c r="F18" s="367"/>
      <c r="G18" s="367"/>
      <c r="H18" s="367"/>
      <c r="I18" s="367"/>
      <c r="J18" s="368"/>
    </row>
    <row r="19" spans="2:10" ht="14.65" customHeight="1" x14ac:dyDescent="0.25">
      <c r="B19" s="430" t="s">
        <v>735</v>
      </c>
      <c r="C19" s="431"/>
      <c r="D19" s="431"/>
      <c r="E19" s="431"/>
      <c r="F19" s="431"/>
      <c r="G19" s="431"/>
      <c r="H19" s="431"/>
      <c r="I19" s="431"/>
      <c r="J19" s="432"/>
    </row>
    <row r="20" spans="2:10" ht="14.65" customHeight="1" x14ac:dyDescent="0.25">
      <c r="B20" s="433" t="s">
        <v>736</v>
      </c>
      <c r="C20" s="434"/>
      <c r="D20" s="434"/>
      <c r="E20" s="434"/>
      <c r="F20" s="434"/>
      <c r="G20" s="434"/>
      <c r="H20" s="434"/>
      <c r="I20" s="434"/>
      <c r="J20" s="435"/>
    </row>
    <row r="21" spans="2:10" ht="28.9" customHeight="1" x14ac:dyDescent="0.25">
      <c r="B21" s="433" t="s">
        <v>737</v>
      </c>
      <c r="C21" s="434"/>
      <c r="D21" s="434"/>
      <c r="E21" s="434"/>
      <c r="F21" s="434"/>
      <c r="G21" s="434"/>
      <c r="H21" s="434"/>
      <c r="I21" s="434"/>
      <c r="J21" s="435"/>
    </row>
    <row r="22" spans="2:10" ht="14.65" customHeight="1" x14ac:dyDescent="0.25">
      <c r="B22" s="433" t="s">
        <v>738</v>
      </c>
      <c r="C22" s="434"/>
      <c r="D22" s="434"/>
      <c r="E22" s="434"/>
      <c r="F22" s="434"/>
      <c r="G22" s="434"/>
      <c r="H22" s="434"/>
      <c r="I22" s="434"/>
      <c r="J22" s="435"/>
    </row>
    <row r="23" spans="2:10" ht="30" customHeight="1" thickBot="1" x14ac:dyDescent="0.3">
      <c r="B23" s="683" t="s">
        <v>739</v>
      </c>
      <c r="C23" s="684"/>
      <c r="D23" s="684"/>
      <c r="E23" s="684"/>
      <c r="F23" s="684"/>
      <c r="G23" s="684"/>
      <c r="H23" s="684"/>
      <c r="I23" s="684"/>
      <c r="J23" s="685"/>
    </row>
    <row r="24" spans="2:10" ht="16.5" thickBot="1" x14ac:dyDescent="0.3">
      <c r="B24" s="366" t="s">
        <v>221</v>
      </c>
      <c r="C24" s="367"/>
      <c r="D24" s="367"/>
      <c r="E24" s="367"/>
      <c r="F24" s="367"/>
      <c r="G24" s="367"/>
      <c r="H24" s="367"/>
      <c r="I24" s="367"/>
      <c r="J24" s="368"/>
    </row>
    <row r="25" spans="2:10" ht="16.5" thickBot="1" x14ac:dyDescent="0.3">
      <c r="B25" s="363" t="s">
        <v>740</v>
      </c>
      <c r="C25" s="364"/>
      <c r="D25" s="364"/>
      <c r="E25" s="364"/>
      <c r="F25" s="364"/>
      <c r="G25" s="364"/>
      <c r="H25" s="364"/>
      <c r="I25" s="364"/>
      <c r="J25" s="445"/>
    </row>
    <row r="26" spans="2:10" ht="16.5" thickBot="1" x14ac:dyDescent="0.3">
      <c r="B26" s="366" t="s">
        <v>222</v>
      </c>
      <c r="C26" s="367"/>
      <c r="D26" s="367"/>
      <c r="E26" s="367"/>
      <c r="F26" s="367"/>
      <c r="G26" s="367"/>
      <c r="H26" s="367"/>
      <c r="I26" s="367"/>
      <c r="J26" s="368"/>
    </row>
    <row r="27" spans="2:10" ht="15.75" thickBot="1" x14ac:dyDescent="0.3">
      <c r="B27" s="387" t="s">
        <v>240</v>
      </c>
      <c r="C27" s="388"/>
      <c r="D27" s="388"/>
      <c r="E27" s="388"/>
      <c r="F27" s="388"/>
      <c r="G27" s="388"/>
      <c r="H27" s="388"/>
      <c r="I27" s="388"/>
      <c r="J27" s="389"/>
    </row>
    <row r="28" spans="2:10" ht="15.75" thickBot="1" x14ac:dyDescent="0.3">
      <c r="B28" s="387" t="s">
        <v>241</v>
      </c>
      <c r="C28" s="388"/>
      <c r="D28" s="388"/>
      <c r="E28" s="388"/>
      <c r="F28" s="388"/>
      <c r="G28" s="388"/>
      <c r="H28" s="388"/>
      <c r="I28" s="388"/>
      <c r="J28" s="389"/>
    </row>
    <row r="29" spans="2:10" ht="15.75" thickBot="1" x14ac:dyDescent="0.3">
      <c r="B29" s="387" t="s">
        <v>27</v>
      </c>
      <c r="C29" s="388"/>
      <c r="D29" s="388"/>
      <c r="E29" s="388"/>
      <c r="F29" s="388"/>
      <c r="G29" s="388"/>
      <c r="H29" s="388"/>
      <c r="I29" s="388"/>
      <c r="J29" s="389"/>
    </row>
    <row r="30" spans="2:10" ht="15.75" thickBot="1" x14ac:dyDescent="0.3">
      <c r="B30" s="387" t="s">
        <v>34</v>
      </c>
      <c r="C30" s="388"/>
      <c r="D30" s="388"/>
      <c r="E30" s="388"/>
      <c r="F30" s="388"/>
      <c r="G30" s="388"/>
      <c r="H30" s="388"/>
      <c r="I30" s="388"/>
      <c r="J30" s="389"/>
    </row>
    <row r="31" spans="2:10" ht="16.5" thickBot="1" x14ac:dyDescent="0.3">
      <c r="B31" s="366" t="s">
        <v>226</v>
      </c>
      <c r="C31" s="367"/>
      <c r="D31" s="367"/>
      <c r="E31" s="367"/>
      <c r="F31" s="367"/>
      <c r="G31" s="367"/>
      <c r="H31" s="367"/>
      <c r="I31" s="367"/>
      <c r="J31" s="368"/>
    </row>
    <row r="32" spans="2:10" ht="28.9" customHeight="1" x14ac:dyDescent="0.25">
      <c r="B32" s="430" t="s">
        <v>741</v>
      </c>
      <c r="C32" s="431"/>
      <c r="D32" s="431"/>
      <c r="E32" s="431"/>
      <c r="F32" s="431"/>
      <c r="G32" s="431"/>
      <c r="H32" s="431"/>
      <c r="I32" s="431"/>
      <c r="J32" s="432"/>
    </row>
    <row r="33" spans="2:10" ht="14.65" customHeight="1" x14ac:dyDescent="0.25">
      <c r="B33" s="433" t="s">
        <v>742</v>
      </c>
      <c r="C33" s="434"/>
      <c r="D33" s="434"/>
      <c r="E33" s="434"/>
      <c r="F33" s="434"/>
      <c r="G33" s="434"/>
      <c r="H33" s="434"/>
      <c r="I33" s="434"/>
      <c r="J33" s="435"/>
    </row>
    <row r="34" spans="2:10" ht="43.5" customHeight="1" x14ac:dyDescent="0.25">
      <c r="B34" s="433" t="s">
        <v>743</v>
      </c>
      <c r="C34" s="434"/>
      <c r="D34" s="434"/>
      <c r="E34" s="434"/>
      <c r="F34" s="434"/>
      <c r="G34" s="434"/>
      <c r="H34" s="434"/>
      <c r="I34" s="434"/>
      <c r="J34" s="435"/>
    </row>
    <row r="35" spans="2:10" ht="28.9" customHeight="1" x14ac:dyDescent="0.25">
      <c r="B35" s="433" t="s">
        <v>744</v>
      </c>
      <c r="C35" s="434"/>
      <c r="D35" s="434"/>
      <c r="E35" s="434"/>
      <c r="F35" s="434"/>
      <c r="G35" s="434"/>
      <c r="H35" s="434"/>
      <c r="I35" s="434"/>
      <c r="J35" s="435"/>
    </row>
    <row r="36" spans="2:10" ht="14.65" customHeight="1" x14ac:dyDescent="0.25">
      <c r="B36" s="433" t="s">
        <v>745</v>
      </c>
      <c r="C36" s="434"/>
      <c r="D36" s="434"/>
      <c r="E36" s="434"/>
      <c r="F36" s="434"/>
      <c r="G36" s="434"/>
      <c r="H36" s="434"/>
      <c r="I36" s="434"/>
      <c r="J36" s="435"/>
    </row>
    <row r="37" spans="2:10" ht="14.65" customHeight="1" x14ac:dyDescent="0.25">
      <c r="B37" s="433" t="s">
        <v>746</v>
      </c>
      <c r="C37" s="434"/>
      <c r="D37" s="434"/>
      <c r="E37" s="434"/>
      <c r="F37" s="434"/>
      <c r="G37" s="434"/>
      <c r="H37" s="434"/>
      <c r="I37" s="434"/>
      <c r="J37" s="435"/>
    </row>
    <row r="38" spans="2:10" ht="14.65" customHeight="1" x14ac:dyDescent="0.25">
      <c r="B38" s="433" t="s">
        <v>747</v>
      </c>
      <c r="C38" s="434"/>
      <c r="D38" s="434"/>
      <c r="E38" s="434"/>
      <c r="F38" s="434"/>
      <c r="G38" s="434"/>
      <c r="H38" s="434"/>
      <c r="I38" s="434"/>
      <c r="J38" s="435"/>
    </row>
    <row r="39" spans="2:10" ht="28.9" customHeight="1" x14ac:dyDescent="0.25">
      <c r="B39" s="433" t="s">
        <v>748</v>
      </c>
      <c r="C39" s="434"/>
      <c r="D39" s="434"/>
      <c r="E39" s="434"/>
      <c r="F39" s="434"/>
      <c r="G39" s="434"/>
      <c r="H39" s="434"/>
      <c r="I39" s="434"/>
      <c r="J39" s="435"/>
    </row>
    <row r="40" spans="2:10" ht="14.65" customHeight="1" x14ac:dyDescent="0.25">
      <c r="B40" s="433" t="s">
        <v>749</v>
      </c>
      <c r="C40" s="434"/>
      <c r="D40" s="434"/>
      <c r="E40" s="434"/>
      <c r="F40" s="434"/>
      <c r="G40" s="434"/>
      <c r="H40" s="434"/>
      <c r="I40" s="434"/>
      <c r="J40" s="435"/>
    </row>
    <row r="41" spans="2:10" ht="28.9" customHeight="1" thickBot="1" x14ac:dyDescent="0.3">
      <c r="B41" s="427" t="s">
        <v>750</v>
      </c>
      <c r="C41" s="428"/>
      <c r="D41" s="428"/>
      <c r="E41" s="428"/>
      <c r="F41" s="428"/>
      <c r="G41" s="428"/>
      <c r="H41" s="428"/>
      <c r="I41" s="428"/>
      <c r="J41" s="429"/>
    </row>
    <row r="42" spans="2:10" ht="16.5" thickBot="1" x14ac:dyDescent="0.3">
      <c r="B42" s="366" t="s">
        <v>227</v>
      </c>
      <c r="C42" s="367"/>
      <c r="D42" s="367"/>
      <c r="E42" s="367"/>
      <c r="F42" s="367"/>
      <c r="G42" s="367"/>
      <c r="H42" s="367"/>
      <c r="I42" s="367"/>
      <c r="J42" s="368"/>
    </row>
    <row r="43" spans="2:10" ht="16.5" thickBot="1" x14ac:dyDescent="0.3">
      <c r="B43" s="363" t="s">
        <v>245</v>
      </c>
      <c r="C43" s="365"/>
      <c r="D43" s="363" t="s">
        <v>231</v>
      </c>
      <c r="E43" s="364"/>
      <c r="F43" s="364"/>
      <c r="G43" s="364"/>
      <c r="H43" s="364"/>
      <c r="I43" s="364"/>
      <c r="J43" s="365"/>
    </row>
    <row r="44" spans="2:10" ht="16.5" thickBot="1" x14ac:dyDescent="0.3">
      <c r="B44" s="363" t="s">
        <v>247</v>
      </c>
      <c r="C44" s="365"/>
      <c r="D44" s="363" t="s">
        <v>231</v>
      </c>
      <c r="E44" s="364"/>
      <c r="F44" s="364"/>
      <c r="G44" s="364"/>
      <c r="H44" s="364"/>
      <c r="I44" s="364"/>
      <c r="J44" s="365"/>
    </row>
    <row r="45" spans="2:10" ht="16.5" thickBot="1" x14ac:dyDescent="0.3">
      <c r="B45" s="363" t="s">
        <v>309</v>
      </c>
      <c r="C45" s="365"/>
      <c r="D45" s="363"/>
      <c r="E45" s="364"/>
      <c r="F45" s="364"/>
      <c r="G45" s="364"/>
      <c r="H45" s="364"/>
      <c r="I45" s="364"/>
      <c r="J45" s="445"/>
    </row>
    <row r="46" spans="2:10" ht="16.5" thickBot="1" x14ac:dyDescent="0.3">
      <c r="B46" s="363" t="s">
        <v>249</v>
      </c>
      <c r="C46" s="365"/>
      <c r="D46" s="363" t="s">
        <v>231</v>
      </c>
      <c r="E46" s="364"/>
      <c r="F46" s="364"/>
      <c r="G46" s="364"/>
      <c r="H46" s="364"/>
      <c r="I46" s="364"/>
      <c r="J46" s="365"/>
    </row>
    <row r="47" spans="2:10" ht="16.5" thickBot="1" x14ac:dyDescent="0.3">
      <c r="B47" s="366" t="s">
        <v>232</v>
      </c>
      <c r="C47" s="367"/>
      <c r="D47" s="367"/>
      <c r="E47" s="367"/>
      <c r="F47" s="367"/>
      <c r="G47" s="367"/>
      <c r="H47" s="367"/>
      <c r="I47" s="367"/>
      <c r="J47" s="368"/>
    </row>
    <row r="48" spans="2:10" ht="16.5" thickBot="1" x14ac:dyDescent="0.3">
      <c r="B48" s="398" t="s">
        <v>751</v>
      </c>
      <c r="C48" s="399"/>
      <c r="D48" s="399"/>
      <c r="E48" s="399"/>
      <c r="F48" s="399"/>
      <c r="G48" s="399"/>
      <c r="H48" s="399"/>
      <c r="I48" s="399"/>
      <c r="J48" s="400"/>
    </row>
    <row r="49" spans="2:10" ht="16.5" thickBot="1" x14ac:dyDescent="0.3">
      <c r="B49" s="188" t="s">
        <v>492</v>
      </c>
      <c r="C49" s="189"/>
      <c r="D49" s="189"/>
      <c r="E49" s="189"/>
      <c r="F49" s="189"/>
      <c r="G49" s="189"/>
      <c r="H49" s="189"/>
      <c r="I49" s="189"/>
      <c r="J49" s="190"/>
    </row>
    <row r="50" spans="2:10" ht="16.5" thickBot="1" x14ac:dyDescent="0.3">
      <c r="B50" s="188" t="s">
        <v>493</v>
      </c>
      <c r="C50" s="189"/>
      <c r="D50" s="189"/>
      <c r="E50" s="189"/>
      <c r="F50" s="189"/>
      <c r="G50" s="189"/>
      <c r="H50" s="189"/>
      <c r="I50" s="189"/>
      <c r="J50" s="190"/>
    </row>
    <row r="51" spans="2:10" ht="16.5" thickBot="1" x14ac:dyDescent="0.3">
      <c r="B51" s="678" t="s">
        <v>234</v>
      </c>
      <c r="C51" s="679"/>
      <c r="D51" s="679"/>
      <c r="E51" s="679"/>
      <c r="F51" s="679"/>
      <c r="G51" s="679"/>
      <c r="H51" s="679"/>
      <c r="I51" s="679"/>
      <c r="J51" s="680"/>
    </row>
    <row r="52" spans="2:10" ht="29.65" customHeight="1" x14ac:dyDescent="0.25">
      <c r="B52" s="430" t="s">
        <v>728</v>
      </c>
      <c r="C52" s="431"/>
      <c r="D52" s="431"/>
      <c r="E52" s="431"/>
      <c r="F52" s="431"/>
      <c r="G52" s="431"/>
      <c r="H52" s="431"/>
      <c r="I52" s="431"/>
      <c r="J52" s="432"/>
    </row>
    <row r="53" spans="2:10" ht="42.4" customHeight="1" x14ac:dyDescent="0.25">
      <c r="B53" s="433" t="s">
        <v>729</v>
      </c>
      <c r="C53" s="434"/>
      <c r="D53" s="434"/>
      <c r="E53" s="434"/>
      <c r="F53" s="434"/>
      <c r="G53" s="434"/>
      <c r="H53" s="434"/>
      <c r="I53" s="434"/>
      <c r="J53" s="435"/>
    </row>
    <row r="54" spans="2:10" ht="28.5" customHeight="1" x14ac:dyDescent="0.25">
      <c r="B54" s="433" t="s">
        <v>730</v>
      </c>
      <c r="C54" s="434"/>
      <c r="D54" s="434"/>
      <c r="E54" s="434"/>
      <c r="F54" s="434"/>
      <c r="G54" s="434"/>
      <c r="H54" s="434"/>
      <c r="I54" s="434"/>
      <c r="J54" s="435"/>
    </row>
    <row r="55" spans="2:10" ht="31.15" customHeight="1" x14ac:dyDescent="0.25">
      <c r="B55" s="672" t="s">
        <v>731</v>
      </c>
      <c r="C55" s="673"/>
      <c r="D55" s="673"/>
      <c r="E55" s="673"/>
      <c r="F55" s="673"/>
      <c r="G55" s="673"/>
      <c r="H55" s="673"/>
      <c r="I55" s="673"/>
      <c r="J55" s="674"/>
    </row>
    <row r="56" spans="2:10" ht="17.25" x14ac:dyDescent="0.25">
      <c r="B56" s="675"/>
      <c r="C56" s="676"/>
      <c r="D56" s="676"/>
      <c r="E56" s="676"/>
      <c r="F56" s="676"/>
      <c r="G56" s="676"/>
      <c r="H56" s="676"/>
      <c r="I56" s="676"/>
      <c r="J56" s="677"/>
    </row>
    <row r="57" spans="2:10" ht="16.5" customHeight="1" x14ac:dyDescent="0.25">
      <c r="B57" s="675" t="s">
        <v>310</v>
      </c>
      <c r="C57" s="676"/>
      <c r="D57" s="676"/>
      <c r="E57" s="676"/>
      <c r="F57" s="676"/>
      <c r="G57" s="676"/>
      <c r="H57" s="676"/>
      <c r="I57" s="676"/>
      <c r="J57" s="677"/>
    </row>
    <row r="58" spans="2:10" ht="28.5" customHeight="1" x14ac:dyDescent="0.25">
      <c r="B58" s="433" t="s">
        <v>732</v>
      </c>
      <c r="C58" s="434"/>
      <c r="D58" s="434"/>
      <c r="E58" s="434"/>
      <c r="F58" s="434"/>
      <c r="G58" s="434"/>
      <c r="H58" s="434"/>
      <c r="I58" s="434"/>
      <c r="J58" s="435"/>
    </row>
    <row r="59" spans="2:10" ht="28.9" customHeight="1" x14ac:dyDescent="0.25">
      <c r="B59" s="669" t="s">
        <v>311</v>
      </c>
      <c r="C59" s="670"/>
      <c r="D59" s="670"/>
      <c r="E59" s="670"/>
      <c r="F59" s="670"/>
      <c r="G59" s="670"/>
      <c r="H59" s="670"/>
      <c r="I59" s="670"/>
      <c r="J59" s="671"/>
    </row>
    <row r="60" spans="2:10" ht="28.5" customHeight="1" x14ac:dyDescent="0.25">
      <c r="B60" s="433" t="s">
        <v>733</v>
      </c>
      <c r="C60" s="434"/>
      <c r="D60" s="434"/>
      <c r="E60" s="434"/>
      <c r="F60" s="434"/>
      <c r="G60" s="434"/>
      <c r="H60" s="434"/>
      <c r="I60" s="434"/>
      <c r="J60" s="435"/>
    </row>
    <row r="61" spans="2:10" ht="28.9" customHeight="1" x14ac:dyDescent="0.25">
      <c r="B61" s="669" t="s">
        <v>312</v>
      </c>
      <c r="C61" s="670"/>
      <c r="D61" s="670"/>
      <c r="E61" s="670"/>
      <c r="F61" s="670"/>
      <c r="G61" s="670"/>
      <c r="H61" s="670"/>
      <c r="I61" s="670"/>
      <c r="J61" s="671"/>
    </row>
    <row r="62" spans="2:10" ht="28.15" customHeight="1" thickBot="1" x14ac:dyDescent="0.3">
      <c r="B62" s="541" t="s">
        <v>313</v>
      </c>
      <c r="C62" s="542"/>
      <c r="D62" s="542"/>
      <c r="E62" s="542"/>
      <c r="F62" s="542"/>
      <c r="G62" s="542"/>
      <c r="H62" s="542"/>
      <c r="I62" s="542"/>
      <c r="J62" s="543"/>
    </row>
  </sheetData>
  <mergeCells count="80">
    <mergeCell ref="B1:D1"/>
    <mergeCell ref="B2:C2"/>
    <mergeCell ref="D2:F2"/>
    <mergeCell ref="G2:J2"/>
    <mergeCell ref="B3:J3"/>
    <mergeCell ref="B4:C4"/>
    <mergeCell ref="D4:F4"/>
    <mergeCell ref="G4:J4"/>
    <mergeCell ref="B5:C5"/>
    <mergeCell ref="D5:J5"/>
    <mergeCell ref="B6:C6"/>
    <mergeCell ref="D6:J6"/>
    <mergeCell ref="B7:C7"/>
    <mergeCell ref="D7:J7"/>
    <mergeCell ref="B14:C14"/>
    <mergeCell ref="D14:F14"/>
    <mergeCell ref="G14:H14"/>
    <mergeCell ref="B8:C8"/>
    <mergeCell ref="D8:J8"/>
    <mergeCell ref="B9:C9"/>
    <mergeCell ref="D9:J9"/>
    <mergeCell ref="B10:C10"/>
    <mergeCell ref="D10:J10"/>
    <mergeCell ref="B11:J11"/>
    <mergeCell ref="B12:E12"/>
    <mergeCell ref="F12:J12"/>
    <mergeCell ref="B13:E13"/>
    <mergeCell ref="F13:J13"/>
    <mergeCell ref="B24:J24"/>
    <mergeCell ref="B15:C15"/>
    <mergeCell ref="D15:F15"/>
    <mergeCell ref="G15:H15"/>
    <mergeCell ref="B16:J16"/>
    <mergeCell ref="B17:J17"/>
    <mergeCell ref="B18:J18"/>
    <mergeCell ref="B19:J19"/>
    <mergeCell ref="B20:J20"/>
    <mergeCell ref="B21:J21"/>
    <mergeCell ref="B22:J22"/>
    <mergeCell ref="B23:J23"/>
    <mergeCell ref="B31:J31"/>
    <mergeCell ref="B25:J25"/>
    <mergeCell ref="B26:J26"/>
    <mergeCell ref="B30:J30"/>
    <mergeCell ref="B29:J29"/>
    <mergeCell ref="B27:J27"/>
    <mergeCell ref="B28:J28"/>
    <mergeCell ref="B43:C43"/>
    <mergeCell ref="D43:J43"/>
    <mergeCell ref="B32:J32"/>
    <mergeCell ref="B33:J33"/>
    <mergeCell ref="B34:J34"/>
    <mergeCell ref="B35:J35"/>
    <mergeCell ref="B36:J36"/>
    <mergeCell ref="B37:J37"/>
    <mergeCell ref="B38:J38"/>
    <mergeCell ref="B39:J39"/>
    <mergeCell ref="B40:J40"/>
    <mergeCell ref="B41:J41"/>
    <mergeCell ref="B42:J42"/>
    <mergeCell ref="B54:J54"/>
    <mergeCell ref="B44:C44"/>
    <mergeCell ref="D44:J44"/>
    <mergeCell ref="B45:C45"/>
    <mergeCell ref="D45:J45"/>
    <mergeCell ref="B46:C46"/>
    <mergeCell ref="D46:J46"/>
    <mergeCell ref="B47:J47"/>
    <mergeCell ref="B48:J48"/>
    <mergeCell ref="B51:J51"/>
    <mergeCell ref="B52:J52"/>
    <mergeCell ref="B53:J53"/>
    <mergeCell ref="B61:J61"/>
    <mergeCell ref="B62:J62"/>
    <mergeCell ref="B55:J55"/>
    <mergeCell ref="B56:J56"/>
    <mergeCell ref="B57:J57"/>
    <mergeCell ref="B58:J58"/>
    <mergeCell ref="B59:J59"/>
    <mergeCell ref="B60:J60"/>
  </mergeCells>
  <hyperlinks>
    <hyperlink ref="B59" r:id="rId1" display="https://www.networklab.fr/"/>
    <hyperlink ref="B61" r:id="rId2" display="https://www.netacad.com/"/>
    <hyperlink ref="B1:D1" location="'Schéma d''enseignement'!G19" display="Schéma d'enseignement"/>
  </hyperlinks>
  <pageMargins left="0.7" right="0.7" top="0.75" bottom="0.75" header="0.3" footer="0.3"/>
  <pageSetup orientation="portrait" horizontalDpi="300" verticalDpi="300"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5"/>
  </sheetPr>
  <dimension ref="B1:G62"/>
  <sheetViews>
    <sheetView workbookViewId="0">
      <selection activeCell="B1" sqref="B1:D1"/>
    </sheetView>
  </sheetViews>
  <sheetFormatPr baseColWidth="10" defaultColWidth="8.7109375" defaultRowHeight="15" x14ac:dyDescent="0.25"/>
  <cols>
    <col min="1" max="1" width="2.7109375" style="1" customWidth="1"/>
    <col min="2" max="2" width="19.28515625" style="1" customWidth="1"/>
    <col min="3" max="4" width="8" style="1" customWidth="1"/>
    <col min="5" max="5" width="11.5703125" style="1" customWidth="1"/>
    <col min="6" max="6" width="8" style="1" customWidth="1"/>
    <col min="7" max="7" width="22" style="1" customWidth="1"/>
    <col min="8" max="16384" width="8.7109375" style="1"/>
  </cols>
  <sheetData>
    <row r="1" spans="2:7" x14ac:dyDescent="0.25">
      <c r="B1" s="628" t="s">
        <v>1267</v>
      </c>
      <c r="C1" s="628"/>
      <c r="D1" s="628"/>
    </row>
    <row r="2" spans="2:7" ht="15.75" x14ac:dyDescent="0.25">
      <c r="B2" s="421" t="s">
        <v>1267</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719"/>
      <c r="G4" s="720"/>
    </row>
    <row r="5" spans="2:7" ht="16.5" thickBot="1" x14ac:dyDescent="0.3">
      <c r="B5" s="424" t="s">
        <v>197</v>
      </c>
      <c r="C5" s="425"/>
      <c r="D5" s="425"/>
      <c r="E5" s="474"/>
      <c r="F5" s="704" t="s">
        <v>314</v>
      </c>
      <c r="G5" s="705"/>
    </row>
    <row r="6" spans="2:7" ht="16.5" thickBot="1" x14ac:dyDescent="0.3">
      <c r="B6" s="366" t="s">
        <v>199</v>
      </c>
      <c r="C6" s="367"/>
      <c r="D6" s="367"/>
      <c r="E6" s="464"/>
      <c r="F6" s="704" t="s">
        <v>315</v>
      </c>
      <c r="G6" s="705"/>
    </row>
    <row r="7" spans="2:7" ht="16.5" thickBot="1" x14ac:dyDescent="0.3">
      <c r="B7" s="366" t="s">
        <v>201</v>
      </c>
      <c r="C7" s="367"/>
      <c r="D7" s="367"/>
      <c r="E7" s="464"/>
      <c r="F7" s="704" t="s">
        <v>316</v>
      </c>
      <c r="G7" s="705"/>
    </row>
    <row r="8" spans="2:7" ht="16.5" thickBot="1" x14ac:dyDescent="0.3">
      <c r="B8" s="366" t="s">
        <v>203</v>
      </c>
      <c r="C8" s="367"/>
      <c r="D8" s="367"/>
      <c r="E8" s="464"/>
      <c r="F8" s="704" t="s">
        <v>84</v>
      </c>
      <c r="G8" s="705"/>
    </row>
    <row r="9" spans="2:7" ht="16.5" thickBot="1" x14ac:dyDescent="0.3">
      <c r="B9" s="366" t="s">
        <v>204</v>
      </c>
      <c r="C9" s="367"/>
      <c r="D9" s="367"/>
      <c r="E9" s="464"/>
      <c r="F9" s="706" t="s">
        <v>308</v>
      </c>
      <c r="G9" s="707"/>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12" t="s">
        <v>209</v>
      </c>
      <c r="C12" s="573"/>
      <c r="D12" s="571"/>
      <c r="E12" s="572"/>
      <c r="F12" s="572"/>
      <c r="G12" s="713"/>
    </row>
    <row r="13" spans="2:7" ht="16.5" thickBot="1" x14ac:dyDescent="0.3">
      <c r="B13" s="79" t="s">
        <v>210</v>
      </c>
      <c r="C13" s="404" t="s">
        <v>211</v>
      </c>
      <c r="D13" s="406"/>
      <c r="E13" s="70" t="s">
        <v>212</v>
      </c>
      <c r="F13" s="70" t="s">
        <v>213</v>
      </c>
      <c r="G13" s="80" t="s">
        <v>214</v>
      </c>
    </row>
    <row r="14" spans="2:7" ht="18" thickBot="1" x14ac:dyDescent="0.3">
      <c r="B14" s="81" t="s">
        <v>85</v>
      </c>
      <c r="C14" s="714" t="s">
        <v>260</v>
      </c>
      <c r="D14" s="715"/>
      <c r="E14" s="71" t="s">
        <v>246</v>
      </c>
      <c r="F14" s="71">
        <v>2</v>
      </c>
      <c r="G14" s="82"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43.5" customHeight="1" thickBot="1" x14ac:dyDescent="0.3">
      <c r="B17" s="517" t="s">
        <v>317</v>
      </c>
      <c r="C17" s="518"/>
      <c r="D17" s="518"/>
      <c r="E17" s="518"/>
      <c r="F17" s="518"/>
      <c r="G17" s="519"/>
    </row>
    <row r="18" spans="2:7" ht="16.5" thickBot="1" x14ac:dyDescent="0.3">
      <c r="B18" s="366" t="s">
        <v>220</v>
      </c>
      <c r="C18" s="367"/>
      <c r="D18" s="367"/>
      <c r="E18" s="367"/>
      <c r="F18" s="367"/>
      <c r="G18" s="368"/>
    </row>
    <row r="19" spans="2:7" ht="28.9" customHeight="1" x14ac:dyDescent="0.25">
      <c r="B19" s="520" t="s">
        <v>772</v>
      </c>
      <c r="C19" s="402"/>
      <c r="D19" s="402"/>
      <c r="E19" s="402"/>
      <c r="F19" s="402"/>
      <c r="G19" s="403"/>
    </row>
    <row r="20" spans="2:7" ht="14.65" customHeight="1" x14ac:dyDescent="0.25">
      <c r="B20" s="513" t="s">
        <v>773</v>
      </c>
      <c r="C20" s="393"/>
      <c r="D20" s="393"/>
      <c r="E20" s="393"/>
      <c r="F20" s="393"/>
      <c r="G20" s="394"/>
    </row>
    <row r="21" spans="2:7" ht="14.65" customHeight="1" x14ac:dyDescent="0.25">
      <c r="B21" s="513" t="s">
        <v>774</v>
      </c>
      <c r="C21" s="393"/>
      <c r="D21" s="393"/>
      <c r="E21" s="393"/>
      <c r="F21" s="393"/>
      <c r="G21" s="394"/>
    </row>
    <row r="22" spans="2:7" ht="14.65" customHeight="1" x14ac:dyDescent="0.25">
      <c r="B22" s="513" t="s">
        <v>775</v>
      </c>
      <c r="C22" s="393"/>
      <c r="D22" s="393"/>
      <c r="E22" s="393"/>
      <c r="F22" s="393"/>
      <c r="G22" s="394"/>
    </row>
    <row r="23" spans="2:7" ht="16.5" thickBot="1" x14ac:dyDescent="0.3">
      <c r="B23" s="384" t="s">
        <v>776</v>
      </c>
      <c r="C23" s="385"/>
      <c r="D23" s="385"/>
      <c r="E23" s="385"/>
      <c r="F23" s="385"/>
      <c r="G23" s="386"/>
    </row>
    <row r="24" spans="2:7" ht="16.5" thickBot="1" x14ac:dyDescent="0.3">
      <c r="B24" s="366" t="s">
        <v>221</v>
      </c>
      <c r="C24" s="367"/>
      <c r="D24" s="367"/>
      <c r="E24" s="367"/>
      <c r="F24" s="367"/>
      <c r="G24" s="368"/>
    </row>
    <row r="25" spans="2:7" ht="48" customHeight="1" thickBot="1" x14ac:dyDescent="0.3">
      <c r="B25" s="398" t="s">
        <v>771</v>
      </c>
      <c r="C25" s="399"/>
      <c r="D25" s="399"/>
      <c r="E25" s="399"/>
      <c r="F25" s="399"/>
      <c r="G25" s="400"/>
    </row>
    <row r="26" spans="2:7" ht="16.5" thickBot="1" x14ac:dyDescent="0.3">
      <c r="B26" s="366" t="s">
        <v>222</v>
      </c>
      <c r="C26" s="367"/>
      <c r="D26" s="367"/>
      <c r="E26" s="367"/>
      <c r="F26" s="367"/>
      <c r="G26" s="368"/>
    </row>
    <row r="27" spans="2:7" ht="15.75" thickBot="1" x14ac:dyDescent="0.3">
      <c r="B27" s="387" t="s">
        <v>240</v>
      </c>
      <c r="C27" s="388"/>
      <c r="D27" s="388"/>
      <c r="E27" s="388"/>
      <c r="F27" s="388"/>
      <c r="G27" s="389"/>
    </row>
    <row r="28" spans="2:7" ht="15.75" thickBot="1" x14ac:dyDescent="0.3">
      <c r="B28" s="387" t="s">
        <v>241</v>
      </c>
      <c r="C28" s="388"/>
      <c r="D28" s="388"/>
      <c r="E28" s="388"/>
      <c r="F28" s="388"/>
      <c r="G28" s="389"/>
    </row>
    <row r="29" spans="2:7" ht="15.75" thickBot="1" x14ac:dyDescent="0.3">
      <c r="B29" s="387" t="s">
        <v>1209</v>
      </c>
      <c r="C29" s="388"/>
      <c r="D29" s="388"/>
      <c r="E29" s="388"/>
      <c r="F29" s="388"/>
      <c r="G29" s="389"/>
    </row>
    <row r="30" spans="2:7" ht="15.75" thickBot="1" x14ac:dyDescent="0.3">
      <c r="B30" s="387" t="s">
        <v>34</v>
      </c>
      <c r="C30" s="388"/>
      <c r="D30" s="388"/>
      <c r="E30" s="388"/>
      <c r="F30" s="388"/>
      <c r="G30" s="389"/>
    </row>
    <row r="31" spans="2:7" ht="16.5" thickBot="1" x14ac:dyDescent="0.3">
      <c r="B31" s="366" t="s">
        <v>226</v>
      </c>
      <c r="C31" s="367"/>
      <c r="D31" s="367"/>
      <c r="E31" s="367"/>
      <c r="F31" s="367"/>
      <c r="G31" s="368"/>
    </row>
    <row r="32" spans="2:7" ht="14.65" customHeight="1" x14ac:dyDescent="0.25">
      <c r="B32" s="701" t="s">
        <v>752</v>
      </c>
      <c r="C32" s="702"/>
      <c r="D32" s="702"/>
      <c r="E32" s="702"/>
      <c r="F32" s="702"/>
      <c r="G32" s="703"/>
    </row>
    <row r="33" spans="2:7" ht="28.9" customHeight="1" x14ac:dyDescent="0.25">
      <c r="B33" s="698" t="s">
        <v>753</v>
      </c>
      <c r="C33" s="699"/>
      <c r="D33" s="699"/>
      <c r="E33" s="699"/>
      <c r="F33" s="699"/>
      <c r="G33" s="700"/>
    </row>
    <row r="34" spans="2:7" ht="14.65" customHeight="1" x14ac:dyDescent="0.25">
      <c r="B34" s="698" t="s">
        <v>754</v>
      </c>
      <c r="C34" s="699"/>
      <c r="D34" s="699"/>
      <c r="E34" s="699"/>
      <c r="F34" s="699"/>
      <c r="G34" s="700"/>
    </row>
    <row r="35" spans="2:7" ht="28.9" customHeight="1" x14ac:dyDescent="0.25">
      <c r="B35" s="698" t="s">
        <v>755</v>
      </c>
      <c r="C35" s="699"/>
      <c r="D35" s="699"/>
      <c r="E35" s="699"/>
      <c r="F35" s="699"/>
      <c r="G35" s="700"/>
    </row>
    <row r="36" spans="2:7" ht="14.65" customHeight="1" x14ac:dyDescent="0.25">
      <c r="B36" s="698" t="s">
        <v>756</v>
      </c>
      <c r="C36" s="699"/>
      <c r="D36" s="699"/>
      <c r="E36" s="699"/>
      <c r="F36" s="699"/>
      <c r="G36" s="700"/>
    </row>
    <row r="37" spans="2:7" ht="28.9" customHeight="1" x14ac:dyDescent="0.25">
      <c r="B37" s="698" t="s">
        <v>757</v>
      </c>
      <c r="C37" s="699"/>
      <c r="D37" s="699"/>
      <c r="E37" s="699"/>
      <c r="F37" s="699"/>
      <c r="G37" s="700"/>
    </row>
    <row r="38" spans="2:7" ht="14.65" customHeight="1" x14ac:dyDescent="0.25">
      <c r="B38" s="698" t="s">
        <v>758</v>
      </c>
      <c r="C38" s="699"/>
      <c r="D38" s="699"/>
      <c r="E38" s="699"/>
      <c r="F38" s="699"/>
      <c r="G38" s="700"/>
    </row>
    <row r="39" spans="2:7" ht="28.9" customHeight="1" x14ac:dyDescent="0.25">
      <c r="B39" s="698" t="s">
        <v>759</v>
      </c>
      <c r="C39" s="699"/>
      <c r="D39" s="699"/>
      <c r="E39" s="699"/>
      <c r="F39" s="699"/>
      <c r="G39" s="700"/>
    </row>
    <row r="40" spans="2:7" ht="14.65" customHeight="1" x14ac:dyDescent="0.25">
      <c r="B40" s="698" t="s">
        <v>760</v>
      </c>
      <c r="C40" s="699"/>
      <c r="D40" s="699"/>
      <c r="E40" s="699"/>
      <c r="F40" s="699"/>
      <c r="G40" s="700"/>
    </row>
    <row r="41" spans="2:7" ht="14.65" customHeight="1" x14ac:dyDescent="0.25">
      <c r="B41" s="698" t="s">
        <v>761</v>
      </c>
      <c r="C41" s="699"/>
      <c r="D41" s="699"/>
      <c r="E41" s="699"/>
      <c r="F41" s="699"/>
      <c r="G41" s="700"/>
    </row>
    <row r="42" spans="2:7" ht="14.65" customHeight="1" x14ac:dyDescent="0.25">
      <c r="B42" s="698" t="s">
        <v>762</v>
      </c>
      <c r="C42" s="699"/>
      <c r="D42" s="699"/>
      <c r="E42" s="699"/>
      <c r="F42" s="699"/>
      <c r="G42" s="700"/>
    </row>
    <row r="43" spans="2:7" ht="14.65" customHeight="1" x14ac:dyDescent="0.25">
      <c r="B43" s="698" t="s">
        <v>763</v>
      </c>
      <c r="C43" s="699"/>
      <c r="D43" s="699"/>
      <c r="E43" s="699"/>
      <c r="F43" s="699"/>
      <c r="G43" s="700"/>
    </row>
    <row r="44" spans="2:7" ht="28.9" customHeight="1" x14ac:dyDescent="0.25">
      <c r="B44" s="698" t="s">
        <v>764</v>
      </c>
      <c r="C44" s="699"/>
      <c r="D44" s="699"/>
      <c r="E44" s="699"/>
      <c r="F44" s="699"/>
      <c r="G44" s="700"/>
    </row>
    <row r="45" spans="2:7" ht="14.65" customHeight="1" x14ac:dyDescent="0.25">
      <c r="B45" s="698" t="s">
        <v>765</v>
      </c>
      <c r="C45" s="699"/>
      <c r="D45" s="699"/>
      <c r="E45" s="699"/>
      <c r="F45" s="699"/>
      <c r="G45" s="700"/>
    </row>
    <row r="46" spans="2:7" ht="28.9" customHeight="1" x14ac:dyDescent="0.25">
      <c r="B46" s="698" t="s">
        <v>766</v>
      </c>
      <c r="C46" s="699"/>
      <c r="D46" s="699"/>
      <c r="E46" s="699"/>
      <c r="F46" s="699"/>
      <c r="G46" s="700"/>
    </row>
    <row r="47" spans="2:7" ht="14.65" customHeight="1" x14ac:dyDescent="0.25">
      <c r="B47" s="698" t="s">
        <v>767</v>
      </c>
      <c r="C47" s="699"/>
      <c r="D47" s="699"/>
      <c r="E47" s="699"/>
      <c r="F47" s="699"/>
      <c r="G47" s="700"/>
    </row>
    <row r="48" spans="2:7" ht="28.9" customHeight="1" x14ac:dyDescent="0.25">
      <c r="B48" s="698" t="s">
        <v>768</v>
      </c>
      <c r="C48" s="699"/>
      <c r="D48" s="699"/>
      <c r="E48" s="699"/>
      <c r="F48" s="699"/>
      <c r="G48" s="700"/>
    </row>
    <row r="49" spans="2:7" ht="43.5" customHeight="1" x14ac:dyDescent="0.25">
      <c r="B49" s="698" t="s">
        <v>769</v>
      </c>
      <c r="C49" s="699"/>
      <c r="D49" s="699"/>
      <c r="E49" s="699"/>
      <c r="F49" s="699"/>
      <c r="G49" s="700"/>
    </row>
    <row r="50" spans="2:7" ht="25.5" customHeight="1" thickBot="1" x14ac:dyDescent="0.3">
      <c r="B50" s="427" t="s">
        <v>770</v>
      </c>
      <c r="C50" s="428"/>
      <c r="D50" s="428"/>
      <c r="E50" s="428"/>
      <c r="F50" s="428"/>
      <c r="G50" s="429"/>
    </row>
    <row r="51" spans="2:7" ht="16.5" thickBot="1" x14ac:dyDescent="0.3">
      <c r="B51" s="366" t="s">
        <v>227</v>
      </c>
      <c r="C51" s="367"/>
      <c r="D51" s="367"/>
      <c r="E51" s="367"/>
      <c r="F51" s="367"/>
      <c r="G51" s="368"/>
    </row>
    <row r="52" spans="2:7" ht="16.5" thickBot="1" x14ac:dyDescent="0.3">
      <c r="B52" s="363" t="s">
        <v>245</v>
      </c>
      <c r="C52" s="364"/>
      <c r="D52" s="364"/>
      <c r="E52" s="365"/>
      <c r="F52" s="363" t="s">
        <v>231</v>
      </c>
      <c r="G52" s="365"/>
    </row>
    <row r="53" spans="2:7" ht="16.5" thickBot="1" x14ac:dyDescent="0.3">
      <c r="B53" s="363" t="s">
        <v>247</v>
      </c>
      <c r="C53" s="364"/>
      <c r="D53" s="364"/>
      <c r="E53" s="365"/>
      <c r="F53" s="363" t="s">
        <v>231</v>
      </c>
      <c r="G53" s="365"/>
    </row>
    <row r="54" spans="2:7" ht="16.5" thickBot="1" x14ac:dyDescent="0.3">
      <c r="B54" s="363" t="s">
        <v>309</v>
      </c>
      <c r="C54" s="364"/>
      <c r="D54" s="364"/>
      <c r="E54" s="365"/>
      <c r="F54" s="363"/>
      <c r="G54" s="445"/>
    </row>
    <row r="55" spans="2:7" ht="16.5" thickBot="1" x14ac:dyDescent="0.3">
      <c r="B55" s="363" t="s">
        <v>249</v>
      </c>
      <c r="C55" s="364"/>
      <c r="D55" s="364"/>
      <c r="E55" s="365"/>
      <c r="F55" s="363" t="s">
        <v>231</v>
      </c>
      <c r="G55" s="365"/>
    </row>
    <row r="56" spans="2:7" ht="16.5" thickBot="1" x14ac:dyDescent="0.3">
      <c r="B56" s="366" t="s">
        <v>232</v>
      </c>
      <c r="C56" s="367"/>
      <c r="D56" s="367"/>
      <c r="E56" s="367"/>
      <c r="F56" s="367"/>
      <c r="G56" s="368"/>
    </row>
    <row r="57" spans="2:7" ht="16.5" thickBot="1" x14ac:dyDescent="0.3">
      <c r="B57" s="398" t="s">
        <v>494</v>
      </c>
      <c r="C57" s="399"/>
      <c r="D57" s="399"/>
      <c r="E57" s="399"/>
      <c r="F57" s="399"/>
      <c r="G57" s="400"/>
    </row>
    <row r="58" spans="2:7" ht="16.5" thickBot="1" x14ac:dyDescent="0.3">
      <c r="B58" s="188" t="s">
        <v>495</v>
      </c>
      <c r="C58" s="189"/>
      <c r="D58" s="189"/>
      <c r="E58" s="189"/>
      <c r="F58" s="189"/>
      <c r="G58" s="190"/>
    </row>
    <row r="59" spans="2:7" ht="16.5" thickBot="1" x14ac:dyDescent="0.3">
      <c r="B59" s="188" t="s">
        <v>70</v>
      </c>
      <c r="C59" s="189"/>
      <c r="D59" s="189"/>
      <c r="E59" s="189"/>
      <c r="F59" s="189"/>
      <c r="G59" s="190"/>
    </row>
    <row r="60" spans="2:7" ht="16.5" thickBot="1" x14ac:dyDescent="0.3">
      <c r="B60" s="188" t="s">
        <v>485</v>
      </c>
      <c r="C60" s="189"/>
      <c r="D60" s="189"/>
      <c r="E60" s="189"/>
      <c r="F60" s="189"/>
      <c r="G60" s="190"/>
    </row>
    <row r="61" spans="2:7" ht="16.5" thickBot="1" x14ac:dyDescent="0.3">
      <c r="B61" s="678" t="s">
        <v>234</v>
      </c>
      <c r="C61" s="679"/>
      <c r="D61" s="679"/>
      <c r="E61" s="679"/>
      <c r="F61" s="679"/>
      <c r="G61" s="680"/>
    </row>
    <row r="62" spans="2:7" ht="16.5" thickBot="1" x14ac:dyDescent="0.3">
      <c r="B62" s="695"/>
      <c r="C62" s="696"/>
      <c r="D62" s="696"/>
      <c r="E62" s="696"/>
      <c r="F62" s="696"/>
      <c r="G62" s="697"/>
    </row>
  </sheetData>
  <mergeCells count="70">
    <mergeCell ref="B1:D1"/>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25:G25"/>
    <mergeCell ref="B26:G26"/>
    <mergeCell ref="B27:G27"/>
    <mergeCell ref="B28:G28"/>
    <mergeCell ref="B29:G29"/>
    <mergeCell ref="B30:G30"/>
    <mergeCell ref="B38:G38"/>
    <mergeCell ref="B31:G31"/>
    <mergeCell ref="B32:G32"/>
    <mergeCell ref="B33:G33"/>
    <mergeCell ref="B34:G34"/>
    <mergeCell ref="B35:G35"/>
    <mergeCell ref="B36:G36"/>
    <mergeCell ref="B37:G37"/>
    <mergeCell ref="B50:G50"/>
    <mergeCell ref="B39:G39"/>
    <mergeCell ref="B40:G40"/>
    <mergeCell ref="B41:G41"/>
    <mergeCell ref="B42:G42"/>
    <mergeCell ref="B43:G43"/>
    <mergeCell ref="B44:G44"/>
    <mergeCell ref="B45:G45"/>
    <mergeCell ref="B46:G46"/>
    <mergeCell ref="B47:G47"/>
    <mergeCell ref="B48:G48"/>
    <mergeCell ref="B49:G49"/>
    <mergeCell ref="B62:G62"/>
    <mergeCell ref="B51:G51"/>
    <mergeCell ref="B52:E52"/>
    <mergeCell ref="F52:G52"/>
    <mergeCell ref="B53:E53"/>
    <mergeCell ref="F53:G53"/>
    <mergeCell ref="B54:E54"/>
    <mergeCell ref="F54:G54"/>
    <mergeCell ref="B55:E55"/>
    <mergeCell ref="F55:G55"/>
    <mergeCell ref="B56:G56"/>
    <mergeCell ref="B57:G57"/>
    <mergeCell ref="B61:G61"/>
  </mergeCells>
  <hyperlinks>
    <hyperlink ref="B1:D1" location="'Schéma d''enseignement'!G20" display="Schéma d'enseignement"/>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5"/>
  </sheetPr>
  <dimension ref="B1:G69"/>
  <sheetViews>
    <sheetView zoomScaleNormal="100" workbookViewId="0">
      <selection activeCell="B1" sqref="B1:D1"/>
    </sheetView>
  </sheetViews>
  <sheetFormatPr baseColWidth="10" defaultColWidth="8.7109375" defaultRowHeight="15" x14ac:dyDescent="0.25"/>
  <cols>
    <col min="1" max="1" width="1.7109375" style="1" customWidth="1"/>
    <col min="2" max="2" width="22.7109375" style="1" customWidth="1"/>
    <col min="3" max="3" width="7.28515625" style="1" customWidth="1"/>
    <col min="4" max="4" width="8.85546875" style="1" customWidth="1"/>
    <col min="5" max="5" width="10.7109375" style="1" customWidth="1"/>
    <col min="6" max="6" width="7.28515625" style="1" customWidth="1"/>
    <col min="7" max="7" width="22.28515625" style="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750" t="s">
        <v>318</v>
      </c>
      <c r="G4" s="751"/>
    </row>
    <row r="5" spans="2:7" ht="16.5" thickBot="1" x14ac:dyDescent="0.3">
      <c r="B5" s="424" t="s">
        <v>197</v>
      </c>
      <c r="C5" s="425"/>
      <c r="D5" s="425"/>
      <c r="E5" s="474"/>
      <c r="F5" s="750" t="s">
        <v>305</v>
      </c>
      <c r="G5" s="751"/>
    </row>
    <row r="6" spans="2:7" ht="16.5" thickBot="1" x14ac:dyDescent="0.3">
      <c r="B6" s="366" t="s">
        <v>199</v>
      </c>
      <c r="C6" s="367"/>
      <c r="D6" s="367"/>
      <c r="E6" s="464"/>
      <c r="F6" s="750" t="s">
        <v>306</v>
      </c>
      <c r="G6" s="751"/>
    </row>
    <row r="7" spans="2:7" ht="16.5" thickBot="1" x14ac:dyDescent="0.3">
      <c r="B7" s="366" t="s">
        <v>201</v>
      </c>
      <c r="C7" s="367"/>
      <c r="D7" s="367"/>
      <c r="E7" s="464"/>
      <c r="F7" s="750" t="s">
        <v>307</v>
      </c>
      <c r="G7" s="751"/>
    </row>
    <row r="8" spans="2:7" ht="16.5" thickBot="1" x14ac:dyDescent="0.3">
      <c r="B8" s="366" t="s">
        <v>203</v>
      </c>
      <c r="C8" s="367"/>
      <c r="D8" s="367"/>
      <c r="E8" s="464"/>
      <c r="F8" s="753" t="s">
        <v>84</v>
      </c>
      <c r="G8" s="754"/>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52.5" thickBot="1" x14ac:dyDescent="0.3">
      <c r="B14" s="81" t="s">
        <v>320</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43.5" customHeight="1" thickBot="1" x14ac:dyDescent="0.3">
      <c r="B17" s="517" t="s">
        <v>321</v>
      </c>
      <c r="C17" s="518"/>
      <c r="D17" s="518"/>
      <c r="E17" s="518"/>
      <c r="F17" s="518"/>
      <c r="G17" s="519"/>
    </row>
    <row r="18" spans="2:7" ht="16.5" thickBot="1" x14ac:dyDescent="0.3">
      <c r="B18" s="366" t="s">
        <v>220</v>
      </c>
      <c r="C18" s="367"/>
      <c r="D18" s="367"/>
      <c r="E18" s="367"/>
      <c r="F18" s="367"/>
      <c r="G18" s="368"/>
    </row>
    <row r="19" spans="2:7" ht="14.65" customHeight="1" x14ac:dyDescent="0.25">
      <c r="B19" s="747" t="s">
        <v>322</v>
      </c>
      <c r="C19" s="748"/>
      <c r="D19" s="748"/>
      <c r="E19" s="748"/>
      <c r="F19" s="748"/>
      <c r="G19" s="749"/>
    </row>
    <row r="20" spans="2:7" ht="28.9" customHeight="1" x14ac:dyDescent="0.25">
      <c r="B20" s="744" t="s">
        <v>323</v>
      </c>
      <c r="C20" s="745"/>
      <c r="D20" s="745"/>
      <c r="E20" s="745"/>
      <c r="F20" s="745"/>
      <c r="G20" s="746"/>
    </row>
    <row r="21" spans="2:7" ht="14.65" customHeight="1" x14ac:dyDescent="0.25">
      <c r="B21" s="744" t="s">
        <v>324</v>
      </c>
      <c r="C21" s="745"/>
      <c r="D21" s="745"/>
      <c r="E21" s="745"/>
      <c r="F21" s="745"/>
      <c r="G21" s="746"/>
    </row>
    <row r="22" spans="2:7" ht="58.15" customHeight="1" x14ac:dyDescent="0.25">
      <c r="B22" s="744" t="s">
        <v>325</v>
      </c>
      <c r="C22" s="745"/>
      <c r="D22" s="745"/>
      <c r="E22" s="745"/>
      <c r="F22" s="745"/>
      <c r="G22" s="746"/>
    </row>
    <row r="23" spans="2:7" ht="28.9" customHeight="1" x14ac:dyDescent="0.25">
      <c r="B23" s="744" t="s">
        <v>326</v>
      </c>
      <c r="C23" s="745"/>
      <c r="D23" s="745"/>
      <c r="E23" s="745"/>
      <c r="F23" s="745"/>
      <c r="G23" s="746"/>
    </row>
    <row r="24" spans="2:7" ht="28.9" customHeight="1" x14ac:dyDescent="0.25">
      <c r="B24" s="744" t="s">
        <v>327</v>
      </c>
      <c r="C24" s="745"/>
      <c r="D24" s="745"/>
      <c r="E24" s="745"/>
      <c r="F24" s="745"/>
      <c r="G24" s="746"/>
    </row>
    <row r="25" spans="2:7" ht="28.9" customHeight="1" x14ac:dyDescent="0.25">
      <c r="B25" s="744" t="s">
        <v>328</v>
      </c>
      <c r="C25" s="745"/>
      <c r="D25" s="745"/>
      <c r="E25" s="745"/>
      <c r="F25" s="745"/>
      <c r="G25" s="746"/>
    </row>
    <row r="26" spans="2:7" ht="16.5" thickBot="1" x14ac:dyDescent="0.3">
      <c r="B26" s="384" t="s">
        <v>795</v>
      </c>
      <c r="C26" s="385"/>
      <c r="D26" s="385"/>
      <c r="E26" s="385"/>
      <c r="F26" s="385"/>
      <c r="G26" s="386"/>
    </row>
    <row r="27" spans="2:7" ht="16.5" thickBot="1" x14ac:dyDescent="0.3">
      <c r="B27" s="366" t="s">
        <v>221</v>
      </c>
      <c r="C27" s="367"/>
      <c r="D27" s="367"/>
      <c r="E27" s="367"/>
      <c r="F27" s="367"/>
      <c r="G27" s="368"/>
    </row>
    <row r="28" spans="2:7" ht="16.5" thickBot="1" x14ac:dyDescent="0.3">
      <c r="B28" s="363" t="s">
        <v>794</v>
      </c>
      <c r="C28" s="364"/>
      <c r="D28" s="364"/>
      <c r="E28" s="364"/>
      <c r="F28" s="364"/>
      <c r="G28" s="445"/>
    </row>
    <row r="29" spans="2:7" ht="16.5" thickBot="1" x14ac:dyDescent="0.3">
      <c r="B29" s="741" t="s">
        <v>222</v>
      </c>
      <c r="C29" s="742"/>
      <c r="D29" s="742"/>
      <c r="E29" s="742"/>
      <c r="F29" s="742"/>
      <c r="G29" s="743"/>
    </row>
    <row r="30" spans="2:7" ht="15.75" thickBot="1" x14ac:dyDescent="0.3">
      <c r="B30" s="387" t="s">
        <v>240</v>
      </c>
      <c r="C30" s="388"/>
      <c r="D30" s="388"/>
      <c r="E30" s="388"/>
      <c r="F30" s="388"/>
      <c r="G30" s="389"/>
    </row>
    <row r="31" spans="2:7" ht="15.75" thickBot="1" x14ac:dyDescent="0.3">
      <c r="B31" s="387" t="s">
        <v>241</v>
      </c>
      <c r="C31" s="388"/>
      <c r="D31" s="388"/>
      <c r="E31" s="388"/>
      <c r="F31" s="388"/>
      <c r="G31" s="389"/>
    </row>
    <row r="32" spans="2:7" ht="15.75" thickBot="1" x14ac:dyDescent="0.3">
      <c r="B32" s="387" t="s">
        <v>242</v>
      </c>
      <c r="C32" s="388"/>
      <c r="D32" s="388"/>
      <c r="E32" s="388"/>
      <c r="F32" s="388"/>
      <c r="G32" s="389"/>
    </row>
    <row r="33" spans="2:7" ht="15.75" thickBot="1" x14ac:dyDescent="0.3">
      <c r="B33" s="387" t="s">
        <v>46</v>
      </c>
      <c r="C33" s="388"/>
      <c r="D33" s="388"/>
      <c r="E33" s="388"/>
      <c r="F33" s="388"/>
      <c r="G33" s="389"/>
    </row>
    <row r="34" spans="2:7" ht="15.75" thickBot="1" x14ac:dyDescent="0.3">
      <c r="B34" s="387" t="s">
        <v>1210</v>
      </c>
      <c r="C34" s="388"/>
      <c r="D34" s="388"/>
      <c r="E34" s="388"/>
      <c r="F34" s="388"/>
      <c r="G34" s="389"/>
    </row>
    <row r="35" spans="2:7" ht="15.75" thickBot="1" x14ac:dyDescent="0.3">
      <c r="B35" s="387" t="s">
        <v>34</v>
      </c>
      <c r="C35" s="388"/>
      <c r="D35" s="388"/>
      <c r="E35" s="388"/>
      <c r="F35" s="388"/>
      <c r="G35" s="389"/>
    </row>
    <row r="36" spans="2:7" ht="16.5" thickBot="1" x14ac:dyDescent="0.3">
      <c r="B36" s="366" t="s">
        <v>226</v>
      </c>
      <c r="C36" s="367"/>
      <c r="D36" s="367"/>
      <c r="E36" s="367"/>
      <c r="F36" s="367"/>
      <c r="G36" s="368"/>
    </row>
    <row r="37" spans="2:7" ht="28.9" customHeight="1" x14ac:dyDescent="0.25">
      <c r="B37" s="733" t="s">
        <v>786</v>
      </c>
      <c r="C37" s="734"/>
      <c r="D37" s="734"/>
      <c r="E37" s="734"/>
      <c r="F37" s="734"/>
      <c r="G37" s="735"/>
    </row>
    <row r="38" spans="2:7" ht="28.9" customHeight="1" x14ac:dyDescent="0.25">
      <c r="B38" s="736" t="s">
        <v>787</v>
      </c>
      <c r="C38" s="482"/>
      <c r="D38" s="482"/>
      <c r="E38" s="482"/>
      <c r="F38" s="482"/>
      <c r="G38" s="737"/>
    </row>
    <row r="39" spans="2:7" ht="28.9" customHeight="1" x14ac:dyDescent="0.25">
      <c r="B39" s="736" t="s">
        <v>788</v>
      </c>
      <c r="C39" s="482"/>
      <c r="D39" s="482"/>
      <c r="E39" s="482"/>
      <c r="F39" s="482"/>
      <c r="G39" s="737"/>
    </row>
    <row r="40" spans="2:7" ht="28.9" customHeight="1" x14ac:dyDescent="0.25">
      <c r="B40" s="736" t="s">
        <v>789</v>
      </c>
      <c r="C40" s="482"/>
      <c r="D40" s="482"/>
      <c r="E40" s="482"/>
      <c r="F40" s="482"/>
      <c r="G40" s="737"/>
    </row>
    <row r="41" spans="2:7" ht="14.65" customHeight="1" x14ac:dyDescent="0.25">
      <c r="B41" s="736" t="s">
        <v>790</v>
      </c>
      <c r="C41" s="482"/>
      <c r="D41" s="482"/>
      <c r="E41" s="482"/>
      <c r="F41" s="482"/>
      <c r="G41" s="737"/>
    </row>
    <row r="42" spans="2:7" ht="14.65" customHeight="1" x14ac:dyDescent="0.25">
      <c r="B42" s="736" t="s">
        <v>791</v>
      </c>
      <c r="C42" s="482"/>
      <c r="D42" s="482"/>
      <c r="E42" s="482"/>
      <c r="F42" s="482"/>
      <c r="G42" s="737"/>
    </row>
    <row r="43" spans="2:7" ht="14.65" customHeight="1" x14ac:dyDescent="0.25">
      <c r="B43" s="736" t="s">
        <v>792</v>
      </c>
      <c r="C43" s="482"/>
      <c r="D43" s="482"/>
      <c r="E43" s="482"/>
      <c r="F43" s="482"/>
      <c r="G43" s="737"/>
    </row>
    <row r="44" spans="2:7" ht="30" customHeight="1" thickBot="1" x14ac:dyDescent="0.3">
      <c r="B44" s="738" t="s">
        <v>793</v>
      </c>
      <c r="C44" s="739"/>
      <c r="D44" s="739"/>
      <c r="E44" s="739"/>
      <c r="F44" s="739"/>
      <c r="G44" s="740"/>
    </row>
    <row r="45" spans="2:7" ht="16.5" thickBot="1" x14ac:dyDescent="0.3">
      <c r="B45" s="366" t="s">
        <v>227</v>
      </c>
      <c r="C45" s="367"/>
      <c r="D45" s="367"/>
      <c r="E45" s="367"/>
      <c r="F45" s="367"/>
      <c r="G45" s="368"/>
    </row>
    <row r="46" spans="2:7" ht="16.5" thickBot="1" x14ac:dyDescent="0.3">
      <c r="B46" s="363" t="s">
        <v>245</v>
      </c>
      <c r="C46" s="364"/>
      <c r="D46" s="364"/>
      <c r="E46" s="365"/>
      <c r="F46" s="363"/>
      <c r="G46" s="365"/>
    </row>
    <row r="47" spans="2:7" ht="16.5" thickBot="1" x14ac:dyDescent="0.3">
      <c r="B47" s="363" t="s">
        <v>247</v>
      </c>
      <c r="C47" s="364"/>
      <c r="D47" s="364"/>
      <c r="E47" s="365"/>
      <c r="F47" s="363"/>
      <c r="G47" s="365"/>
    </row>
    <row r="48" spans="2:7" ht="16.5" thickBot="1" x14ac:dyDescent="0.3">
      <c r="B48" s="363" t="s">
        <v>309</v>
      </c>
      <c r="C48" s="364"/>
      <c r="D48" s="364"/>
      <c r="E48" s="365"/>
      <c r="F48" s="363" t="s">
        <v>329</v>
      </c>
      <c r="G48" s="445"/>
    </row>
    <row r="49" spans="2:7" ht="16.5" thickBot="1" x14ac:dyDescent="0.3">
      <c r="B49" s="363" t="s">
        <v>230</v>
      </c>
      <c r="C49" s="364"/>
      <c r="D49" s="364"/>
      <c r="E49" s="365"/>
      <c r="F49" s="363" t="s">
        <v>231</v>
      </c>
      <c r="G49" s="365"/>
    </row>
    <row r="50" spans="2:7" ht="16.5" thickBot="1" x14ac:dyDescent="0.3">
      <c r="B50" s="366" t="s">
        <v>232</v>
      </c>
      <c r="C50" s="367"/>
      <c r="D50" s="367"/>
      <c r="E50" s="367"/>
      <c r="F50" s="367"/>
      <c r="G50" s="368"/>
    </row>
    <row r="51" spans="2:7" ht="16.5" thickBot="1" x14ac:dyDescent="0.3">
      <c r="B51" s="398" t="s">
        <v>494</v>
      </c>
      <c r="C51" s="399"/>
      <c r="D51" s="399"/>
      <c r="E51" s="399"/>
      <c r="F51" s="399"/>
      <c r="G51" s="400"/>
    </row>
    <row r="52" spans="2:7" s="100" customFormat="1" ht="16.5" thickBot="1" x14ac:dyDescent="0.3">
      <c r="B52" s="188" t="s">
        <v>496</v>
      </c>
      <c r="C52" s="189"/>
      <c r="D52" s="189"/>
      <c r="E52" s="189"/>
      <c r="F52" s="189"/>
      <c r="G52" s="190"/>
    </row>
    <row r="53" spans="2:7" s="100" customFormat="1" ht="16.5" thickBot="1" x14ac:dyDescent="0.3">
      <c r="B53" s="188" t="s">
        <v>485</v>
      </c>
      <c r="C53" s="189"/>
      <c r="D53" s="189"/>
      <c r="E53" s="189"/>
      <c r="F53" s="189"/>
      <c r="G53" s="190"/>
    </row>
    <row r="54" spans="2:7" ht="16.5" thickBot="1" x14ac:dyDescent="0.3">
      <c r="B54" s="678" t="s">
        <v>234</v>
      </c>
      <c r="C54" s="679"/>
      <c r="D54" s="679"/>
      <c r="E54" s="679"/>
      <c r="F54" s="679"/>
      <c r="G54" s="680"/>
    </row>
    <row r="55" spans="2:7" ht="25.9" customHeight="1" x14ac:dyDescent="0.25">
      <c r="B55" s="727" t="s">
        <v>777</v>
      </c>
      <c r="C55" s="728"/>
      <c r="D55" s="728"/>
      <c r="E55" s="728"/>
      <c r="F55" s="728"/>
      <c r="G55" s="729"/>
    </row>
    <row r="56" spans="2:7" ht="52.15" customHeight="1" x14ac:dyDescent="0.25">
      <c r="B56" s="721" t="s">
        <v>778</v>
      </c>
      <c r="C56" s="722"/>
      <c r="D56" s="722"/>
      <c r="E56" s="722"/>
      <c r="F56" s="722"/>
      <c r="G56" s="723"/>
    </row>
    <row r="57" spans="2:7" ht="25.9" customHeight="1" x14ac:dyDescent="0.25">
      <c r="B57" s="721" t="s">
        <v>779</v>
      </c>
      <c r="C57" s="722"/>
      <c r="D57" s="722"/>
      <c r="E57" s="722"/>
      <c r="F57" s="722"/>
      <c r="G57" s="723"/>
    </row>
    <row r="58" spans="2:7" ht="25.9" customHeight="1" x14ac:dyDescent="0.25">
      <c r="B58" s="721" t="s">
        <v>780</v>
      </c>
      <c r="C58" s="722"/>
      <c r="D58" s="722"/>
      <c r="E58" s="722"/>
      <c r="F58" s="722"/>
      <c r="G58" s="723"/>
    </row>
    <row r="59" spans="2:7" ht="25.9" customHeight="1" x14ac:dyDescent="0.25">
      <c r="B59" s="721" t="s">
        <v>781</v>
      </c>
      <c r="C59" s="722"/>
      <c r="D59" s="722"/>
      <c r="E59" s="722"/>
      <c r="F59" s="722"/>
      <c r="G59" s="723"/>
    </row>
    <row r="60" spans="2:7" ht="25.9" customHeight="1" x14ac:dyDescent="0.25">
      <c r="B60" s="721" t="s">
        <v>782</v>
      </c>
      <c r="C60" s="722"/>
      <c r="D60" s="722"/>
      <c r="E60" s="722"/>
      <c r="F60" s="722"/>
      <c r="G60" s="723"/>
    </row>
    <row r="61" spans="2:7" x14ac:dyDescent="0.25">
      <c r="B61" s="721"/>
      <c r="C61" s="722"/>
      <c r="D61" s="722"/>
      <c r="E61" s="722"/>
      <c r="F61" s="722"/>
      <c r="G61" s="723"/>
    </row>
    <row r="62" spans="2:7" x14ac:dyDescent="0.25">
      <c r="B62" s="730" t="s">
        <v>310</v>
      </c>
      <c r="C62" s="731"/>
      <c r="D62" s="731"/>
      <c r="E62" s="731"/>
      <c r="F62" s="731"/>
      <c r="G62" s="732"/>
    </row>
    <row r="63" spans="2:7" ht="25.9" customHeight="1" x14ac:dyDescent="0.25">
      <c r="B63" s="721" t="s">
        <v>783</v>
      </c>
      <c r="C63" s="722"/>
      <c r="D63" s="722"/>
      <c r="E63" s="722"/>
      <c r="F63" s="722"/>
      <c r="G63" s="723"/>
    </row>
    <row r="64" spans="2:7" ht="28.9" customHeight="1" x14ac:dyDescent="0.25">
      <c r="B64" s="436" t="s">
        <v>311</v>
      </c>
      <c r="C64" s="437"/>
      <c r="D64" s="437"/>
      <c r="E64" s="437"/>
      <c r="F64" s="437"/>
      <c r="G64" s="438"/>
    </row>
    <row r="65" spans="2:7" ht="25.9" customHeight="1" x14ac:dyDescent="0.25">
      <c r="B65" s="721" t="s">
        <v>784</v>
      </c>
      <c r="C65" s="722"/>
      <c r="D65" s="722"/>
      <c r="E65" s="722"/>
      <c r="F65" s="722"/>
      <c r="G65" s="723"/>
    </row>
    <row r="66" spans="2:7" ht="43.5" customHeight="1" x14ac:dyDescent="0.25">
      <c r="B66" s="436" t="s">
        <v>312</v>
      </c>
      <c r="C66" s="437"/>
      <c r="D66" s="437"/>
      <c r="E66" s="437"/>
      <c r="F66" s="437"/>
      <c r="G66" s="438"/>
    </row>
    <row r="67" spans="2:7" ht="28.9" customHeight="1" x14ac:dyDescent="0.25">
      <c r="B67" s="436" t="s">
        <v>330</v>
      </c>
      <c r="C67" s="437"/>
      <c r="D67" s="437"/>
      <c r="E67" s="437"/>
      <c r="F67" s="437"/>
      <c r="G67" s="438"/>
    </row>
    <row r="68" spans="2:7" ht="25.9" customHeight="1" thickBot="1" x14ac:dyDescent="0.3">
      <c r="B68" s="724" t="s">
        <v>785</v>
      </c>
      <c r="C68" s="725"/>
      <c r="D68" s="725"/>
      <c r="E68" s="725"/>
      <c r="F68" s="725"/>
      <c r="G68" s="726"/>
    </row>
    <row r="69" spans="2:7" x14ac:dyDescent="0.25">
      <c r="B69" s="86"/>
      <c r="C69"/>
      <c r="D69"/>
      <c r="E69"/>
      <c r="F69"/>
      <c r="G69"/>
    </row>
  </sheetData>
  <mergeCells count="77">
    <mergeCell ref="B1:D1"/>
    <mergeCell ref="B2:G2"/>
    <mergeCell ref="B3:E3"/>
    <mergeCell ref="B4:E4"/>
    <mergeCell ref="F4:G4"/>
    <mergeCell ref="B5:E5"/>
    <mergeCell ref="F5:G5"/>
    <mergeCell ref="B12:C12"/>
    <mergeCell ref="D12:G12"/>
    <mergeCell ref="B6:E6"/>
    <mergeCell ref="F6:G6"/>
    <mergeCell ref="B7:E7"/>
    <mergeCell ref="F7:G7"/>
    <mergeCell ref="B8:E8"/>
    <mergeCell ref="F8:G8"/>
    <mergeCell ref="B9:E9"/>
    <mergeCell ref="F9:G9"/>
    <mergeCell ref="B10:G10"/>
    <mergeCell ref="B11:C11"/>
    <mergeCell ref="D11:G11"/>
    <mergeCell ref="B25:G25"/>
    <mergeCell ref="C13:D13"/>
    <mergeCell ref="C14:D14"/>
    <mergeCell ref="B16:G16"/>
    <mergeCell ref="B17:G17"/>
    <mergeCell ref="B18:G18"/>
    <mergeCell ref="B19:G19"/>
    <mergeCell ref="B20:G20"/>
    <mergeCell ref="B21:G21"/>
    <mergeCell ref="B22:G22"/>
    <mergeCell ref="B23:G23"/>
    <mergeCell ref="B24:G24"/>
    <mergeCell ref="B26:G26"/>
    <mergeCell ref="B27:G27"/>
    <mergeCell ref="B28:G28"/>
    <mergeCell ref="B29:G29"/>
    <mergeCell ref="B30:G30"/>
    <mergeCell ref="B31:G31"/>
    <mergeCell ref="B32:G32"/>
    <mergeCell ref="B33:G33"/>
    <mergeCell ref="B34:G34"/>
    <mergeCell ref="B46:E46"/>
    <mergeCell ref="F46:G46"/>
    <mergeCell ref="B35:G35"/>
    <mergeCell ref="B36:G36"/>
    <mergeCell ref="B37:G37"/>
    <mergeCell ref="B38:G38"/>
    <mergeCell ref="B39:G39"/>
    <mergeCell ref="B40:G40"/>
    <mergeCell ref="B41:G41"/>
    <mergeCell ref="B42:G42"/>
    <mergeCell ref="B43:G43"/>
    <mergeCell ref="B44:G44"/>
    <mergeCell ref="B45:G45"/>
    <mergeCell ref="B47:E47"/>
    <mergeCell ref="F47:G47"/>
    <mergeCell ref="B48:E48"/>
    <mergeCell ref="F48:G48"/>
    <mergeCell ref="B49:E49"/>
    <mergeCell ref="F49:G49"/>
    <mergeCell ref="B63:G63"/>
    <mergeCell ref="B50:G50"/>
    <mergeCell ref="B51:G51"/>
    <mergeCell ref="B54:G54"/>
    <mergeCell ref="B55:G55"/>
    <mergeCell ref="B56:G56"/>
    <mergeCell ref="B57:G57"/>
    <mergeCell ref="B58:G58"/>
    <mergeCell ref="B59:G59"/>
    <mergeCell ref="B60:G60"/>
    <mergeCell ref="B61:G61"/>
    <mergeCell ref="B62:G62"/>
    <mergeCell ref="B64:G64"/>
    <mergeCell ref="B65:G65"/>
    <mergeCell ref="B66:G66"/>
    <mergeCell ref="B67:G67"/>
    <mergeCell ref="B68:G68"/>
  </mergeCells>
  <hyperlinks>
    <hyperlink ref="B64" r:id="rId1" display="https://www.networklab.fr/"/>
    <hyperlink ref="B66" r:id="rId2" display="https://www.netacad.com/"/>
    <hyperlink ref="B67" r:id="rId3" display="https://www.netacad.com/"/>
    <hyperlink ref="B1:D1" location="'Schéma d''enseignement'!G21" display="Schéma d'enseignement"/>
  </hyperlinks>
  <pageMargins left="0.7" right="0.7" top="0.75" bottom="0.75" header="0.3" footer="0.3"/>
  <pageSetup orientation="portrait" horizontalDpi="300" verticalDpi="300"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5"/>
  </sheetPr>
  <dimension ref="B1:G58"/>
  <sheetViews>
    <sheetView workbookViewId="0">
      <selection activeCell="B1" sqref="B1:D1"/>
    </sheetView>
  </sheetViews>
  <sheetFormatPr baseColWidth="10" defaultColWidth="8.7109375" defaultRowHeight="15" x14ac:dyDescent="0.25"/>
  <cols>
    <col min="1" max="1" width="4.140625" style="1" customWidth="1"/>
    <col min="2" max="2" width="19.42578125" style="1" customWidth="1"/>
    <col min="3" max="3" width="7.85546875" style="1" customWidth="1"/>
    <col min="4" max="4" width="6.42578125" style="1" customWidth="1"/>
    <col min="5" max="5" width="11.42578125" style="1" customWidth="1"/>
    <col min="6" max="6" width="8.7109375" style="1"/>
    <col min="7" max="7" width="22.28515625" style="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750" t="s">
        <v>318</v>
      </c>
      <c r="G4" s="751"/>
    </row>
    <row r="5" spans="2:7" ht="16.5" thickBot="1" x14ac:dyDescent="0.3">
      <c r="B5" s="424" t="s">
        <v>197</v>
      </c>
      <c r="C5" s="425"/>
      <c r="D5" s="425"/>
      <c r="E5" s="474"/>
      <c r="F5" s="750" t="s">
        <v>305</v>
      </c>
      <c r="G5" s="751"/>
    </row>
    <row r="6" spans="2:7" ht="16.5" thickBot="1" x14ac:dyDescent="0.3">
      <c r="B6" s="366" t="s">
        <v>199</v>
      </c>
      <c r="C6" s="367"/>
      <c r="D6" s="367"/>
      <c r="E6" s="464"/>
      <c r="F6" s="750" t="s">
        <v>306</v>
      </c>
      <c r="G6" s="751"/>
    </row>
    <row r="7" spans="2:7" ht="16.5" thickBot="1" x14ac:dyDescent="0.3">
      <c r="B7" s="366" t="s">
        <v>201</v>
      </c>
      <c r="C7" s="367"/>
      <c r="D7" s="367"/>
      <c r="E7" s="464"/>
      <c r="F7" s="750" t="s">
        <v>307</v>
      </c>
      <c r="G7" s="751"/>
    </row>
    <row r="8" spans="2:7" ht="16.5" thickBot="1" x14ac:dyDescent="0.3">
      <c r="B8" s="366" t="s">
        <v>203</v>
      </c>
      <c r="C8" s="367"/>
      <c r="D8" s="367"/>
      <c r="E8" s="464"/>
      <c r="F8" s="753" t="s">
        <v>331</v>
      </c>
      <c r="G8" s="754"/>
    </row>
    <row r="9" spans="2:7" ht="16.5" thickBot="1" x14ac:dyDescent="0.3">
      <c r="B9" s="366" t="s">
        <v>204</v>
      </c>
      <c r="C9" s="367"/>
      <c r="D9" s="367"/>
      <c r="E9" s="464"/>
      <c r="F9" s="750" t="s">
        <v>332</v>
      </c>
      <c r="G9" s="75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30.75" thickBot="1" x14ac:dyDescent="0.3">
      <c r="B14" s="87" t="s">
        <v>333</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87" customHeight="1" thickBot="1" x14ac:dyDescent="0.3">
      <c r="B17" s="517" t="s">
        <v>334</v>
      </c>
      <c r="C17" s="518"/>
      <c r="D17" s="518"/>
      <c r="E17" s="518"/>
      <c r="F17" s="518"/>
      <c r="G17" s="519"/>
    </row>
    <row r="18" spans="2:7" ht="16.5" thickBot="1" x14ac:dyDescent="0.3">
      <c r="B18" s="366" t="s">
        <v>220</v>
      </c>
      <c r="C18" s="367"/>
      <c r="D18" s="367"/>
      <c r="E18" s="367"/>
      <c r="F18" s="367"/>
      <c r="G18" s="368"/>
    </row>
    <row r="19" spans="2:7" ht="31.15" customHeight="1" x14ac:dyDescent="0.25">
      <c r="B19" s="773" t="s">
        <v>803</v>
      </c>
      <c r="C19" s="774"/>
      <c r="D19" s="774"/>
      <c r="E19" s="774"/>
      <c r="F19" s="774"/>
      <c r="G19" s="775"/>
    </row>
    <row r="20" spans="2:7" ht="31.15" customHeight="1" x14ac:dyDescent="0.25">
      <c r="B20" s="776" t="s">
        <v>804</v>
      </c>
      <c r="C20" s="777"/>
      <c r="D20" s="777"/>
      <c r="E20" s="777"/>
      <c r="F20" s="777"/>
      <c r="G20" s="778"/>
    </row>
    <row r="21" spans="2:7" ht="16.5" customHeight="1" x14ac:dyDescent="0.25">
      <c r="B21" s="776" t="s">
        <v>805</v>
      </c>
      <c r="C21" s="777"/>
      <c r="D21" s="777"/>
      <c r="E21" s="777"/>
      <c r="F21" s="777"/>
      <c r="G21" s="778"/>
    </row>
    <row r="22" spans="2:7" ht="31.15" customHeight="1" x14ac:dyDescent="0.25">
      <c r="B22" s="776" t="s">
        <v>806</v>
      </c>
      <c r="C22" s="777"/>
      <c r="D22" s="777"/>
      <c r="E22" s="777"/>
      <c r="F22" s="777"/>
      <c r="G22" s="778"/>
    </row>
    <row r="23" spans="2:7" ht="31.15" customHeight="1" x14ac:dyDescent="0.25">
      <c r="B23" s="776" t="s">
        <v>807</v>
      </c>
      <c r="C23" s="777"/>
      <c r="D23" s="777"/>
      <c r="E23" s="777"/>
      <c r="F23" s="777"/>
      <c r="G23" s="778"/>
    </row>
    <row r="24" spans="2:7" ht="16.5" thickBot="1" x14ac:dyDescent="0.3">
      <c r="B24" s="384" t="s">
        <v>808</v>
      </c>
      <c r="C24" s="385"/>
      <c r="D24" s="385"/>
      <c r="E24" s="385"/>
      <c r="F24" s="385"/>
      <c r="G24" s="386"/>
    </row>
    <row r="25" spans="2:7" ht="16.5" thickBot="1" x14ac:dyDescent="0.3">
      <c r="B25" s="366" t="s">
        <v>221</v>
      </c>
      <c r="C25" s="367"/>
      <c r="D25" s="367"/>
      <c r="E25" s="367"/>
      <c r="F25" s="367"/>
      <c r="G25" s="368"/>
    </row>
    <row r="26" spans="2:7" ht="16.5" thickBot="1" x14ac:dyDescent="0.3">
      <c r="B26" s="363" t="s">
        <v>802</v>
      </c>
      <c r="C26" s="364"/>
      <c r="D26" s="364"/>
      <c r="E26" s="364"/>
      <c r="F26" s="364"/>
      <c r="G26" s="445"/>
    </row>
    <row r="27" spans="2:7" ht="16.5" thickBot="1" x14ac:dyDescent="0.3">
      <c r="B27" s="366" t="s">
        <v>222</v>
      </c>
      <c r="C27" s="367"/>
      <c r="D27" s="367"/>
      <c r="E27" s="367"/>
      <c r="F27" s="367"/>
      <c r="G27" s="368"/>
    </row>
    <row r="28" spans="2:7" ht="15.75" thickBot="1" x14ac:dyDescent="0.3">
      <c r="B28" s="387" t="s">
        <v>34</v>
      </c>
      <c r="C28" s="388"/>
      <c r="D28" s="388"/>
      <c r="E28" s="388"/>
      <c r="F28" s="388"/>
      <c r="G28" s="389"/>
    </row>
    <row r="29" spans="2:7" ht="15.75" thickBot="1" x14ac:dyDescent="0.3">
      <c r="B29" s="387" t="s">
        <v>45</v>
      </c>
      <c r="C29" s="388"/>
      <c r="D29" s="388"/>
      <c r="E29" s="388"/>
      <c r="F29" s="388"/>
      <c r="G29" s="389"/>
    </row>
    <row r="30" spans="2:7" ht="15.75" thickBot="1" x14ac:dyDescent="0.3">
      <c r="B30" s="387" t="s">
        <v>38</v>
      </c>
      <c r="C30" s="388"/>
      <c r="D30" s="388"/>
      <c r="E30" s="388"/>
      <c r="F30" s="388"/>
      <c r="G30" s="389"/>
    </row>
    <row r="31" spans="2:7" ht="16.5" thickBot="1" x14ac:dyDescent="0.3">
      <c r="B31" s="366" t="s">
        <v>226</v>
      </c>
      <c r="C31" s="367"/>
      <c r="D31" s="367"/>
      <c r="E31" s="367"/>
      <c r="F31" s="367"/>
      <c r="G31" s="368"/>
    </row>
    <row r="32" spans="2:7" ht="58.15" customHeight="1" x14ac:dyDescent="0.25">
      <c r="B32" s="747" t="s">
        <v>335</v>
      </c>
      <c r="C32" s="748"/>
      <c r="D32" s="748"/>
      <c r="E32" s="748"/>
      <c r="F32" s="748"/>
      <c r="G32" s="749"/>
    </row>
    <row r="33" spans="2:7" ht="14.65" customHeight="1" x14ac:dyDescent="0.25">
      <c r="B33" s="744" t="s">
        <v>336</v>
      </c>
      <c r="C33" s="745"/>
      <c r="D33" s="745"/>
      <c r="E33" s="745"/>
      <c r="F33" s="745"/>
      <c r="G33" s="746"/>
    </row>
    <row r="34" spans="2:7" ht="43.5" customHeight="1" x14ac:dyDescent="0.25">
      <c r="B34" s="744" t="s">
        <v>337</v>
      </c>
      <c r="C34" s="745"/>
      <c r="D34" s="745"/>
      <c r="E34" s="745"/>
      <c r="F34" s="745"/>
      <c r="G34" s="746"/>
    </row>
    <row r="35" spans="2:7" ht="14.65" customHeight="1" x14ac:dyDescent="0.25">
      <c r="B35" s="744" t="s">
        <v>338</v>
      </c>
      <c r="C35" s="745"/>
      <c r="D35" s="745"/>
      <c r="E35" s="745"/>
      <c r="F35" s="745"/>
      <c r="G35" s="746"/>
    </row>
    <row r="36" spans="2:7" ht="43.5" customHeight="1" x14ac:dyDescent="0.25">
      <c r="B36" s="744" t="s">
        <v>339</v>
      </c>
      <c r="C36" s="745"/>
      <c r="D36" s="745"/>
      <c r="E36" s="745"/>
      <c r="F36" s="745"/>
      <c r="G36" s="746"/>
    </row>
    <row r="37" spans="2:7" ht="43.5" customHeight="1" x14ac:dyDescent="0.25">
      <c r="B37" s="744" t="s">
        <v>340</v>
      </c>
      <c r="C37" s="745"/>
      <c r="D37" s="745"/>
      <c r="E37" s="745"/>
      <c r="F37" s="745"/>
      <c r="G37" s="746"/>
    </row>
    <row r="38" spans="2:7" ht="72.400000000000006" customHeight="1" x14ac:dyDescent="0.25">
      <c r="B38" s="744" t="s">
        <v>341</v>
      </c>
      <c r="C38" s="745"/>
      <c r="D38" s="745"/>
      <c r="E38" s="745"/>
      <c r="F38" s="745"/>
      <c r="G38" s="746"/>
    </row>
    <row r="39" spans="2:7" ht="43.5" customHeight="1" x14ac:dyDescent="0.25">
      <c r="B39" s="744" t="s">
        <v>800</v>
      </c>
      <c r="C39" s="745"/>
      <c r="D39" s="745"/>
      <c r="E39" s="745"/>
      <c r="F39" s="745"/>
      <c r="G39" s="746"/>
    </row>
    <row r="40" spans="2:7" ht="28.9" customHeight="1" x14ac:dyDescent="0.25">
      <c r="B40" s="449" t="s">
        <v>342</v>
      </c>
      <c r="C40" s="450"/>
      <c r="D40" s="450"/>
      <c r="E40" s="450"/>
      <c r="F40" s="450"/>
      <c r="G40" s="451"/>
    </row>
    <row r="41" spans="2:7" ht="58.15" customHeight="1" x14ac:dyDescent="0.25">
      <c r="B41" s="767" t="s">
        <v>801</v>
      </c>
      <c r="C41" s="768"/>
      <c r="D41" s="768"/>
      <c r="E41" s="768"/>
      <c r="F41" s="768"/>
      <c r="G41" s="769"/>
    </row>
    <row r="42" spans="2:7" ht="28.9" customHeight="1" thickBot="1" x14ac:dyDescent="0.3">
      <c r="B42" s="770" t="s">
        <v>343</v>
      </c>
      <c r="C42" s="771"/>
      <c r="D42" s="771"/>
      <c r="E42" s="771"/>
      <c r="F42" s="771"/>
      <c r="G42" s="772"/>
    </row>
    <row r="43" spans="2:7" ht="16.5" thickBot="1" x14ac:dyDescent="0.3">
      <c r="B43" s="366" t="s">
        <v>227</v>
      </c>
      <c r="C43" s="367"/>
      <c r="D43" s="367"/>
      <c r="E43" s="367"/>
      <c r="F43" s="367"/>
      <c r="G43" s="368"/>
    </row>
    <row r="44" spans="2:7" ht="16.5" thickBot="1" x14ac:dyDescent="0.3">
      <c r="B44" s="363" t="s">
        <v>245</v>
      </c>
      <c r="C44" s="364"/>
      <c r="D44" s="364"/>
      <c r="E44" s="365"/>
      <c r="F44" s="363" t="s">
        <v>231</v>
      </c>
      <c r="G44" s="365"/>
    </row>
    <row r="45" spans="2:7" ht="16.5" thickBot="1" x14ac:dyDescent="0.3">
      <c r="B45" s="363" t="s">
        <v>247</v>
      </c>
      <c r="C45" s="364"/>
      <c r="D45" s="364"/>
      <c r="E45" s="365"/>
      <c r="F45" s="363" t="s">
        <v>231</v>
      </c>
      <c r="G45" s="365"/>
    </row>
    <row r="46" spans="2:7" ht="16.5" thickBot="1" x14ac:dyDescent="0.3">
      <c r="B46" s="363" t="s">
        <v>309</v>
      </c>
      <c r="C46" s="364"/>
      <c r="D46" s="364"/>
      <c r="E46" s="365"/>
      <c r="F46" s="363"/>
      <c r="G46" s="445"/>
    </row>
    <row r="47" spans="2:7" ht="16.5" thickBot="1" x14ac:dyDescent="0.3">
      <c r="B47" s="363" t="s">
        <v>249</v>
      </c>
      <c r="C47" s="364"/>
      <c r="D47" s="364"/>
      <c r="E47" s="365"/>
      <c r="F47" s="363" t="s">
        <v>231</v>
      </c>
      <c r="G47" s="365"/>
    </row>
    <row r="48" spans="2:7" ht="16.5" thickBot="1" x14ac:dyDescent="0.3">
      <c r="B48" s="366" t="s">
        <v>232</v>
      </c>
      <c r="C48" s="367"/>
      <c r="D48" s="367"/>
      <c r="E48" s="367"/>
      <c r="F48" s="367"/>
      <c r="G48" s="368"/>
    </row>
    <row r="49" spans="2:7" ht="16.5" thickBot="1" x14ac:dyDescent="0.3">
      <c r="B49" s="761" t="s">
        <v>497</v>
      </c>
      <c r="C49" s="762"/>
      <c r="D49" s="762"/>
      <c r="E49" s="762"/>
      <c r="F49" s="762"/>
      <c r="G49" s="763"/>
    </row>
    <row r="50" spans="2:7" ht="16.5" thickBot="1" x14ac:dyDescent="0.3">
      <c r="B50" s="192" t="s">
        <v>493</v>
      </c>
      <c r="C50" s="193"/>
      <c r="D50" s="193"/>
      <c r="E50" s="193"/>
      <c r="F50" s="193"/>
      <c r="G50" s="194"/>
    </row>
    <row r="51" spans="2:7" ht="16.5" thickBot="1" x14ac:dyDescent="0.3">
      <c r="B51" s="192" t="s">
        <v>496</v>
      </c>
      <c r="C51" s="193"/>
      <c r="D51" s="193"/>
      <c r="E51" s="193"/>
      <c r="F51" s="193"/>
      <c r="G51" s="194"/>
    </row>
    <row r="52" spans="2:7" ht="16.5" thickBot="1" x14ac:dyDescent="0.3">
      <c r="B52" s="192" t="s">
        <v>485</v>
      </c>
      <c r="C52" s="193"/>
      <c r="D52" s="193"/>
      <c r="E52" s="193"/>
      <c r="F52" s="193"/>
      <c r="G52" s="194"/>
    </row>
    <row r="53" spans="2:7" ht="16.5" thickBot="1" x14ac:dyDescent="0.3">
      <c r="B53" s="678" t="s">
        <v>234</v>
      </c>
      <c r="C53" s="679"/>
      <c r="D53" s="679"/>
      <c r="E53" s="679"/>
      <c r="F53" s="679"/>
      <c r="G53" s="680"/>
    </row>
    <row r="54" spans="2:7" ht="25.9" customHeight="1" x14ac:dyDescent="0.25">
      <c r="B54" s="764" t="s">
        <v>796</v>
      </c>
      <c r="C54" s="765"/>
      <c r="D54" s="765"/>
      <c r="E54" s="765"/>
      <c r="F54" s="765"/>
      <c r="G54" s="766"/>
    </row>
    <row r="55" spans="2:7" ht="25.9" customHeight="1" x14ac:dyDescent="0.25">
      <c r="B55" s="755" t="s">
        <v>797</v>
      </c>
      <c r="C55" s="756"/>
      <c r="D55" s="756"/>
      <c r="E55" s="756"/>
      <c r="F55" s="756"/>
      <c r="G55" s="757"/>
    </row>
    <row r="56" spans="2:7" ht="25.9" customHeight="1" x14ac:dyDescent="0.25">
      <c r="B56" s="755" t="s">
        <v>798</v>
      </c>
      <c r="C56" s="756"/>
      <c r="D56" s="756"/>
      <c r="E56" s="756"/>
      <c r="F56" s="756"/>
      <c r="G56" s="757"/>
    </row>
    <row r="57" spans="2:7" ht="39" customHeight="1" x14ac:dyDescent="0.25">
      <c r="B57" s="755" t="s">
        <v>799</v>
      </c>
      <c r="C57" s="756"/>
      <c r="D57" s="756"/>
      <c r="E57" s="756"/>
      <c r="F57" s="756"/>
      <c r="G57" s="757"/>
    </row>
    <row r="58" spans="2:7" ht="25.9" customHeight="1" thickBot="1" x14ac:dyDescent="0.3">
      <c r="B58" s="758" t="s">
        <v>344</v>
      </c>
      <c r="C58" s="759"/>
      <c r="D58" s="759"/>
      <c r="E58" s="759"/>
      <c r="F58" s="759"/>
      <c r="G58" s="760"/>
    </row>
  </sheetData>
  <mergeCells count="66">
    <mergeCell ref="B1:D1"/>
    <mergeCell ref="B2:G2"/>
    <mergeCell ref="B3:E3"/>
    <mergeCell ref="B4:E4"/>
    <mergeCell ref="F4:G4"/>
    <mergeCell ref="B5:E5"/>
    <mergeCell ref="F5:G5"/>
    <mergeCell ref="B12:C12"/>
    <mergeCell ref="D12:G12"/>
    <mergeCell ref="B6:E6"/>
    <mergeCell ref="F6:G6"/>
    <mergeCell ref="B7:E7"/>
    <mergeCell ref="F7:G7"/>
    <mergeCell ref="B8:E8"/>
    <mergeCell ref="F8:G8"/>
    <mergeCell ref="B9:E9"/>
    <mergeCell ref="F9:G9"/>
    <mergeCell ref="B10:G10"/>
    <mergeCell ref="B11:C11"/>
    <mergeCell ref="D11:G11"/>
    <mergeCell ref="B25:G25"/>
    <mergeCell ref="C13:D13"/>
    <mergeCell ref="C14:D14"/>
    <mergeCell ref="B16:G16"/>
    <mergeCell ref="B17:G17"/>
    <mergeCell ref="B18:G18"/>
    <mergeCell ref="B19:G19"/>
    <mergeCell ref="B20:G20"/>
    <mergeCell ref="B21:G21"/>
    <mergeCell ref="B22:G22"/>
    <mergeCell ref="B23:G23"/>
    <mergeCell ref="B24:G24"/>
    <mergeCell ref="B31:G31"/>
    <mergeCell ref="B26:G26"/>
    <mergeCell ref="B27:G27"/>
    <mergeCell ref="B29:G29"/>
    <mergeCell ref="B30:G30"/>
    <mergeCell ref="B28:G28"/>
    <mergeCell ref="B43:G43"/>
    <mergeCell ref="B32:G32"/>
    <mergeCell ref="B33:G33"/>
    <mergeCell ref="B34:G34"/>
    <mergeCell ref="B35:G35"/>
    <mergeCell ref="B36:G36"/>
    <mergeCell ref="B37:G37"/>
    <mergeCell ref="B38:G38"/>
    <mergeCell ref="B39:G39"/>
    <mergeCell ref="B40:G40"/>
    <mergeCell ref="B41:G41"/>
    <mergeCell ref="B42:G42"/>
    <mergeCell ref="B44:E44"/>
    <mergeCell ref="F44:G44"/>
    <mergeCell ref="B45:E45"/>
    <mergeCell ref="F45:G45"/>
    <mergeCell ref="B46:E46"/>
    <mergeCell ref="F46:G46"/>
    <mergeCell ref="B55:G55"/>
    <mergeCell ref="B56:G56"/>
    <mergeCell ref="B57:G57"/>
    <mergeCell ref="B58:G58"/>
    <mergeCell ref="B47:E47"/>
    <mergeCell ref="F47:G47"/>
    <mergeCell ref="B48:G48"/>
    <mergeCell ref="B49:G49"/>
    <mergeCell ref="B53:G53"/>
    <mergeCell ref="B54:G54"/>
  </mergeCells>
  <hyperlinks>
    <hyperlink ref="B1:D1" location="'Schéma d''enseignement'!G22" display="Schéma d'enseignement"/>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5"/>
  </sheetPr>
  <dimension ref="B1:G67"/>
  <sheetViews>
    <sheetView workbookViewId="0">
      <selection activeCell="B1" sqref="B1:D1"/>
    </sheetView>
  </sheetViews>
  <sheetFormatPr baseColWidth="10" defaultColWidth="8.7109375" defaultRowHeight="15" x14ac:dyDescent="0.25"/>
  <cols>
    <col min="1" max="1" width="2.42578125" style="1" customWidth="1"/>
    <col min="2" max="2" width="18.28515625" style="1" bestFit="1" customWidth="1"/>
    <col min="3" max="4" width="7.5703125" style="1" customWidth="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785" t="s">
        <v>318</v>
      </c>
      <c r="G4" s="786"/>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331</v>
      </c>
      <c r="G8" s="754"/>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39" thickBot="1" x14ac:dyDescent="0.3">
      <c r="B14" s="88" t="s">
        <v>137</v>
      </c>
      <c r="C14" s="410">
        <v>42</v>
      </c>
      <c r="D14" s="412"/>
      <c r="E14" s="120">
        <v>3</v>
      </c>
      <c r="F14" s="120">
        <v>3</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58.15" customHeight="1" thickBot="1" x14ac:dyDescent="0.3">
      <c r="B17" s="517" t="s">
        <v>348</v>
      </c>
      <c r="C17" s="518"/>
      <c r="D17" s="518"/>
      <c r="E17" s="518"/>
      <c r="F17" s="518"/>
      <c r="G17" s="519"/>
    </row>
    <row r="18" spans="2:7" ht="16.5" thickBot="1" x14ac:dyDescent="0.3">
      <c r="B18" s="366" t="s">
        <v>220</v>
      </c>
      <c r="C18" s="367"/>
      <c r="D18" s="367"/>
      <c r="E18" s="367"/>
      <c r="F18" s="367"/>
      <c r="G18" s="368"/>
    </row>
    <row r="19" spans="2:7" ht="16.5" customHeight="1" x14ac:dyDescent="0.25">
      <c r="B19" s="773" t="s">
        <v>809</v>
      </c>
      <c r="C19" s="774"/>
      <c r="D19" s="774"/>
      <c r="E19" s="774"/>
      <c r="F19" s="774"/>
      <c r="G19" s="775"/>
    </row>
    <row r="20" spans="2:7" ht="16.5" customHeight="1" x14ac:dyDescent="0.25">
      <c r="B20" s="776" t="s">
        <v>810</v>
      </c>
      <c r="C20" s="777"/>
      <c r="D20" s="777"/>
      <c r="E20" s="777"/>
      <c r="F20" s="777"/>
      <c r="G20" s="778"/>
    </row>
    <row r="21" spans="2:7" ht="14.65" customHeight="1" x14ac:dyDescent="0.25">
      <c r="B21" s="513" t="s">
        <v>811</v>
      </c>
      <c r="C21" s="393"/>
      <c r="D21" s="393"/>
      <c r="E21" s="393"/>
      <c r="F21" s="393"/>
      <c r="G21" s="394"/>
    </row>
    <row r="22" spans="2:7" ht="16.5" thickBot="1" x14ac:dyDescent="0.3">
      <c r="B22" s="384" t="s">
        <v>812</v>
      </c>
      <c r="C22" s="385"/>
      <c r="D22" s="385"/>
      <c r="E22" s="385"/>
      <c r="F22" s="385"/>
      <c r="G22" s="386"/>
    </row>
    <row r="23" spans="2:7" ht="16.5" thickBot="1" x14ac:dyDescent="0.3">
      <c r="B23" s="366" t="s">
        <v>221</v>
      </c>
      <c r="C23" s="367"/>
      <c r="D23" s="367"/>
      <c r="E23" s="367"/>
      <c r="F23" s="367"/>
      <c r="G23" s="368"/>
    </row>
    <row r="24" spans="2:7" ht="16.5" thickBot="1" x14ac:dyDescent="0.3">
      <c r="B24" s="363" t="s">
        <v>813</v>
      </c>
      <c r="C24" s="364"/>
      <c r="D24" s="364"/>
      <c r="E24" s="364"/>
      <c r="F24" s="364"/>
      <c r="G24" s="445"/>
    </row>
    <row r="25" spans="2:7" ht="16.5" thickBot="1" x14ac:dyDescent="0.3">
      <c r="B25" s="366" t="s">
        <v>222</v>
      </c>
      <c r="C25" s="367"/>
      <c r="D25" s="367"/>
      <c r="E25" s="367"/>
      <c r="F25" s="367"/>
      <c r="G25" s="368"/>
    </row>
    <row r="26" spans="2:7" ht="15.75" thickBot="1" x14ac:dyDescent="0.3">
      <c r="B26" s="387" t="s">
        <v>240</v>
      </c>
      <c r="C26" s="388"/>
      <c r="D26" s="388"/>
      <c r="E26" s="388"/>
      <c r="F26" s="388"/>
      <c r="G26" s="389"/>
    </row>
    <row r="27" spans="2:7" ht="15.75" thickBot="1" x14ac:dyDescent="0.3">
      <c r="B27" s="387" t="s">
        <v>241</v>
      </c>
      <c r="C27" s="388"/>
      <c r="D27" s="388"/>
      <c r="E27" s="388"/>
      <c r="F27" s="388"/>
      <c r="G27" s="389"/>
    </row>
    <row r="28" spans="2:7" ht="15.75" thickBot="1" x14ac:dyDescent="0.3">
      <c r="B28" s="387" t="s">
        <v>38</v>
      </c>
      <c r="C28" s="388"/>
      <c r="D28" s="388"/>
      <c r="E28" s="388"/>
      <c r="F28" s="388"/>
      <c r="G28" s="389"/>
    </row>
    <row r="29" spans="2:7" ht="15.75" thickBot="1" x14ac:dyDescent="0.3">
      <c r="B29" s="387" t="s">
        <v>45</v>
      </c>
      <c r="C29" s="388"/>
      <c r="D29" s="388"/>
      <c r="E29" s="388"/>
      <c r="F29" s="388"/>
      <c r="G29" s="389"/>
    </row>
    <row r="30" spans="2:7" ht="15.75" thickBot="1" x14ac:dyDescent="0.3">
      <c r="B30" s="387" t="s">
        <v>46</v>
      </c>
      <c r="C30" s="388"/>
      <c r="D30" s="388"/>
      <c r="E30" s="388"/>
      <c r="F30" s="388"/>
      <c r="G30" s="389"/>
    </row>
    <row r="31" spans="2:7" ht="15.75" thickBot="1" x14ac:dyDescent="0.3">
      <c r="B31" s="387" t="s">
        <v>34</v>
      </c>
      <c r="C31" s="388"/>
      <c r="D31" s="388"/>
      <c r="E31" s="388"/>
      <c r="F31" s="388"/>
      <c r="G31" s="389"/>
    </row>
    <row r="32" spans="2:7" ht="16.5" thickBot="1" x14ac:dyDescent="0.3">
      <c r="B32" s="366" t="s">
        <v>226</v>
      </c>
      <c r="C32" s="367"/>
      <c r="D32" s="367"/>
      <c r="E32" s="367"/>
      <c r="F32" s="367"/>
      <c r="G32" s="368"/>
    </row>
    <row r="33" spans="2:7" ht="14.65" customHeight="1" x14ac:dyDescent="0.25">
      <c r="B33" s="733" t="s">
        <v>814</v>
      </c>
      <c r="C33" s="734"/>
      <c r="D33" s="734"/>
      <c r="E33" s="734"/>
      <c r="F33" s="734"/>
      <c r="G33" s="735"/>
    </row>
    <row r="34" spans="2:7" ht="43.5" customHeight="1" x14ac:dyDescent="0.25">
      <c r="B34" s="779" t="s">
        <v>815</v>
      </c>
      <c r="C34" s="780"/>
      <c r="D34" s="780"/>
      <c r="E34" s="780"/>
      <c r="F34" s="780"/>
      <c r="G34" s="781"/>
    </row>
    <row r="35" spans="2:7" ht="14.65" customHeight="1" x14ac:dyDescent="0.25">
      <c r="B35" s="736" t="s">
        <v>816</v>
      </c>
      <c r="C35" s="482"/>
      <c r="D35" s="482"/>
      <c r="E35" s="482"/>
      <c r="F35" s="482"/>
      <c r="G35" s="737"/>
    </row>
    <row r="36" spans="2:7" ht="28.9" customHeight="1" x14ac:dyDescent="0.25">
      <c r="B36" s="779" t="s">
        <v>817</v>
      </c>
      <c r="C36" s="780"/>
      <c r="D36" s="780"/>
      <c r="E36" s="780"/>
      <c r="F36" s="780"/>
      <c r="G36" s="781"/>
    </row>
    <row r="37" spans="2:7" ht="43.5" customHeight="1" x14ac:dyDescent="0.25">
      <c r="B37" s="779" t="s">
        <v>818</v>
      </c>
      <c r="C37" s="780"/>
      <c r="D37" s="780"/>
      <c r="E37" s="780"/>
      <c r="F37" s="780"/>
      <c r="G37" s="781"/>
    </row>
    <row r="38" spans="2:7" ht="28.9" customHeight="1" x14ac:dyDescent="0.25">
      <c r="B38" s="779" t="s">
        <v>819</v>
      </c>
      <c r="C38" s="780"/>
      <c r="D38" s="780"/>
      <c r="E38" s="780"/>
      <c r="F38" s="780"/>
      <c r="G38" s="781"/>
    </row>
    <row r="39" spans="2:7" ht="28.9" customHeight="1" x14ac:dyDescent="0.25">
      <c r="B39" s="779" t="s">
        <v>820</v>
      </c>
      <c r="C39" s="780"/>
      <c r="D39" s="780"/>
      <c r="E39" s="780"/>
      <c r="F39" s="780"/>
      <c r="G39" s="781"/>
    </row>
    <row r="40" spans="2:7" ht="14.65" customHeight="1" x14ac:dyDescent="0.25">
      <c r="B40" s="779" t="s">
        <v>821</v>
      </c>
      <c r="C40" s="780"/>
      <c r="D40" s="780"/>
      <c r="E40" s="780"/>
      <c r="F40" s="780"/>
      <c r="G40" s="781"/>
    </row>
    <row r="41" spans="2:7" ht="14.65" customHeight="1" x14ac:dyDescent="0.25">
      <c r="B41" s="736" t="s">
        <v>822</v>
      </c>
      <c r="C41" s="482"/>
      <c r="D41" s="482"/>
      <c r="E41" s="482"/>
      <c r="F41" s="482"/>
      <c r="G41" s="737"/>
    </row>
    <row r="42" spans="2:7" ht="45.4" customHeight="1" x14ac:dyDescent="0.25">
      <c r="B42" s="782" t="s">
        <v>823</v>
      </c>
      <c r="C42" s="783"/>
      <c r="D42" s="783"/>
      <c r="E42" s="783"/>
      <c r="F42" s="783"/>
      <c r="G42" s="784"/>
    </row>
    <row r="43" spans="2:7" ht="28.9" customHeight="1" x14ac:dyDescent="0.25">
      <c r="B43" s="779" t="s">
        <v>824</v>
      </c>
      <c r="C43" s="780"/>
      <c r="D43" s="780"/>
      <c r="E43" s="780"/>
      <c r="F43" s="780"/>
      <c r="G43" s="781"/>
    </row>
    <row r="44" spans="2:7" ht="28.9" customHeight="1" x14ac:dyDescent="0.25">
      <c r="B44" s="779" t="s">
        <v>825</v>
      </c>
      <c r="C44" s="780"/>
      <c r="D44" s="780"/>
      <c r="E44" s="780"/>
      <c r="F44" s="780"/>
      <c r="G44" s="781"/>
    </row>
    <row r="45" spans="2:7" ht="14.65" customHeight="1" x14ac:dyDescent="0.25">
      <c r="B45" s="736" t="s">
        <v>826</v>
      </c>
      <c r="C45" s="482"/>
      <c r="D45" s="482"/>
      <c r="E45" s="482"/>
      <c r="F45" s="482"/>
      <c r="G45" s="737"/>
    </row>
    <row r="46" spans="2:7" ht="28.9" customHeight="1" x14ac:dyDescent="0.25">
      <c r="B46" s="779" t="s">
        <v>827</v>
      </c>
      <c r="C46" s="780"/>
      <c r="D46" s="780"/>
      <c r="E46" s="780"/>
      <c r="F46" s="780"/>
      <c r="G46" s="781"/>
    </row>
    <row r="47" spans="2:7" ht="14.65" customHeight="1" x14ac:dyDescent="0.25">
      <c r="B47" s="779" t="s">
        <v>828</v>
      </c>
      <c r="C47" s="780"/>
      <c r="D47" s="780"/>
      <c r="E47" s="780"/>
      <c r="F47" s="780"/>
      <c r="G47" s="781"/>
    </row>
    <row r="48" spans="2:7" ht="43.5" customHeight="1" x14ac:dyDescent="0.25">
      <c r="B48" s="736" t="s">
        <v>829</v>
      </c>
      <c r="C48" s="482"/>
      <c r="D48" s="482"/>
      <c r="E48" s="482"/>
      <c r="F48" s="482"/>
      <c r="G48" s="737"/>
    </row>
    <row r="49" spans="2:7" ht="14.65" customHeight="1" x14ac:dyDescent="0.25">
      <c r="B49" s="736" t="s">
        <v>830</v>
      </c>
      <c r="C49" s="482"/>
      <c r="D49" s="482"/>
      <c r="E49" s="482"/>
      <c r="F49" s="482"/>
      <c r="G49" s="737"/>
    </row>
    <row r="50" spans="2:7" ht="14.65" customHeight="1" x14ac:dyDescent="0.25">
      <c r="B50" s="779" t="s">
        <v>831</v>
      </c>
      <c r="C50" s="780"/>
      <c r="D50" s="780"/>
      <c r="E50" s="780"/>
      <c r="F50" s="780"/>
      <c r="G50" s="781"/>
    </row>
    <row r="51" spans="2:7" ht="28.9" customHeight="1" x14ac:dyDescent="0.25">
      <c r="B51" s="779" t="s">
        <v>832</v>
      </c>
      <c r="C51" s="780"/>
      <c r="D51" s="780"/>
      <c r="E51" s="780"/>
      <c r="F51" s="780"/>
      <c r="G51" s="781"/>
    </row>
    <row r="52" spans="2:7" ht="28.9" customHeight="1" x14ac:dyDescent="0.25">
      <c r="B52" s="779" t="s">
        <v>833</v>
      </c>
      <c r="C52" s="780"/>
      <c r="D52" s="780"/>
      <c r="E52" s="780"/>
      <c r="F52" s="780"/>
      <c r="G52" s="781"/>
    </row>
    <row r="53" spans="2:7" ht="43.5" customHeight="1" x14ac:dyDescent="0.25">
      <c r="B53" s="736" t="s">
        <v>834</v>
      </c>
      <c r="C53" s="482"/>
      <c r="D53" s="482"/>
      <c r="E53" s="482"/>
      <c r="F53" s="482"/>
      <c r="G53" s="737"/>
    </row>
    <row r="54" spans="2:7" ht="58.15" customHeight="1" thickBot="1" x14ac:dyDescent="0.3">
      <c r="B54" s="427" t="s">
        <v>835</v>
      </c>
      <c r="C54" s="428"/>
      <c r="D54" s="428"/>
      <c r="E54" s="428"/>
      <c r="F54" s="428"/>
      <c r="G54" s="429"/>
    </row>
    <row r="55" spans="2:7" ht="16.5" thickBot="1" x14ac:dyDescent="0.3">
      <c r="B55" s="366" t="s">
        <v>227</v>
      </c>
      <c r="C55" s="367"/>
      <c r="D55" s="367"/>
      <c r="E55" s="367"/>
      <c r="F55" s="367"/>
      <c r="G55" s="368"/>
    </row>
    <row r="56" spans="2:7" ht="16.5" thickBot="1" x14ac:dyDescent="0.3">
      <c r="B56" s="363" t="s">
        <v>309</v>
      </c>
      <c r="C56" s="364"/>
      <c r="D56" s="364"/>
      <c r="E56" s="365"/>
      <c r="F56" s="363" t="s">
        <v>231</v>
      </c>
      <c r="G56" s="445"/>
    </row>
    <row r="57" spans="2:7" ht="16.5" thickBot="1" x14ac:dyDescent="0.3">
      <c r="B57" s="363" t="s">
        <v>249</v>
      </c>
      <c r="C57" s="364"/>
      <c r="D57" s="364"/>
      <c r="E57" s="365"/>
      <c r="F57" s="363" t="s">
        <v>231</v>
      </c>
      <c r="G57" s="365"/>
    </row>
    <row r="58" spans="2:7" ht="16.5" thickBot="1" x14ac:dyDescent="0.3">
      <c r="B58" s="366" t="s">
        <v>232</v>
      </c>
      <c r="C58" s="367"/>
      <c r="D58" s="367"/>
      <c r="E58" s="367"/>
      <c r="F58" s="367"/>
      <c r="G58" s="368"/>
    </row>
    <row r="59" spans="2:7" ht="16.5" thickBot="1" x14ac:dyDescent="0.3">
      <c r="B59" s="363" t="s">
        <v>494</v>
      </c>
      <c r="C59" s="364"/>
      <c r="D59" s="364"/>
      <c r="E59" s="364"/>
      <c r="F59" s="364"/>
      <c r="G59" s="445"/>
    </row>
    <row r="60" spans="2:7" ht="16.5" thickBot="1" x14ac:dyDescent="0.3">
      <c r="B60" s="192" t="s">
        <v>496</v>
      </c>
      <c r="C60" s="195"/>
      <c r="D60" s="195"/>
      <c r="E60" s="195"/>
      <c r="F60" s="195"/>
      <c r="G60" s="196"/>
    </row>
    <row r="61" spans="2:7" ht="16.5" thickBot="1" x14ac:dyDescent="0.3">
      <c r="B61" s="192" t="s">
        <v>485</v>
      </c>
      <c r="C61" s="195"/>
      <c r="D61" s="195"/>
      <c r="E61" s="195"/>
      <c r="F61" s="195"/>
      <c r="G61" s="196"/>
    </row>
    <row r="62" spans="2:7" ht="16.5" thickBot="1" x14ac:dyDescent="0.3">
      <c r="B62" s="678" t="s">
        <v>234</v>
      </c>
      <c r="C62" s="679"/>
      <c r="D62" s="679"/>
      <c r="E62" s="679"/>
      <c r="F62" s="679"/>
      <c r="G62" s="680"/>
    </row>
    <row r="63" spans="2:7" ht="25.9" customHeight="1" x14ac:dyDescent="0.25">
      <c r="B63" s="764" t="s">
        <v>796</v>
      </c>
      <c r="C63" s="765"/>
      <c r="D63" s="765"/>
      <c r="E63" s="765"/>
      <c r="F63" s="765"/>
      <c r="G63" s="766"/>
    </row>
    <row r="64" spans="2:7" ht="25.9" customHeight="1" x14ac:dyDescent="0.25">
      <c r="B64" s="755" t="s">
        <v>836</v>
      </c>
      <c r="C64" s="756"/>
      <c r="D64" s="756"/>
      <c r="E64" s="756"/>
      <c r="F64" s="756"/>
      <c r="G64" s="757"/>
    </row>
    <row r="65" spans="2:7" ht="25.9" customHeight="1" x14ac:dyDescent="0.25">
      <c r="B65" s="755" t="s">
        <v>798</v>
      </c>
      <c r="C65" s="756"/>
      <c r="D65" s="756"/>
      <c r="E65" s="756"/>
      <c r="F65" s="756"/>
      <c r="G65" s="757"/>
    </row>
    <row r="66" spans="2:7" ht="39" customHeight="1" x14ac:dyDescent="0.25">
      <c r="B66" s="755" t="s">
        <v>799</v>
      </c>
      <c r="C66" s="756"/>
      <c r="D66" s="756"/>
      <c r="E66" s="756"/>
      <c r="F66" s="756"/>
      <c r="G66" s="757"/>
    </row>
    <row r="67" spans="2:7" ht="25.9" customHeight="1" thickBot="1" x14ac:dyDescent="0.3">
      <c r="B67" s="758" t="s">
        <v>344</v>
      </c>
      <c r="C67" s="759"/>
      <c r="D67" s="759"/>
      <c r="E67" s="759"/>
      <c r="F67" s="759"/>
      <c r="G67" s="760"/>
    </row>
  </sheetData>
  <mergeCells count="74">
    <mergeCell ref="B1:D1"/>
    <mergeCell ref="B12:C12"/>
    <mergeCell ref="D12:G12"/>
    <mergeCell ref="B6:E6"/>
    <mergeCell ref="F6:G6"/>
    <mergeCell ref="B7:E7"/>
    <mergeCell ref="F7:G7"/>
    <mergeCell ref="B8:E8"/>
    <mergeCell ref="F8:G8"/>
    <mergeCell ref="B9:E9"/>
    <mergeCell ref="F9:G9"/>
    <mergeCell ref="B10:G10"/>
    <mergeCell ref="B11:C11"/>
    <mergeCell ref="D11:G11"/>
    <mergeCell ref="B2:G2"/>
    <mergeCell ref="B3:E3"/>
    <mergeCell ref="B4:E4"/>
    <mergeCell ref="F4:G4"/>
    <mergeCell ref="B5:E5"/>
    <mergeCell ref="F5:G5"/>
    <mergeCell ref="B25:G25"/>
    <mergeCell ref="C13:D13"/>
    <mergeCell ref="C14:D14"/>
    <mergeCell ref="B16:G16"/>
    <mergeCell ref="B17:G17"/>
    <mergeCell ref="B18:G18"/>
    <mergeCell ref="B19:G19"/>
    <mergeCell ref="B20:G20"/>
    <mergeCell ref="B21:G21"/>
    <mergeCell ref="B22:G22"/>
    <mergeCell ref="B23:G23"/>
    <mergeCell ref="B24:G24"/>
    <mergeCell ref="B34:G34"/>
    <mergeCell ref="B32:G32"/>
    <mergeCell ref="B33:G33"/>
    <mergeCell ref="B26:G26"/>
    <mergeCell ref="B27:G27"/>
    <mergeCell ref="B28:G28"/>
    <mergeCell ref="B29:G29"/>
    <mergeCell ref="B30:G30"/>
    <mergeCell ref="B31:G31"/>
    <mergeCell ref="B46:G46"/>
    <mergeCell ref="B35:G35"/>
    <mergeCell ref="B36:G36"/>
    <mergeCell ref="B37:G37"/>
    <mergeCell ref="B38:G38"/>
    <mergeCell ref="B39:G39"/>
    <mergeCell ref="B40:G40"/>
    <mergeCell ref="B41:G41"/>
    <mergeCell ref="B42:G42"/>
    <mergeCell ref="B43:G43"/>
    <mergeCell ref="B44:G44"/>
    <mergeCell ref="B45:G45"/>
    <mergeCell ref="B57:E57"/>
    <mergeCell ref="F57:G57"/>
    <mergeCell ref="B47:G47"/>
    <mergeCell ref="B48:G48"/>
    <mergeCell ref="B49:G49"/>
    <mergeCell ref="B50:G50"/>
    <mergeCell ref="B51:G51"/>
    <mergeCell ref="B52:G52"/>
    <mergeCell ref="B53:G53"/>
    <mergeCell ref="B54:G54"/>
    <mergeCell ref="B55:G55"/>
    <mergeCell ref="B56:E56"/>
    <mergeCell ref="F56:G56"/>
    <mergeCell ref="B66:G66"/>
    <mergeCell ref="B67:G67"/>
    <mergeCell ref="B58:G58"/>
    <mergeCell ref="B59:G59"/>
    <mergeCell ref="B62:G62"/>
    <mergeCell ref="B63:G63"/>
    <mergeCell ref="B64:G64"/>
    <mergeCell ref="B65:G65"/>
  </mergeCells>
  <hyperlinks>
    <hyperlink ref="B1:D1" location="'Schéma d''enseignement'!G23" display="Schéma d'enseignement"/>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theme="5"/>
  </sheetPr>
  <dimension ref="B1:G53"/>
  <sheetViews>
    <sheetView workbookViewId="0">
      <selection activeCell="B1" sqref="B1:D1"/>
    </sheetView>
  </sheetViews>
  <sheetFormatPr baseColWidth="10" defaultColWidth="8.7109375" defaultRowHeight="15" x14ac:dyDescent="0.25"/>
  <cols>
    <col min="1" max="1" width="2" style="1" customWidth="1"/>
    <col min="2" max="2" width="19.140625" style="1" customWidth="1"/>
    <col min="3" max="4" width="7.28515625" style="1" customWidth="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689" t="s">
        <v>304</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90</v>
      </c>
      <c r="G8" s="754"/>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12" t="s">
        <v>209</v>
      </c>
      <c r="C12" s="573"/>
      <c r="D12" s="407"/>
      <c r="E12" s="408"/>
      <c r="F12" s="408"/>
      <c r="G12" s="802"/>
    </row>
    <row r="13" spans="2:7" ht="16.5" thickBot="1" x14ac:dyDescent="0.3">
      <c r="B13" s="79" t="s">
        <v>210</v>
      </c>
      <c r="C13" s="404" t="s">
        <v>211</v>
      </c>
      <c r="D13" s="406"/>
      <c r="E13" s="70" t="s">
        <v>212</v>
      </c>
      <c r="F13" s="70" t="s">
        <v>213</v>
      </c>
      <c r="G13" s="80" t="s">
        <v>214</v>
      </c>
    </row>
    <row r="14" spans="2:7" ht="52.5" thickBot="1" x14ac:dyDescent="0.3">
      <c r="B14" s="81" t="s">
        <v>349</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58.15" customHeight="1" thickBot="1" x14ac:dyDescent="0.3">
      <c r="B17" s="517" t="s">
        <v>350</v>
      </c>
      <c r="C17" s="518"/>
      <c r="D17" s="518"/>
      <c r="E17" s="518"/>
      <c r="F17" s="518"/>
      <c r="G17" s="519"/>
    </row>
    <row r="18" spans="2:7" ht="16.5" thickBot="1" x14ac:dyDescent="0.3">
      <c r="B18" s="366" t="s">
        <v>220</v>
      </c>
      <c r="C18" s="367"/>
      <c r="D18" s="367"/>
      <c r="E18" s="367"/>
      <c r="F18" s="367"/>
      <c r="G18" s="368"/>
    </row>
    <row r="19" spans="2:7" ht="31.15" customHeight="1" x14ac:dyDescent="0.25">
      <c r="B19" s="806" t="s">
        <v>351</v>
      </c>
      <c r="C19" s="807"/>
      <c r="D19" s="807"/>
      <c r="E19" s="807"/>
      <c r="F19" s="807"/>
      <c r="G19" s="808"/>
    </row>
    <row r="20" spans="2:7" ht="14.65" customHeight="1" x14ac:dyDescent="0.25">
      <c r="B20" s="593" t="s">
        <v>352</v>
      </c>
      <c r="C20" s="594"/>
      <c r="D20" s="594"/>
      <c r="E20" s="594"/>
      <c r="F20" s="594"/>
      <c r="G20" s="595"/>
    </row>
    <row r="21" spans="2:7" ht="43.5" customHeight="1" x14ac:dyDescent="0.25">
      <c r="B21" s="580" t="s">
        <v>353</v>
      </c>
      <c r="C21" s="581"/>
      <c r="D21" s="581"/>
      <c r="E21" s="581"/>
      <c r="F21" s="581"/>
      <c r="G21" s="582"/>
    </row>
    <row r="22" spans="2:7" ht="14.65" customHeight="1" x14ac:dyDescent="0.25">
      <c r="B22" s="593" t="s">
        <v>354</v>
      </c>
      <c r="C22" s="594"/>
      <c r="D22" s="594"/>
      <c r="E22" s="594"/>
      <c r="F22" s="594"/>
      <c r="G22" s="595"/>
    </row>
    <row r="23" spans="2:7" ht="16.5" thickBot="1" x14ac:dyDescent="0.3">
      <c r="B23" s="384" t="s">
        <v>845</v>
      </c>
      <c r="C23" s="385"/>
      <c r="D23" s="385"/>
      <c r="E23" s="385"/>
      <c r="F23" s="385"/>
      <c r="G23" s="386"/>
    </row>
    <row r="24" spans="2:7" ht="16.5" thickBot="1" x14ac:dyDescent="0.3">
      <c r="B24" s="366" t="s">
        <v>221</v>
      </c>
      <c r="C24" s="367"/>
      <c r="D24" s="367"/>
      <c r="E24" s="367"/>
      <c r="F24" s="367"/>
      <c r="G24" s="368"/>
    </row>
    <row r="25" spans="2:7" ht="16.5" thickBot="1" x14ac:dyDescent="0.3">
      <c r="B25" s="363" t="s">
        <v>844</v>
      </c>
      <c r="C25" s="364"/>
      <c r="D25" s="364"/>
      <c r="E25" s="364"/>
      <c r="F25" s="364"/>
      <c r="G25" s="445"/>
    </row>
    <row r="26" spans="2:7" ht="16.5" thickBot="1" x14ac:dyDescent="0.3">
      <c r="B26" s="366" t="s">
        <v>222</v>
      </c>
      <c r="C26" s="367"/>
      <c r="D26" s="367"/>
      <c r="E26" s="367"/>
      <c r="F26" s="367"/>
      <c r="G26" s="368"/>
    </row>
    <row r="27" spans="2:7" ht="15.75" thickBot="1" x14ac:dyDescent="0.3">
      <c r="B27" s="387" t="s">
        <v>1211</v>
      </c>
      <c r="C27" s="388"/>
      <c r="D27" s="388"/>
      <c r="E27" s="388"/>
      <c r="F27" s="388"/>
      <c r="G27" s="389"/>
    </row>
    <row r="28" spans="2:7" ht="15.75" thickBot="1" x14ac:dyDescent="0.3">
      <c r="B28" s="387" t="s">
        <v>34</v>
      </c>
      <c r="C28" s="388"/>
      <c r="D28" s="388"/>
      <c r="E28" s="388"/>
      <c r="F28" s="388"/>
      <c r="G28" s="389"/>
    </row>
    <row r="29" spans="2:7" ht="15.75" thickBot="1" x14ac:dyDescent="0.3">
      <c r="B29" s="387" t="s">
        <v>256</v>
      </c>
      <c r="C29" s="388"/>
      <c r="D29" s="388"/>
      <c r="E29" s="388"/>
      <c r="F29" s="388"/>
      <c r="G29" s="389"/>
    </row>
    <row r="30" spans="2:7" ht="15.75" thickBot="1" x14ac:dyDescent="0.3">
      <c r="B30" s="387" t="s">
        <v>40</v>
      </c>
      <c r="C30" s="388"/>
      <c r="D30" s="388"/>
      <c r="E30" s="388"/>
      <c r="F30" s="388"/>
      <c r="G30" s="389"/>
    </row>
    <row r="31" spans="2:7" ht="15.75" thickBot="1" x14ac:dyDescent="0.3">
      <c r="B31" s="387" t="s">
        <v>44</v>
      </c>
      <c r="C31" s="388"/>
      <c r="D31" s="388"/>
      <c r="E31" s="388"/>
      <c r="F31" s="388"/>
      <c r="G31" s="389"/>
    </row>
    <row r="32" spans="2:7" ht="15.75" thickBot="1" x14ac:dyDescent="0.3">
      <c r="B32" s="387" t="s">
        <v>1122</v>
      </c>
      <c r="C32" s="388"/>
      <c r="D32" s="388"/>
      <c r="E32" s="388"/>
      <c r="F32" s="388"/>
      <c r="G32" s="389"/>
    </row>
    <row r="33" spans="2:7" ht="16.5" thickBot="1" x14ac:dyDescent="0.3">
      <c r="B33" s="390"/>
      <c r="C33" s="390"/>
      <c r="D33" s="390"/>
      <c r="E33" s="390"/>
      <c r="F33" s="77"/>
      <c r="G33" s="78"/>
    </row>
    <row r="34" spans="2:7" ht="16.5" thickBot="1" x14ac:dyDescent="0.3">
      <c r="B34" s="366" t="s">
        <v>226</v>
      </c>
      <c r="C34" s="367"/>
      <c r="D34" s="367"/>
      <c r="E34" s="367"/>
      <c r="F34" s="367"/>
      <c r="G34" s="368"/>
    </row>
    <row r="35" spans="2:7" ht="77.650000000000006" customHeight="1" x14ac:dyDescent="0.25">
      <c r="B35" s="796" t="s">
        <v>840</v>
      </c>
      <c r="C35" s="797"/>
      <c r="D35" s="797"/>
      <c r="E35" s="797"/>
      <c r="F35" s="797"/>
      <c r="G35" s="798"/>
    </row>
    <row r="36" spans="2:7" ht="93" customHeight="1" x14ac:dyDescent="0.25">
      <c r="B36" s="799" t="s">
        <v>841</v>
      </c>
      <c r="C36" s="800"/>
      <c r="D36" s="800"/>
      <c r="E36" s="800"/>
      <c r="F36" s="800"/>
      <c r="G36" s="801"/>
    </row>
    <row r="37" spans="2:7" ht="61.9" customHeight="1" x14ac:dyDescent="0.25">
      <c r="B37" s="799" t="s">
        <v>842</v>
      </c>
      <c r="C37" s="800"/>
      <c r="D37" s="800"/>
      <c r="E37" s="800"/>
      <c r="F37" s="800"/>
      <c r="G37" s="801"/>
    </row>
    <row r="38" spans="2:7" ht="28.9" customHeight="1" thickBot="1" x14ac:dyDescent="0.3">
      <c r="B38" s="427" t="s">
        <v>843</v>
      </c>
      <c r="C38" s="428"/>
      <c r="D38" s="428"/>
      <c r="E38" s="428"/>
      <c r="F38" s="428"/>
      <c r="G38" s="429"/>
    </row>
    <row r="39" spans="2:7" ht="16.5" thickBot="1" x14ac:dyDescent="0.3">
      <c r="B39" s="366" t="s">
        <v>227</v>
      </c>
      <c r="C39" s="367"/>
      <c r="D39" s="367"/>
      <c r="E39" s="367"/>
      <c r="F39" s="367"/>
      <c r="G39" s="368"/>
    </row>
    <row r="40" spans="2:7" ht="16.5" thickBot="1" x14ac:dyDescent="0.3">
      <c r="B40" s="363" t="s">
        <v>245</v>
      </c>
      <c r="C40" s="364"/>
      <c r="D40" s="364"/>
      <c r="E40" s="365"/>
      <c r="F40" s="363" t="s">
        <v>231</v>
      </c>
      <c r="G40" s="365"/>
    </row>
    <row r="41" spans="2:7" ht="16.5" thickBot="1" x14ac:dyDescent="0.3">
      <c r="B41" s="363" t="s">
        <v>247</v>
      </c>
      <c r="C41" s="364"/>
      <c r="D41" s="364"/>
      <c r="E41" s="365"/>
      <c r="F41" s="363" t="s">
        <v>231</v>
      </c>
      <c r="G41" s="365"/>
    </row>
    <row r="42" spans="2:7" ht="16.5" thickBot="1" x14ac:dyDescent="0.3">
      <c r="B42" s="363" t="s">
        <v>309</v>
      </c>
      <c r="C42" s="364"/>
      <c r="D42" s="364"/>
      <c r="E42" s="365"/>
      <c r="F42" s="363"/>
      <c r="G42" s="445"/>
    </row>
    <row r="43" spans="2:7" ht="16.5" thickBot="1" x14ac:dyDescent="0.3">
      <c r="B43" s="363" t="s">
        <v>249</v>
      </c>
      <c r="C43" s="364"/>
      <c r="D43" s="364"/>
      <c r="E43" s="365"/>
      <c r="F43" s="363" t="s">
        <v>231</v>
      </c>
      <c r="G43" s="365"/>
    </row>
    <row r="44" spans="2:7" ht="16.5" thickBot="1" x14ac:dyDescent="0.3">
      <c r="B44" s="363"/>
      <c r="C44" s="364"/>
      <c r="D44" s="364"/>
      <c r="E44" s="365"/>
      <c r="F44" s="363"/>
      <c r="G44" s="365"/>
    </row>
    <row r="45" spans="2:7" ht="16.5" thickBot="1" x14ac:dyDescent="0.3">
      <c r="B45" s="366" t="s">
        <v>232</v>
      </c>
      <c r="C45" s="367"/>
      <c r="D45" s="367"/>
      <c r="E45" s="367"/>
      <c r="F45" s="367"/>
      <c r="G45" s="368"/>
    </row>
    <row r="46" spans="2:7" ht="16.5" thickBot="1" x14ac:dyDescent="0.3">
      <c r="B46" s="363" t="s">
        <v>498</v>
      </c>
      <c r="C46" s="364"/>
      <c r="D46" s="364"/>
      <c r="E46" s="364"/>
      <c r="F46" s="364"/>
      <c r="G46" s="445"/>
    </row>
    <row r="47" spans="2:7" ht="16.5" thickBot="1" x14ac:dyDescent="0.3">
      <c r="B47" s="188" t="s">
        <v>167</v>
      </c>
      <c r="C47" s="197"/>
      <c r="D47" s="197"/>
      <c r="E47" s="197"/>
      <c r="F47" s="197"/>
      <c r="G47" s="198"/>
    </row>
    <row r="48" spans="2:7" ht="16.5" thickBot="1" x14ac:dyDescent="0.3">
      <c r="B48" s="188" t="s">
        <v>499</v>
      </c>
      <c r="C48" s="197"/>
      <c r="D48" s="197"/>
      <c r="E48" s="197"/>
      <c r="F48" s="197"/>
      <c r="G48" s="198"/>
    </row>
    <row r="49" spans="2:7" ht="16.5" thickBot="1" x14ac:dyDescent="0.3">
      <c r="B49" s="678" t="s">
        <v>234</v>
      </c>
      <c r="C49" s="679"/>
      <c r="D49" s="679"/>
      <c r="E49" s="679"/>
      <c r="F49" s="679"/>
      <c r="G49" s="680"/>
    </row>
    <row r="50" spans="2:7" ht="25.9" customHeight="1" x14ac:dyDescent="0.25">
      <c r="B50" s="793" t="s">
        <v>837</v>
      </c>
      <c r="C50" s="794"/>
      <c r="D50" s="794"/>
      <c r="E50" s="794"/>
      <c r="F50" s="794"/>
      <c r="G50" s="795"/>
    </row>
    <row r="51" spans="2:7" ht="14.65" customHeight="1" x14ac:dyDescent="0.25">
      <c r="B51" s="787" t="s">
        <v>355</v>
      </c>
      <c r="C51" s="788"/>
      <c r="D51" s="788"/>
      <c r="E51" s="788"/>
      <c r="F51" s="788"/>
      <c r="G51" s="789"/>
    </row>
    <row r="52" spans="2:7" ht="25.9" customHeight="1" x14ac:dyDescent="0.25">
      <c r="B52" s="790" t="s">
        <v>838</v>
      </c>
      <c r="C52" s="791"/>
      <c r="D52" s="791"/>
      <c r="E52" s="791"/>
      <c r="F52" s="791"/>
      <c r="G52" s="792"/>
    </row>
    <row r="53" spans="2:7" ht="41.65" customHeight="1" thickBot="1" x14ac:dyDescent="0.3">
      <c r="B53" s="803" t="s">
        <v>839</v>
      </c>
      <c r="C53" s="804"/>
      <c r="D53" s="804"/>
      <c r="E53" s="804"/>
      <c r="F53" s="804"/>
      <c r="G53" s="805"/>
    </row>
  </sheetData>
  <mergeCells count="63">
    <mergeCell ref="B1:D1"/>
    <mergeCell ref="B53:G53"/>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25:G25"/>
    <mergeCell ref="B26:G26"/>
    <mergeCell ref="B29:G29"/>
    <mergeCell ref="B30:G30"/>
    <mergeCell ref="B31:G31"/>
    <mergeCell ref="B28:G28"/>
    <mergeCell ref="B27:G27"/>
    <mergeCell ref="F40:G40"/>
    <mergeCell ref="B33:E33"/>
    <mergeCell ref="B34:G34"/>
    <mergeCell ref="B35:G35"/>
    <mergeCell ref="B36:G36"/>
    <mergeCell ref="B37:G37"/>
    <mergeCell ref="B38:G38"/>
    <mergeCell ref="B39:G39"/>
    <mergeCell ref="B32:G32"/>
    <mergeCell ref="B51:G51"/>
    <mergeCell ref="B52:G52"/>
    <mergeCell ref="B50:G50"/>
    <mergeCell ref="B41:E41"/>
    <mergeCell ref="F41:G41"/>
    <mergeCell ref="B42:E42"/>
    <mergeCell ref="F42:G42"/>
    <mergeCell ref="B43:E43"/>
    <mergeCell ref="F43:G43"/>
    <mergeCell ref="B44:E44"/>
    <mergeCell ref="F44:G44"/>
    <mergeCell ref="B45:G45"/>
    <mergeCell ref="B46:G46"/>
    <mergeCell ref="B49:G49"/>
    <mergeCell ref="B40:E40"/>
  </mergeCells>
  <hyperlinks>
    <hyperlink ref="B51" r:id="rId1" display="http://docs.openstack.org/"/>
    <hyperlink ref="B1:D1" location="'Schéma d''enseignement'!G24" display="Schéma d'enseignement"/>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5"/>
  </sheetPr>
  <dimension ref="B1:G54"/>
  <sheetViews>
    <sheetView workbookViewId="0">
      <selection activeCell="B1" sqref="B1:D1"/>
    </sheetView>
  </sheetViews>
  <sheetFormatPr baseColWidth="10" defaultColWidth="8.7109375" defaultRowHeight="15" x14ac:dyDescent="0.25"/>
  <cols>
    <col min="1" max="1" width="3"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90</v>
      </c>
      <c r="G8" s="754"/>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52.5" thickBot="1" x14ac:dyDescent="0.3">
      <c r="B14" s="81" t="s">
        <v>356</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43.5" customHeight="1" thickBot="1" x14ac:dyDescent="0.3">
      <c r="B17" s="517" t="s">
        <v>357</v>
      </c>
      <c r="C17" s="518"/>
      <c r="D17" s="518"/>
      <c r="E17" s="518"/>
      <c r="F17" s="518"/>
      <c r="G17" s="519"/>
    </row>
    <row r="18" spans="2:7" ht="16.5" thickBot="1" x14ac:dyDescent="0.3">
      <c r="B18" s="366" t="s">
        <v>220</v>
      </c>
      <c r="C18" s="367"/>
      <c r="D18" s="367"/>
      <c r="E18" s="367"/>
      <c r="F18" s="367"/>
      <c r="G18" s="368"/>
    </row>
    <row r="19" spans="2:7" ht="15.4" customHeight="1" x14ac:dyDescent="0.25">
      <c r="B19" s="809" t="s">
        <v>852</v>
      </c>
      <c r="C19" s="810"/>
      <c r="D19" s="810"/>
      <c r="E19" s="810"/>
      <c r="F19" s="810"/>
      <c r="G19" s="811"/>
    </row>
    <row r="20" spans="2:7" ht="15.4" customHeight="1" x14ac:dyDescent="0.25">
      <c r="B20" s="381" t="s">
        <v>853</v>
      </c>
      <c r="C20" s="382"/>
      <c r="D20" s="382"/>
      <c r="E20" s="382"/>
      <c r="F20" s="382"/>
      <c r="G20" s="383"/>
    </row>
    <row r="21" spans="2:7" ht="15.4" customHeight="1" x14ac:dyDescent="0.25">
      <c r="B21" s="381" t="s">
        <v>854</v>
      </c>
      <c r="C21" s="382"/>
      <c r="D21" s="382"/>
      <c r="E21" s="382"/>
      <c r="F21" s="382"/>
      <c r="G21" s="383"/>
    </row>
    <row r="22" spans="2:7" ht="16.5" thickBot="1" x14ac:dyDescent="0.3">
      <c r="B22" s="384" t="s">
        <v>855</v>
      </c>
      <c r="C22" s="385"/>
      <c r="D22" s="385"/>
      <c r="E22" s="385"/>
      <c r="F22" s="385"/>
      <c r="G22" s="386"/>
    </row>
    <row r="23" spans="2:7" ht="16.5" thickBot="1" x14ac:dyDescent="0.3">
      <c r="B23" s="366" t="s">
        <v>221</v>
      </c>
      <c r="C23" s="367"/>
      <c r="D23" s="367"/>
      <c r="E23" s="367"/>
      <c r="F23" s="367"/>
      <c r="G23" s="368"/>
    </row>
    <row r="24" spans="2:7" ht="16.5" thickBot="1" x14ac:dyDescent="0.3">
      <c r="B24" s="363" t="s">
        <v>851</v>
      </c>
      <c r="C24" s="364"/>
      <c r="D24" s="364"/>
      <c r="E24" s="364"/>
      <c r="F24" s="364"/>
      <c r="G24" s="445"/>
    </row>
    <row r="25" spans="2:7" ht="16.5" thickBot="1" x14ac:dyDescent="0.3">
      <c r="B25" s="366" t="s">
        <v>222</v>
      </c>
      <c r="C25" s="367"/>
      <c r="D25" s="367"/>
      <c r="E25" s="367"/>
      <c r="F25" s="367"/>
      <c r="G25" s="368"/>
    </row>
    <row r="26" spans="2:7" ht="15.75" thickBot="1" x14ac:dyDescent="0.3">
      <c r="B26" s="387" t="s">
        <v>25</v>
      </c>
      <c r="C26" s="388"/>
      <c r="D26" s="388"/>
      <c r="E26" s="388"/>
      <c r="F26" s="388"/>
      <c r="G26" s="389"/>
    </row>
    <row r="27" spans="2:7" ht="15.75" thickBot="1" x14ac:dyDescent="0.3">
      <c r="B27" s="387" t="s">
        <v>29</v>
      </c>
      <c r="C27" s="388"/>
      <c r="D27" s="388"/>
      <c r="E27" s="388"/>
      <c r="F27" s="388"/>
      <c r="G27" s="389"/>
    </row>
    <row r="28" spans="2:7" ht="15.75" thickBot="1" x14ac:dyDescent="0.3">
      <c r="B28" s="387" t="s">
        <v>38</v>
      </c>
      <c r="C28" s="388"/>
      <c r="D28" s="388"/>
      <c r="E28" s="388"/>
      <c r="F28" s="388"/>
      <c r="G28" s="389"/>
    </row>
    <row r="29" spans="2:7" ht="15.75" thickBot="1" x14ac:dyDescent="0.3">
      <c r="B29" s="387" t="s">
        <v>40</v>
      </c>
      <c r="C29" s="388"/>
      <c r="D29" s="388"/>
      <c r="E29" s="388"/>
      <c r="F29" s="388"/>
      <c r="G29" s="389"/>
    </row>
    <row r="30" spans="2:7" ht="15.75" thickBot="1" x14ac:dyDescent="0.3">
      <c r="B30" s="387" t="s">
        <v>46</v>
      </c>
      <c r="C30" s="388"/>
      <c r="D30" s="388"/>
      <c r="E30" s="388"/>
      <c r="F30" s="388"/>
      <c r="G30" s="389"/>
    </row>
    <row r="31" spans="2:7" ht="15.75" thickBot="1" x14ac:dyDescent="0.3">
      <c r="B31" s="387" t="s">
        <v>47</v>
      </c>
      <c r="C31" s="388"/>
      <c r="D31" s="388"/>
      <c r="E31" s="388"/>
      <c r="F31" s="388"/>
      <c r="G31" s="389"/>
    </row>
    <row r="32" spans="2:7" ht="16.5" thickBot="1" x14ac:dyDescent="0.3">
      <c r="B32" s="390"/>
      <c r="C32" s="390"/>
      <c r="D32" s="390"/>
      <c r="E32" s="390"/>
      <c r="F32" s="77"/>
      <c r="G32" s="78"/>
    </row>
    <row r="33" spans="2:7" ht="16.5" thickBot="1" x14ac:dyDescent="0.3">
      <c r="B33" s="366" t="s">
        <v>226</v>
      </c>
      <c r="C33" s="367"/>
      <c r="D33" s="367"/>
      <c r="E33" s="367"/>
      <c r="F33" s="367"/>
      <c r="G33" s="368"/>
    </row>
    <row r="34" spans="2:7" ht="46.5" customHeight="1" x14ac:dyDescent="0.25">
      <c r="B34" s="796" t="s">
        <v>846</v>
      </c>
      <c r="C34" s="797"/>
      <c r="D34" s="797"/>
      <c r="E34" s="797"/>
      <c r="F34" s="797"/>
      <c r="G34" s="798"/>
    </row>
    <row r="35" spans="2:7" ht="77.650000000000006" customHeight="1" x14ac:dyDescent="0.25">
      <c r="B35" s="799" t="s">
        <v>847</v>
      </c>
      <c r="C35" s="800"/>
      <c r="D35" s="800"/>
      <c r="E35" s="800"/>
      <c r="F35" s="800"/>
      <c r="G35" s="801"/>
    </row>
    <row r="36" spans="2:7" ht="77.650000000000006" customHeight="1" x14ac:dyDescent="0.25">
      <c r="B36" s="799" t="s">
        <v>848</v>
      </c>
      <c r="C36" s="800"/>
      <c r="D36" s="800"/>
      <c r="E36" s="800"/>
      <c r="F36" s="800"/>
      <c r="G36" s="801"/>
    </row>
    <row r="37" spans="2:7" ht="31.15" customHeight="1" x14ac:dyDescent="0.25">
      <c r="B37" s="799" t="s">
        <v>849</v>
      </c>
      <c r="C37" s="800"/>
      <c r="D37" s="800"/>
      <c r="E37" s="800"/>
      <c r="F37" s="800"/>
      <c r="G37" s="801"/>
    </row>
    <row r="38" spans="2:7" ht="28.9" customHeight="1" x14ac:dyDescent="0.25">
      <c r="B38" s="436" t="s">
        <v>358</v>
      </c>
      <c r="C38" s="437"/>
      <c r="D38" s="437"/>
      <c r="E38" s="437"/>
      <c r="F38" s="437"/>
      <c r="G38" s="438"/>
    </row>
    <row r="39" spans="2:7" ht="28.9" customHeight="1" thickBot="1" x14ac:dyDescent="0.3">
      <c r="B39" s="427" t="s">
        <v>850</v>
      </c>
      <c r="C39" s="428"/>
      <c r="D39" s="428"/>
      <c r="E39" s="428"/>
      <c r="F39" s="428"/>
      <c r="G39" s="429"/>
    </row>
    <row r="40" spans="2:7" ht="16.5" thickBot="1" x14ac:dyDescent="0.3">
      <c r="B40" s="366" t="s">
        <v>227</v>
      </c>
      <c r="C40" s="367"/>
      <c r="D40" s="367"/>
      <c r="E40" s="367"/>
      <c r="F40" s="367"/>
      <c r="G40" s="368"/>
    </row>
    <row r="41" spans="2:7" ht="16.5" thickBot="1" x14ac:dyDescent="0.3">
      <c r="B41" s="363" t="s">
        <v>245</v>
      </c>
      <c r="C41" s="364"/>
      <c r="D41" s="364"/>
      <c r="E41" s="365"/>
      <c r="F41" s="363"/>
      <c r="G41" s="365"/>
    </row>
    <row r="42" spans="2:7" ht="16.5" thickBot="1" x14ac:dyDescent="0.3">
      <c r="B42" s="363" t="s">
        <v>247</v>
      </c>
      <c r="C42" s="364"/>
      <c r="D42" s="364"/>
      <c r="E42" s="365"/>
      <c r="F42" s="363"/>
      <c r="G42" s="365"/>
    </row>
    <row r="43" spans="2:7" ht="16.5" thickBot="1" x14ac:dyDescent="0.3">
      <c r="B43" s="363" t="s">
        <v>309</v>
      </c>
      <c r="C43" s="364"/>
      <c r="D43" s="364"/>
      <c r="E43" s="365"/>
      <c r="F43" s="363" t="s">
        <v>329</v>
      </c>
      <c r="G43" s="445"/>
    </row>
    <row r="44" spans="2:7" ht="16.5" thickBot="1" x14ac:dyDescent="0.3">
      <c r="B44" s="363" t="s">
        <v>230</v>
      </c>
      <c r="C44" s="364"/>
      <c r="D44" s="364"/>
      <c r="E44" s="365"/>
      <c r="F44" s="363" t="s">
        <v>231</v>
      </c>
      <c r="G44" s="365"/>
    </row>
    <row r="45" spans="2:7" ht="16.5" thickBot="1" x14ac:dyDescent="0.3">
      <c r="B45" s="363"/>
      <c r="C45" s="364"/>
      <c r="D45" s="364"/>
      <c r="E45" s="365"/>
      <c r="F45" s="363"/>
      <c r="G45" s="365"/>
    </row>
    <row r="46" spans="2:7" ht="16.5" thickBot="1" x14ac:dyDescent="0.3">
      <c r="B46" s="366" t="s">
        <v>232</v>
      </c>
      <c r="C46" s="367"/>
      <c r="D46" s="367"/>
      <c r="E46" s="367"/>
      <c r="F46" s="367"/>
      <c r="G46" s="368"/>
    </row>
    <row r="47" spans="2:7" ht="16.5" thickBot="1" x14ac:dyDescent="0.3">
      <c r="B47" s="363" t="s">
        <v>498</v>
      </c>
      <c r="C47" s="364"/>
      <c r="D47" s="364"/>
      <c r="E47" s="364"/>
      <c r="F47" s="364"/>
      <c r="G47" s="445"/>
    </row>
    <row r="48" spans="2:7" ht="16.5" thickBot="1" x14ac:dyDescent="0.3">
      <c r="B48" s="188" t="s">
        <v>167</v>
      </c>
      <c r="C48" s="197"/>
      <c r="D48" s="197"/>
      <c r="E48" s="197"/>
      <c r="F48" s="197"/>
      <c r="G48" s="198"/>
    </row>
    <row r="49" spans="2:7" ht="16.5" thickBot="1" x14ac:dyDescent="0.3">
      <c r="B49" s="188" t="s">
        <v>499</v>
      </c>
      <c r="C49" s="197"/>
      <c r="D49" s="197"/>
      <c r="E49" s="197"/>
      <c r="F49" s="197"/>
      <c r="G49" s="198"/>
    </row>
    <row r="50" spans="2:7" ht="16.5" thickBot="1" x14ac:dyDescent="0.3">
      <c r="B50" s="678" t="s">
        <v>234</v>
      </c>
      <c r="C50" s="679"/>
      <c r="D50" s="679"/>
      <c r="E50" s="679"/>
      <c r="F50" s="679"/>
      <c r="G50" s="680"/>
    </row>
    <row r="51" spans="2:7" ht="25.9" customHeight="1" x14ac:dyDescent="0.25">
      <c r="B51" s="793" t="s">
        <v>837</v>
      </c>
      <c r="C51" s="794"/>
      <c r="D51" s="794"/>
      <c r="E51" s="794"/>
      <c r="F51" s="794"/>
      <c r="G51" s="795"/>
    </row>
    <row r="52" spans="2:7" ht="14.65" customHeight="1" x14ac:dyDescent="0.25">
      <c r="B52" s="787" t="s">
        <v>355</v>
      </c>
      <c r="C52" s="788"/>
      <c r="D52" s="788"/>
      <c r="E52" s="788"/>
      <c r="F52" s="788"/>
      <c r="G52" s="789"/>
    </row>
    <row r="53" spans="2:7" ht="25.9" customHeight="1" x14ac:dyDescent="0.25">
      <c r="B53" s="790" t="s">
        <v>838</v>
      </c>
      <c r="C53" s="791"/>
      <c r="D53" s="791"/>
      <c r="E53" s="791"/>
      <c r="F53" s="791"/>
      <c r="G53" s="792"/>
    </row>
    <row r="54" spans="2:7" ht="41.65" customHeight="1" thickBot="1" x14ac:dyDescent="0.3">
      <c r="B54" s="803" t="s">
        <v>839</v>
      </c>
      <c r="C54" s="804"/>
      <c r="D54" s="804"/>
      <c r="E54" s="804"/>
      <c r="F54" s="804"/>
      <c r="G54" s="805"/>
    </row>
  </sheetData>
  <mergeCells count="64">
    <mergeCell ref="B1:D1"/>
    <mergeCell ref="B30:G30"/>
    <mergeCell ref="B31:G31"/>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25:G25"/>
    <mergeCell ref="B26:G26"/>
    <mergeCell ref="B27:G27"/>
    <mergeCell ref="B28:G28"/>
    <mergeCell ref="B29:G29"/>
    <mergeCell ref="B40:G40"/>
    <mergeCell ref="B32:E32"/>
    <mergeCell ref="B33:G33"/>
    <mergeCell ref="B34:G34"/>
    <mergeCell ref="B35:G35"/>
    <mergeCell ref="B36:G36"/>
    <mergeCell ref="B37:G37"/>
    <mergeCell ref="B38:G38"/>
    <mergeCell ref="B39:G39"/>
    <mergeCell ref="B47:G47"/>
    <mergeCell ref="B41:E41"/>
    <mergeCell ref="F41:G41"/>
    <mergeCell ref="B42:E42"/>
    <mergeCell ref="F42:G42"/>
    <mergeCell ref="B43:E43"/>
    <mergeCell ref="F43:G43"/>
    <mergeCell ref="B44:E44"/>
    <mergeCell ref="F44:G44"/>
    <mergeCell ref="B45:E45"/>
    <mergeCell ref="F45:G45"/>
    <mergeCell ref="B46:G46"/>
    <mergeCell ref="B50:G50"/>
    <mergeCell ref="B51:G51"/>
    <mergeCell ref="B52:G52"/>
    <mergeCell ref="B53:G53"/>
    <mergeCell ref="B54:G54"/>
  </mergeCells>
  <hyperlinks>
    <hyperlink ref="B38" r:id="rId1" display="http://trystack.org/"/>
    <hyperlink ref="B52" r:id="rId2" display="http://docs.openstack.org/"/>
    <hyperlink ref="B1:D1" location="'Schéma d''enseignement'!G20" display="Schéma d'enseignement"/>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5"/>
  </sheetPr>
  <dimension ref="B1:G86"/>
  <sheetViews>
    <sheetView workbookViewId="0">
      <selection activeCell="B1" sqref="B1:D1"/>
    </sheetView>
  </sheetViews>
  <sheetFormatPr baseColWidth="10" defaultColWidth="8.7109375" defaultRowHeight="15" x14ac:dyDescent="0.25"/>
  <cols>
    <col min="1" max="1" width="2.140625"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689" t="s">
        <v>359</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90</v>
      </c>
      <c r="G8" s="754"/>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16.5" thickBot="1" x14ac:dyDescent="0.3">
      <c r="B14" s="199" t="s">
        <v>360</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58.15" customHeight="1" x14ac:dyDescent="0.25">
      <c r="B17" s="430" t="s">
        <v>361</v>
      </c>
      <c r="C17" s="431"/>
      <c r="D17" s="431"/>
      <c r="E17" s="431"/>
      <c r="F17" s="431"/>
      <c r="G17" s="432"/>
    </row>
    <row r="18" spans="2:7" ht="28.9" customHeight="1" thickBot="1" x14ac:dyDescent="0.3">
      <c r="B18" s="541" t="s">
        <v>362</v>
      </c>
      <c r="C18" s="542"/>
      <c r="D18" s="542"/>
      <c r="E18" s="542"/>
      <c r="F18" s="542"/>
      <c r="G18" s="543"/>
    </row>
    <row r="19" spans="2:7" ht="16.5" thickBot="1" x14ac:dyDescent="0.3">
      <c r="B19" s="366" t="s">
        <v>220</v>
      </c>
      <c r="C19" s="367"/>
      <c r="D19" s="367"/>
      <c r="E19" s="367"/>
      <c r="F19" s="367"/>
      <c r="G19" s="368"/>
    </row>
    <row r="20" spans="2:7" ht="28.9" customHeight="1" x14ac:dyDescent="0.25">
      <c r="B20" s="747" t="s">
        <v>363</v>
      </c>
      <c r="C20" s="748"/>
      <c r="D20" s="748"/>
      <c r="E20" s="748"/>
      <c r="F20" s="748"/>
      <c r="G20" s="749"/>
    </row>
    <row r="21" spans="2:7" ht="28.9" customHeight="1" x14ac:dyDescent="0.25">
      <c r="B21" s="744" t="s">
        <v>364</v>
      </c>
      <c r="C21" s="745"/>
      <c r="D21" s="745"/>
      <c r="E21" s="745"/>
      <c r="F21" s="745"/>
      <c r="G21" s="746"/>
    </row>
    <row r="22" spans="2:7" ht="14.65" customHeight="1" x14ac:dyDescent="0.25">
      <c r="B22" s="744" t="s">
        <v>365</v>
      </c>
      <c r="C22" s="745"/>
      <c r="D22" s="745"/>
      <c r="E22" s="745"/>
      <c r="F22" s="745"/>
      <c r="G22" s="746"/>
    </row>
    <row r="23" spans="2:7" ht="28.9" customHeight="1" x14ac:dyDescent="0.25">
      <c r="B23" s="744" t="s">
        <v>366</v>
      </c>
      <c r="C23" s="745"/>
      <c r="D23" s="745"/>
      <c r="E23" s="745"/>
      <c r="F23" s="745"/>
      <c r="G23" s="746"/>
    </row>
    <row r="24" spans="2:7" ht="43.5" customHeight="1" x14ac:dyDescent="0.25">
      <c r="B24" s="744" t="s">
        <v>367</v>
      </c>
      <c r="C24" s="745"/>
      <c r="D24" s="745"/>
      <c r="E24" s="745"/>
      <c r="F24" s="745"/>
      <c r="G24" s="746"/>
    </row>
    <row r="25" spans="2:7" ht="30" customHeight="1" thickBot="1" x14ac:dyDescent="0.3">
      <c r="B25" s="384" t="s">
        <v>856</v>
      </c>
      <c r="C25" s="385"/>
      <c r="D25" s="385"/>
      <c r="E25" s="385"/>
      <c r="F25" s="385"/>
      <c r="G25" s="386"/>
    </row>
    <row r="26" spans="2:7" ht="16.5" thickBot="1" x14ac:dyDescent="0.3">
      <c r="B26" s="366" t="s">
        <v>221</v>
      </c>
      <c r="C26" s="367"/>
      <c r="D26" s="367"/>
      <c r="E26" s="367"/>
      <c r="F26" s="367"/>
      <c r="G26" s="368"/>
    </row>
    <row r="27" spans="2:7" ht="15.75" x14ac:dyDescent="0.25">
      <c r="B27" s="834" t="s">
        <v>857</v>
      </c>
      <c r="C27" s="835"/>
      <c r="D27" s="835"/>
      <c r="E27" s="835"/>
      <c r="F27" s="835"/>
      <c r="G27" s="836"/>
    </row>
    <row r="28" spans="2:7" x14ac:dyDescent="0.25">
      <c r="B28" s="831" t="s">
        <v>368</v>
      </c>
      <c r="C28" s="832"/>
      <c r="D28" s="832"/>
      <c r="E28" s="832"/>
      <c r="F28" s="832"/>
      <c r="G28" s="833"/>
    </row>
    <row r="29" spans="2:7" x14ac:dyDescent="0.25">
      <c r="B29" s="831" t="s">
        <v>369</v>
      </c>
      <c r="C29" s="832"/>
      <c r="D29" s="832"/>
      <c r="E29" s="832"/>
      <c r="F29" s="832"/>
      <c r="G29" s="833"/>
    </row>
    <row r="30" spans="2:7" x14ac:dyDescent="0.25">
      <c r="B30" s="831" t="s">
        <v>370</v>
      </c>
      <c r="C30" s="832"/>
      <c r="D30" s="832"/>
      <c r="E30" s="832"/>
      <c r="F30" s="832"/>
      <c r="G30" s="833"/>
    </row>
    <row r="31" spans="2:7" x14ac:dyDescent="0.25">
      <c r="B31" s="831" t="s">
        <v>371</v>
      </c>
      <c r="C31" s="832"/>
      <c r="D31" s="832"/>
      <c r="E31" s="832"/>
      <c r="F31" s="832"/>
      <c r="G31" s="833"/>
    </row>
    <row r="32" spans="2:7" x14ac:dyDescent="0.25">
      <c r="B32" s="831" t="s">
        <v>372</v>
      </c>
      <c r="C32" s="832"/>
      <c r="D32" s="832"/>
      <c r="E32" s="832"/>
      <c r="F32" s="832"/>
      <c r="G32" s="833"/>
    </row>
    <row r="33" spans="2:7" x14ac:dyDescent="0.25">
      <c r="B33" s="831" t="s">
        <v>373</v>
      </c>
      <c r="C33" s="832"/>
      <c r="D33" s="832"/>
      <c r="E33" s="832"/>
      <c r="F33" s="832"/>
      <c r="G33" s="833"/>
    </row>
    <row r="34" spans="2:7" ht="15.75" thickBot="1" x14ac:dyDescent="0.3">
      <c r="B34" s="815" t="s">
        <v>374</v>
      </c>
      <c r="C34" s="816"/>
      <c r="D34" s="816"/>
      <c r="E34" s="816"/>
      <c r="F34" s="816"/>
      <c r="G34" s="817"/>
    </row>
    <row r="35" spans="2:7" ht="16.5" thickBot="1" x14ac:dyDescent="0.3">
      <c r="B35" s="366" t="s">
        <v>222</v>
      </c>
      <c r="C35" s="367"/>
      <c r="D35" s="367"/>
      <c r="E35" s="367"/>
      <c r="F35" s="367"/>
      <c r="G35" s="368"/>
    </row>
    <row r="36" spans="2:7" ht="15.75" thickBot="1" x14ac:dyDescent="0.3">
      <c r="B36" s="387" t="s">
        <v>25</v>
      </c>
      <c r="C36" s="388"/>
      <c r="D36" s="388"/>
      <c r="E36" s="388"/>
      <c r="F36" s="388"/>
      <c r="G36" s="389"/>
    </row>
    <row r="37" spans="2:7" ht="15.75" thickBot="1" x14ac:dyDescent="0.3">
      <c r="B37" s="387" t="s">
        <v>27</v>
      </c>
      <c r="C37" s="388"/>
      <c r="D37" s="388"/>
      <c r="E37" s="388"/>
      <c r="F37" s="388"/>
      <c r="G37" s="389"/>
    </row>
    <row r="38" spans="2:7" ht="15.75" thickBot="1" x14ac:dyDescent="0.3">
      <c r="B38" s="387" t="s">
        <v>36</v>
      </c>
      <c r="C38" s="388"/>
      <c r="D38" s="388"/>
      <c r="E38" s="388"/>
      <c r="F38" s="388"/>
      <c r="G38" s="389"/>
    </row>
    <row r="39" spans="2:7" ht="15.75" thickBot="1" x14ac:dyDescent="0.3">
      <c r="B39" s="387" t="s">
        <v>41</v>
      </c>
      <c r="C39" s="388"/>
      <c r="D39" s="388"/>
      <c r="E39" s="388"/>
      <c r="F39" s="388"/>
      <c r="G39" s="389"/>
    </row>
    <row r="40" spans="2:7" ht="15.75" thickBot="1" x14ac:dyDescent="0.3">
      <c r="B40" s="387" t="s">
        <v>49</v>
      </c>
      <c r="C40" s="388"/>
      <c r="D40" s="388"/>
      <c r="E40" s="388"/>
      <c r="F40" s="388"/>
      <c r="G40" s="389"/>
    </row>
    <row r="41" spans="2:7" ht="15.75" thickBot="1" x14ac:dyDescent="0.3">
      <c r="B41" s="387" t="s">
        <v>50</v>
      </c>
      <c r="C41" s="388"/>
      <c r="D41" s="388"/>
      <c r="E41" s="388"/>
      <c r="F41" s="388"/>
      <c r="G41" s="389"/>
    </row>
    <row r="42" spans="2:7" x14ac:dyDescent="0.25">
      <c r="B42" s="544" t="s">
        <v>51</v>
      </c>
      <c r="C42" s="545"/>
      <c r="D42" s="545"/>
      <c r="E42" s="545"/>
      <c r="F42" s="545"/>
      <c r="G42" s="546"/>
    </row>
    <row r="43" spans="2:7" x14ac:dyDescent="0.25">
      <c r="B43" s="827"/>
      <c r="C43" s="827"/>
      <c r="D43" s="827"/>
      <c r="E43" s="827"/>
      <c r="F43" s="827"/>
      <c r="G43" s="827"/>
    </row>
    <row r="44" spans="2:7" ht="15.4" customHeight="1" x14ac:dyDescent="0.25">
      <c r="B44" s="828"/>
      <c r="C44" s="829"/>
      <c r="D44" s="829"/>
      <c r="E44" s="829"/>
      <c r="F44" s="829"/>
      <c r="G44" s="830"/>
    </row>
    <row r="45" spans="2:7" ht="16.5" thickBot="1" x14ac:dyDescent="0.3">
      <c r="B45" s="678" t="s">
        <v>226</v>
      </c>
      <c r="C45" s="679"/>
      <c r="D45" s="679"/>
      <c r="E45" s="679"/>
      <c r="F45" s="679"/>
      <c r="G45" s="680"/>
    </row>
    <row r="46" spans="2:7" ht="58.15" customHeight="1" x14ac:dyDescent="0.25">
      <c r="B46" s="430" t="s">
        <v>858</v>
      </c>
      <c r="C46" s="431"/>
      <c r="D46" s="431"/>
      <c r="E46" s="431"/>
      <c r="F46" s="431"/>
      <c r="G46" s="432"/>
    </row>
    <row r="47" spans="2:7" ht="58.15" customHeight="1" x14ac:dyDescent="0.25">
      <c r="B47" s="433" t="s">
        <v>375</v>
      </c>
      <c r="C47" s="434"/>
      <c r="D47" s="434"/>
      <c r="E47" s="434"/>
      <c r="F47" s="434"/>
      <c r="G47" s="435"/>
    </row>
    <row r="48" spans="2:7" ht="58.15" customHeight="1" x14ac:dyDescent="0.25">
      <c r="B48" s="433" t="s">
        <v>376</v>
      </c>
      <c r="C48" s="434"/>
      <c r="D48" s="434"/>
      <c r="E48" s="434"/>
      <c r="F48" s="434"/>
      <c r="G48" s="435"/>
    </row>
    <row r="49" spans="2:7" ht="28.9" customHeight="1" x14ac:dyDescent="0.25">
      <c r="B49" s="433" t="s">
        <v>377</v>
      </c>
      <c r="C49" s="434"/>
      <c r="D49" s="434"/>
      <c r="E49" s="434"/>
      <c r="F49" s="434"/>
      <c r="G49" s="435"/>
    </row>
    <row r="50" spans="2:7" ht="28.9" customHeight="1" x14ac:dyDescent="0.25">
      <c r="B50" s="433" t="s">
        <v>378</v>
      </c>
      <c r="C50" s="434"/>
      <c r="D50" s="434"/>
      <c r="E50" s="434"/>
      <c r="F50" s="434"/>
      <c r="G50" s="435"/>
    </row>
    <row r="51" spans="2:7" x14ac:dyDescent="0.25">
      <c r="B51" s="433"/>
      <c r="C51" s="434"/>
      <c r="D51" s="434"/>
      <c r="E51" s="434"/>
      <c r="F51" s="434"/>
      <c r="G51" s="435"/>
    </row>
    <row r="52" spans="2:7" ht="28.9" customHeight="1" x14ac:dyDescent="0.25">
      <c r="B52" s="446" t="s">
        <v>859</v>
      </c>
      <c r="C52" s="447"/>
      <c r="D52" s="447"/>
      <c r="E52" s="447"/>
      <c r="F52" s="447"/>
      <c r="G52" s="448"/>
    </row>
    <row r="53" spans="2:7" ht="14.65" customHeight="1" x14ac:dyDescent="0.25">
      <c r="B53" s="446" t="s">
        <v>379</v>
      </c>
      <c r="C53" s="447"/>
      <c r="D53" s="447"/>
      <c r="E53" s="447"/>
      <c r="F53" s="447"/>
      <c r="G53" s="448"/>
    </row>
    <row r="54" spans="2:7" ht="28.9" customHeight="1" x14ac:dyDescent="0.25">
      <c r="B54" s="433" t="s">
        <v>860</v>
      </c>
      <c r="C54" s="434"/>
      <c r="D54" s="434"/>
      <c r="E54" s="434"/>
      <c r="F54" s="434"/>
      <c r="G54" s="435"/>
    </row>
    <row r="55" spans="2:7" ht="28.9" customHeight="1" x14ac:dyDescent="0.25">
      <c r="B55" s="433" t="s">
        <v>861</v>
      </c>
      <c r="C55" s="434"/>
      <c r="D55" s="434"/>
      <c r="E55" s="434"/>
      <c r="F55" s="434"/>
      <c r="G55" s="435"/>
    </row>
    <row r="56" spans="2:7" ht="28.9" customHeight="1" x14ac:dyDescent="0.25">
      <c r="B56" s="433" t="s">
        <v>862</v>
      </c>
      <c r="C56" s="434"/>
      <c r="D56" s="434"/>
      <c r="E56" s="434"/>
      <c r="F56" s="434"/>
      <c r="G56" s="435"/>
    </row>
    <row r="57" spans="2:7" ht="28.9" customHeight="1" x14ac:dyDescent="0.25">
      <c r="B57" s="433" t="s">
        <v>863</v>
      </c>
      <c r="C57" s="434"/>
      <c r="D57" s="434"/>
      <c r="E57" s="434"/>
      <c r="F57" s="434"/>
      <c r="G57" s="435"/>
    </row>
    <row r="58" spans="2:7" ht="28.9" customHeight="1" x14ac:dyDescent="0.25">
      <c r="B58" s="433" t="s">
        <v>864</v>
      </c>
      <c r="C58" s="434"/>
      <c r="D58" s="434"/>
      <c r="E58" s="434"/>
      <c r="F58" s="434"/>
      <c r="G58" s="435"/>
    </row>
    <row r="59" spans="2:7" ht="28.9" customHeight="1" x14ac:dyDescent="0.25">
      <c r="B59" s="433" t="s">
        <v>865</v>
      </c>
      <c r="C59" s="434"/>
      <c r="D59" s="434"/>
      <c r="E59" s="434"/>
      <c r="F59" s="434"/>
      <c r="G59" s="435"/>
    </row>
    <row r="60" spans="2:7" ht="14.65" customHeight="1" x14ac:dyDescent="0.25">
      <c r="B60" s="433" t="s">
        <v>866</v>
      </c>
      <c r="C60" s="434"/>
      <c r="D60" s="434"/>
      <c r="E60" s="434"/>
      <c r="F60" s="434"/>
      <c r="G60" s="435"/>
    </row>
    <row r="61" spans="2:7" ht="14.65" customHeight="1" x14ac:dyDescent="0.25">
      <c r="B61" s="433" t="s">
        <v>867</v>
      </c>
      <c r="C61" s="434"/>
      <c r="D61" s="434"/>
      <c r="E61" s="434"/>
      <c r="F61" s="434"/>
      <c r="G61" s="435"/>
    </row>
    <row r="62" spans="2:7" ht="28.9" customHeight="1" x14ac:dyDescent="0.25">
      <c r="B62" s="433" t="s">
        <v>868</v>
      </c>
      <c r="C62" s="434"/>
      <c r="D62" s="434"/>
      <c r="E62" s="434"/>
      <c r="F62" s="434"/>
      <c r="G62" s="435"/>
    </row>
    <row r="63" spans="2:7" ht="28.9" customHeight="1" x14ac:dyDescent="0.25">
      <c r="B63" s="433" t="s">
        <v>869</v>
      </c>
      <c r="C63" s="434"/>
      <c r="D63" s="434"/>
      <c r="E63" s="434"/>
      <c r="F63" s="434"/>
      <c r="G63" s="435"/>
    </row>
    <row r="64" spans="2:7" x14ac:dyDescent="0.25">
      <c r="B64" s="433"/>
      <c r="C64" s="434"/>
      <c r="D64" s="434"/>
      <c r="E64" s="434"/>
      <c r="F64" s="434"/>
      <c r="G64" s="435"/>
    </row>
    <row r="65" spans="2:7" x14ac:dyDescent="0.25">
      <c r="B65" s="821" t="s">
        <v>380</v>
      </c>
      <c r="C65" s="822"/>
      <c r="D65" s="822"/>
      <c r="E65" s="822"/>
      <c r="F65" s="822"/>
      <c r="G65" s="823"/>
    </row>
    <row r="66" spans="2:7" x14ac:dyDescent="0.25">
      <c r="B66" s="721" t="s">
        <v>381</v>
      </c>
      <c r="C66" s="722"/>
      <c r="D66" s="722"/>
      <c r="E66" s="722"/>
      <c r="F66" s="722"/>
      <c r="G66" s="723"/>
    </row>
    <row r="67" spans="2:7" x14ac:dyDescent="0.25">
      <c r="B67" s="721" t="s">
        <v>870</v>
      </c>
      <c r="C67" s="722"/>
      <c r="D67" s="722"/>
      <c r="E67" s="722"/>
      <c r="F67" s="722"/>
      <c r="G67" s="723"/>
    </row>
    <row r="68" spans="2:7" ht="25.9" customHeight="1" x14ac:dyDescent="0.25">
      <c r="B68" s="824" t="s">
        <v>871</v>
      </c>
      <c r="C68" s="825"/>
      <c r="D68" s="825"/>
      <c r="E68" s="825"/>
      <c r="F68" s="825"/>
      <c r="G68" s="826"/>
    </row>
    <row r="69" spans="2:7" ht="25.9" customHeight="1" x14ac:dyDescent="0.25">
      <c r="B69" s="824" t="s">
        <v>872</v>
      </c>
      <c r="C69" s="825"/>
      <c r="D69" s="825"/>
      <c r="E69" s="825"/>
      <c r="F69" s="825"/>
      <c r="G69" s="826"/>
    </row>
    <row r="70" spans="2:7" ht="25.9" customHeight="1" x14ac:dyDescent="0.25">
      <c r="B70" s="824" t="s">
        <v>873</v>
      </c>
      <c r="C70" s="825"/>
      <c r="D70" s="825"/>
      <c r="E70" s="825"/>
      <c r="F70" s="825"/>
      <c r="G70" s="826"/>
    </row>
    <row r="71" spans="2:7" ht="25.9" customHeight="1" x14ac:dyDescent="0.25">
      <c r="B71" s="824" t="s">
        <v>874</v>
      </c>
      <c r="C71" s="825"/>
      <c r="D71" s="825"/>
      <c r="E71" s="825"/>
      <c r="F71" s="825"/>
      <c r="G71" s="826"/>
    </row>
    <row r="72" spans="2:7" ht="15.75" thickBot="1" x14ac:dyDescent="0.3">
      <c r="B72" s="427" t="s">
        <v>875</v>
      </c>
      <c r="C72" s="428"/>
      <c r="D72" s="428"/>
      <c r="E72" s="428"/>
      <c r="F72" s="428"/>
      <c r="G72" s="429"/>
    </row>
    <row r="73" spans="2:7" ht="16.5" thickBot="1" x14ac:dyDescent="0.3">
      <c r="B73" s="366" t="s">
        <v>227</v>
      </c>
      <c r="C73" s="367"/>
      <c r="D73" s="367"/>
      <c r="E73" s="367"/>
      <c r="F73" s="367"/>
      <c r="G73" s="368"/>
    </row>
    <row r="74" spans="2:7" ht="16.5" thickBot="1" x14ac:dyDescent="0.3">
      <c r="B74" s="363" t="s">
        <v>876</v>
      </c>
      <c r="C74" s="364"/>
      <c r="D74" s="364"/>
      <c r="E74" s="365"/>
      <c r="F74" s="363"/>
      <c r="G74" s="365"/>
    </row>
    <row r="75" spans="2:7" ht="16.5" thickBot="1" x14ac:dyDescent="0.3">
      <c r="B75" s="363" t="s">
        <v>877</v>
      </c>
      <c r="C75" s="364"/>
      <c r="D75" s="364"/>
      <c r="E75" s="365"/>
      <c r="F75" s="363"/>
      <c r="G75" s="365"/>
    </row>
    <row r="76" spans="2:7" ht="16.5" thickBot="1" x14ac:dyDescent="0.3">
      <c r="B76" s="363" t="s">
        <v>878</v>
      </c>
      <c r="C76" s="364"/>
      <c r="D76" s="364"/>
      <c r="E76" s="365"/>
      <c r="F76" s="363"/>
      <c r="G76" s="445"/>
    </row>
    <row r="77" spans="2:7" ht="16.5" thickBot="1" x14ac:dyDescent="0.3">
      <c r="B77" s="363" t="s">
        <v>879</v>
      </c>
      <c r="C77" s="364"/>
      <c r="D77" s="364"/>
      <c r="E77" s="365"/>
      <c r="F77" s="363"/>
      <c r="G77" s="365"/>
    </row>
    <row r="78" spans="2:7" ht="16.5" thickBot="1" x14ac:dyDescent="0.3">
      <c r="B78" s="363"/>
      <c r="C78" s="364"/>
      <c r="D78" s="364"/>
      <c r="E78" s="365"/>
      <c r="F78" s="363"/>
      <c r="G78" s="365"/>
    </row>
    <row r="79" spans="2:7" ht="16.5" thickBot="1" x14ac:dyDescent="0.3">
      <c r="B79" s="366" t="s">
        <v>232</v>
      </c>
      <c r="C79" s="367"/>
      <c r="D79" s="367"/>
      <c r="E79" s="367"/>
      <c r="F79" s="367"/>
      <c r="G79" s="368"/>
    </row>
    <row r="80" spans="2:7" ht="15.75" x14ac:dyDescent="0.25">
      <c r="B80" s="818" t="s">
        <v>494</v>
      </c>
      <c r="C80" s="819"/>
      <c r="D80" s="819"/>
      <c r="E80" s="819"/>
      <c r="F80" s="819"/>
      <c r="G80" s="820"/>
    </row>
    <row r="81" spans="2:7" ht="15.75" x14ac:dyDescent="0.25">
      <c r="B81" s="200" t="s">
        <v>503</v>
      </c>
      <c r="C81" s="201"/>
      <c r="D81" s="201"/>
      <c r="E81" s="201"/>
      <c r="F81" s="201"/>
      <c r="G81" s="202"/>
    </row>
    <row r="82" spans="2:7" x14ac:dyDescent="0.25">
      <c r="B82" s="812" t="s">
        <v>502</v>
      </c>
      <c r="C82" s="813"/>
      <c r="D82" s="813"/>
      <c r="E82" s="813"/>
      <c r="F82" s="813"/>
      <c r="G82" s="814"/>
    </row>
    <row r="83" spans="2:7" x14ac:dyDescent="0.25">
      <c r="B83" s="812" t="s">
        <v>500</v>
      </c>
      <c r="C83" s="813"/>
      <c r="D83" s="813"/>
      <c r="E83" s="813"/>
      <c r="F83" s="813"/>
      <c r="G83" s="814"/>
    </row>
    <row r="84" spans="2:7" ht="15.75" thickBot="1" x14ac:dyDescent="0.3">
      <c r="B84" s="815" t="s">
        <v>501</v>
      </c>
      <c r="C84" s="816"/>
      <c r="D84" s="816"/>
      <c r="E84" s="816"/>
      <c r="F84" s="816"/>
      <c r="G84" s="817"/>
    </row>
    <row r="85" spans="2:7" ht="16.5" thickBot="1" x14ac:dyDescent="0.3">
      <c r="B85" s="678" t="s">
        <v>234</v>
      </c>
      <c r="C85" s="679"/>
      <c r="D85" s="679"/>
      <c r="E85" s="679"/>
      <c r="F85" s="679"/>
      <c r="G85" s="680"/>
    </row>
    <row r="86" spans="2:7" ht="16.5" thickBot="1" x14ac:dyDescent="0.3">
      <c r="B86" s="695"/>
      <c r="C86" s="696"/>
      <c r="D86" s="696"/>
      <c r="E86" s="696"/>
      <c r="F86" s="696"/>
      <c r="G86" s="697"/>
    </row>
  </sheetData>
  <mergeCells count="97">
    <mergeCell ref="B1:D1"/>
    <mergeCell ref="B12:C12"/>
    <mergeCell ref="D12:G12"/>
    <mergeCell ref="B6:E6"/>
    <mergeCell ref="F6:G6"/>
    <mergeCell ref="B7:E7"/>
    <mergeCell ref="F7:G7"/>
    <mergeCell ref="B8:E8"/>
    <mergeCell ref="F8:G8"/>
    <mergeCell ref="B9:E9"/>
    <mergeCell ref="F9:G9"/>
    <mergeCell ref="B10:G10"/>
    <mergeCell ref="B11:C11"/>
    <mergeCell ref="D11:G11"/>
    <mergeCell ref="B2:G2"/>
    <mergeCell ref="B3:E3"/>
    <mergeCell ref="B4:E4"/>
    <mergeCell ref="F4:G4"/>
    <mergeCell ref="B5:E5"/>
    <mergeCell ref="F5:G5"/>
    <mergeCell ref="B25:G25"/>
    <mergeCell ref="C13:D13"/>
    <mergeCell ref="C14:D14"/>
    <mergeCell ref="B16:G16"/>
    <mergeCell ref="B17:G17"/>
    <mergeCell ref="B18:G18"/>
    <mergeCell ref="B19:G19"/>
    <mergeCell ref="B20:G20"/>
    <mergeCell ref="B21:G21"/>
    <mergeCell ref="B22:G22"/>
    <mergeCell ref="B23:G23"/>
    <mergeCell ref="B24:G24"/>
    <mergeCell ref="B26:G26"/>
    <mergeCell ref="B27:G27"/>
    <mergeCell ref="B28:G28"/>
    <mergeCell ref="B29:G29"/>
    <mergeCell ref="B30:G30"/>
    <mergeCell ref="B31:G31"/>
    <mergeCell ref="B32:G32"/>
    <mergeCell ref="B33:G33"/>
    <mergeCell ref="B34:G34"/>
    <mergeCell ref="B35:G35"/>
    <mergeCell ref="B36:G36"/>
    <mergeCell ref="B37:G37"/>
    <mergeCell ref="B49:G49"/>
    <mergeCell ref="B43:G43"/>
    <mergeCell ref="B44:G44"/>
    <mergeCell ref="B45:G45"/>
    <mergeCell ref="B46:G46"/>
    <mergeCell ref="B47:G47"/>
    <mergeCell ref="B48:G48"/>
    <mergeCell ref="B40:G40"/>
    <mergeCell ref="B41:G41"/>
    <mergeCell ref="B42:G42"/>
    <mergeCell ref="B38:G38"/>
    <mergeCell ref="B39:G39"/>
    <mergeCell ref="B61:G61"/>
    <mergeCell ref="B50:G50"/>
    <mergeCell ref="B51:G51"/>
    <mergeCell ref="B52:G52"/>
    <mergeCell ref="B53:G53"/>
    <mergeCell ref="B54:G54"/>
    <mergeCell ref="B55:G55"/>
    <mergeCell ref="B56:G56"/>
    <mergeCell ref="B57:G57"/>
    <mergeCell ref="B58:G58"/>
    <mergeCell ref="B59:G59"/>
    <mergeCell ref="B60:G60"/>
    <mergeCell ref="B73:G73"/>
    <mergeCell ref="B62:G62"/>
    <mergeCell ref="B63:G63"/>
    <mergeCell ref="B64:G64"/>
    <mergeCell ref="B65:G65"/>
    <mergeCell ref="B66:G66"/>
    <mergeCell ref="B67:G67"/>
    <mergeCell ref="B68:G68"/>
    <mergeCell ref="B69:G69"/>
    <mergeCell ref="B70:G70"/>
    <mergeCell ref="B71:G71"/>
    <mergeCell ref="B72:G72"/>
    <mergeCell ref="B80:G80"/>
    <mergeCell ref="B74:E74"/>
    <mergeCell ref="F74:G74"/>
    <mergeCell ref="B75:E75"/>
    <mergeCell ref="F75:G75"/>
    <mergeCell ref="B76:E76"/>
    <mergeCell ref="F76:G76"/>
    <mergeCell ref="B77:E77"/>
    <mergeCell ref="F77:G77"/>
    <mergeCell ref="B78:E78"/>
    <mergeCell ref="F78:G78"/>
    <mergeCell ref="B79:G79"/>
    <mergeCell ref="B82:G82"/>
    <mergeCell ref="B83:G83"/>
    <mergeCell ref="B84:G84"/>
    <mergeCell ref="B85:G85"/>
    <mergeCell ref="B86:G86"/>
  </mergeCells>
  <hyperlinks>
    <hyperlink ref="B1:D1" location="'Schéma d''enseignement'!G20" display="Schéma d'enseignement"/>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theme="5"/>
  </sheetPr>
  <dimension ref="B1:G61"/>
  <sheetViews>
    <sheetView workbookViewId="0">
      <selection activeCell="B1" sqref="B1:D1"/>
    </sheetView>
  </sheetViews>
  <sheetFormatPr baseColWidth="10" defaultColWidth="8.7109375" defaultRowHeight="15" x14ac:dyDescent="0.25"/>
  <cols>
    <col min="1" max="1" width="2.28515625"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24" customHeight="1" thickBot="1" x14ac:dyDescent="0.3">
      <c r="B8" s="366" t="s">
        <v>203</v>
      </c>
      <c r="C8" s="367"/>
      <c r="D8" s="367"/>
      <c r="E8" s="464"/>
      <c r="F8" s="1042" t="s">
        <v>382</v>
      </c>
      <c r="G8" s="1043"/>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52.5" thickBot="1" x14ac:dyDescent="0.3">
      <c r="B14" s="81" t="s">
        <v>1276</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25.9" customHeight="1" x14ac:dyDescent="0.25">
      <c r="B17" s="846" t="s">
        <v>383</v>
      </c>
      <c r="C17" s="847"/>
      <c r="D17" s="847"/>
      <c r="E17" s="847"/>
      <c r="F17" s="847"/>
      <c r="G17" s="848"/>
    </row>
    <row r="18" spans="2:7" ht="39" customHeight="1" x14ac:dyDescent="0.25">
      <c r="B18" s="849" t="s">
        <v>384</v>
      </c>
      <c r="C18" s="850"/>
      <c r="D18" s="850"/>
      <c r="E18" s="850"/>
      <c r="F18" s="850"/>
      <c r="G18" s="851"/>
    </row>
    <row r="19" spans="2:7" ht="25.9" customHeight="1" x14ac:dyDescent="0.25">
      <c r="B19" s="849" t="s">
        <v>385</v>
      </c>
      <c r="C19" s="850"/>
      <c r="D19" s="850"/>
      <c r="E19" s="850"/>
      <c r="F19" s="850"/>
      <c r="G19" s="851"/>
    </row>
    <row r="20" spans="2:7" ht="52.15" customHeight="1" thickBot="1" x14ac:dyDescent="0.3">
      <c r="B20" s="758" t="s">
        <v>386</v>
      </c>
      <c r="C20" s="759"/>
      <c r="D20" s="759"/>
      <c r="E20" s="759"/>
      <c r="F20" s="759"/>
      <c r="G20" s="760"/>
    </row>
    <row r="21" spans="2:7" ht="16.5" thickBot="1" x14ac:dyDescent="0.3">
      <c r="B21" s="366" t="s">
        <v>220</v>
      </c>
      <c r="C21" s="367"/>
      <c r="D21" s="367"/>
      <c r="E21" s="367"/>
      <c r="F21" s="367"/>
      <c r="G21" s="368"/>
    </row>
    <row r="22" spans="2:7" ht="25.9" customHeight="1" x14ac:dyDescent="0.25">
      <c r="B22" s="846" t="s">
        <v>387</v>
      </c>
      <c r="C22" s="847"/>
      <c r="D22" s="847"/>
      <c r="E22" s="847"/>
      <c r="F22" s="847"/>
      <c r="G22" s="848"/>
    </row>
    <row r="23" spans="2:7" x14ac:dyDescent="0.25">
      <c r="B23" s="849" t="s">
        <v>388</v>
      </c>
      <c r="C23" s="850"/>
      <c r="D23" s="850"/>
      <c r="E23" s="850"/>
      <c r="F23" s="850"/>
      <c r="G23" s="851"/>
    </row>
    <row r="24" spans="2:7" ht="25.9" customHeight="1" x14ac:dyDescent="0.25">
      <c r="B24" s="852" t="s">
        <v>890</v>
      </c>
      <c r="C24" s="853"/>
      <c r="D24" s="853"/>
      <c r="E24" s="853"/>
      <c r="F24" s="853"/>
      <c r="G24" s="854"/>
    </row>
    <row r="25" spans="2:7" x14ac:dyDescent="0.25">
      <c r="B25" s="852" t="s">
        <v>891</v>
      </c>
      <c r="C25" s="853"/>
      <c r="D25" s="853"/>
      <c r="E25" s="853"/>
      <c r="F25" s="853"/>
      <c r="G25" s="854"/>
    </row>
    <row r="26" spans="2:7" ht="25.9" customHeight="1" x14ac:dyDescent="0.25">
      <c r="B26" s="852" t="s">
        <v>892</v>
      </c>
      <c r="C26" s="853"/>
      <c r="D26" s="853"/>
      <c r="E26" s="853"/>
      <c r="F26" s="853"/>
      <c r="G26" s="854"/>
    </row>
    <row r="27" spans="2:7" x14ac:dyDescent="0.25">
      <c r="B27" s="852" t="s">
        <v>893</v>
      </c>
      <c r="C27" s="853"/>
      <c r="D27" s="853"/>
      <c r="E27" s="853"/>
      <c r="F27" s="853"/>
      <c r="G27" s="854"/>
    </row>
    <row r="28" spans="2:7" ht="25.9" customHeight="1" x14ac:dyDescent="0.25">
      <c r="B28" s="852" t="s">
        <v>894</v>
      </c>
      <c r="C28" s="853"/>
      <c r="D28" s="853"/>
      <c r="E28" s="853"/>
      <c r="F28" s="853"/>
      <c r="G28" s="854"/>
    </row>
    <row r="29" spans="2:7" x14ac:dyDescent="0.25">
      <c r="B29" s="852" t="s">
        <v>895</v>
      </c>
      <c r="C29" s="853"/>
      <c r="D29" s="853"/>
      <c r="E29" s="853"/>
      <c r="F29" s="853"/>
      <c r="G29" s="854"/>
    </row>
    <row r="30" spans="2:7" ht="28.5" customHeight="1" thickBot="1" x14ac:dyDescent="0.3">
      <c r="B30" s="384" t="s">
        <v>896</v>
      </c>
      <c r="C30" s="385"/>
      <c r="D30" s="385"/>
      <c r="E30" s="385"/>
      <c r="F30" s="385"/>
      <c r="G30" s="386"/>
    </row>
    <row r="31" spans="2:7" ht="16.5" thickBot="1" x14ac:dyDescent="0.3">
      <c r="B31" s="366" t="s">
        <v>221</v>
      </c>
      <c r="C31" s="367"/>
      <c r="D31" s="367"/>
      <c r="E31" s="367"/>
      <c r="F31" s="367"/>
      <c r="G31" s="368"/>
    </row>
    <row r="32" spans="2:7" ht="16.5" thickBot="1" x14ac:dyDescent="0.3">
      <c r="B32" s="363" t="s">
        <v>889</v>
      </c>
      <c r="C32" s="364"/>
      <c r="D32" s="364"/>
      <c r="E32" s="364"/>
      <c r="F32" s="364"/>
      <c r="G32" s="445"/>
    </row>
    <row r="33" spans="2:7" ht="16.5" thickBot="1" x14ac:dyDescent="0.3">
      <c r="B33" s="366" t="s">
        <v>222</v>
      </c>
      <c r="C33" s="367"/>
      <c r="D33" s="367"/>
      <c r="E33" s="367"/>
      <c r="F33" s="367"/>
      <c r="G33" s="368"/>
    </row>
    <row r="34" spans="2:7" ht="15.75" thickBot="1" x14ac:dyDescent="0.3">
      <c r="B34" s="387" t="s">
        <v>1149</v>
      </c>
      <c r="C34" s="388"/>
      <c r="D34" s="388"/>
      <c r="E34" s="388"/>
      <c r="F34" s="388"/>
      <c r="G34" s="389"/>
    </row>
    <row r="35" spans="2:7" ht="15.75" thickBot="1" x14ac:dyDescent="0.3">
      <c r="B35" s="387" t="s">
        <v>29</v>
      </c>
      <c r="C35" s="388"/>
      <c r="D35" s="388"/>
      <c r="E35" s="388"/>
      <c r="F35" s="388"/>
      <c r="G35" s="389"/>
    </row>
    <row r="36" spans="2:7" ht="15.75" thickBot="1" x14ac:dyDescent="0.3">
      <c r="B36" s="387" t="s">
        <v>36</v>
      </c>
      <c r="C36" s="388"/>
      <c r="D36" s="388"/>
      <c r="E36" s="388"/>
      <c r="F36" s="388"/>
      <c r="G36" s="389"/>
    </row>
    <row r="37" spans="2:7" ht="15.75" thickBot="1" x14ac:dyDescent="0.3">
      <c r="B37" s="387" t="s">
        <v>40</v>
      </c>
      <c r="C37" s="388"/>
      <c r="D37" s="388"/>
      <c r="E37" s="388"/>
      <c r="F37" s="388"/>
      <c r="G37" s="389"/>
    </row>
    <row r="38" spans="2:7" ht="16.5" thickBot="1" x14ac:dyDescent="0.3">
      <c r="B38" s="390"/>
      <c r="C38" s="390"/>
      <c r="D38" s="390"/>
      <c r="E38" s="390"/>
      <c r="F38" s="77"/>
      <c r="G38" s="78"/>
    </row>
    <row r="39" spans="2:7" ht="16.5" thickBot="1" x14ac:dyDescent="0.3">
      <c r="B39" s="366" t="s">
        <v>226</v>
      </c>
      <c r="C39" s="367"/>
      <c r="D39" s="367"/>
      <c r="E39" s="367"/>
      <c r="F39" s="367"/>
      <c r="G39" s="368"/>
    </row>
    <row r="40" spans="2:7" ht="58.15" customHeight="1" x14ac:dyDescent="0.25">
      <c r="B40" s="747" t="s">
        <v>882</v>
      </c>
      <c r="C40" s="748"/>
      <c r="D40" s="748"/>
      <c r="E40" s="748"/>
      <c r="F40" s="748"/>
      <c r="G40" s="749"/>
    </row>
    <row r="41" spans="2:7" ht="72.400000000000006" customHeight="1" x14ac:dyDescent="0.25">
      <c r="B41" s="744" t="s">
        <v>883</v>
      </c>
      <c r="C41" s="745"/>
      <c r="D41" s="745"/>
      <c r="E41" s="745"/>
      <c r="F41" s="745"/>
      <c r="G41" s="746"/>
    </row>
    <row r="42" spans="2:7" ht="43.5" customHeight="1" x14ac:dyDescent="0.25">
      <c r="B42" s="744" t="s">
        <v>884</v>
      </c>
      <c r="C42" s="745"/>
      <c r="D42" s="745"/>
      <c r="E42" s="745"/>
      <c r="F42" s="745"/>
      <c r="G42" s="746"/>
    </row>
    <row r="43" spans="2:7" ht="87" customHeight="1" x14ac:dyDescent="0.25">
      <c r="B43" s="744" t="s">
        <v>885</v>
      </c>
      <c r="C43" s="745"/>
      <c r="D43" s="745"/>
      <c r="E43" s="745"/>
      <c r="F43" s="745"/>
      <c r="G43" s="746"/>
    </row>
    <row r="44" spans="2:7" ht="43.5" customHeight="1" x14ac:dyDescent="0.25">
      <c r="B44" s="744" t="s">
        <v>886</v>
      </c>
      <c r="C44" s="745"/>
      <c r="D44" s="745"/>
      <c r="E44" s="745"/>
      <c r="F44" s="745"/>
      <c r="G44" s="746"/>
    </row>
    <row r="45" spans="2:7" ht="58.15" customHeight="1" x14ac:dyDescent="0.25">
      <c r="B45" s="744" t="s">
        <v>887</v>
      </c>
      <c r="C45" s="745"/>
      <c r="D45" s="745"/>
      <c r="E45" s="745"/>
      <c r="F45" s="745"/>
      <c r="G45" s="746"/>
    </row>
    <row r="46" spans="2:7" ht="115.9" customHeight="1" thickBot="1" x14ac:dyDescent="0.3">
      <c r="B46" s="541" t="s">
        <v>888</v>
      </c>
      <c r="C46" s="542"/>
      <c r="D46" s="542"/>
      <c r="E46" s="542"/>
      <c r="F46" s="542"/>
      <c r="G46" s="543"/>
    </row>
    <row r="47" spans="2:7" ht="16.5" thickBot="1" x14ac:dyDescent="0.3">
      <c r="B47" s="366" t="s">
        <v>227</v>
      </c>
      <c r="C47" s="367"/>
      <c r="D47" s="367"/>
      <c r="E47" s="367"/>
      <c r="F47" s="367"/>
      <c r="G47" s="368"/>
    </row>
    <row r="48" spans="2:7" ht="16.5" thickBot="1" x14ac:dyDescent="0.3">
      <c r="B48" s="363" t="s">
        <v>245</v>
      </c>
      <c r="C48" s="364"/>
      <c r="D48" s="364"/>
      <c r="E48" s="365"/>
      <c r="F48" s="363" t="s">
        <v>231</v>
      </c>
      <c r="G48" s="365"/>
    </row>
    <row r="49" spans="2:7" ht="16.5" thickBot="1" x14ac:dyDescent="0.3">
      <c r="B49" s="363" t="s">
        <v>247</v>
      </c>
      <c r="C49" s="364"/>
      <c r="D49" s="364"/>
      <c r="E49" s="365"/>
      <c r="F49" s="363" t="s">
        <v>231</v>
      </c>
      <c r="G49" s="365"/>
    </row>
    <row r="50" spans="2:7" ht="16.5" thickBot="1" x14ac:dyDescent="0.3">
      <c r="B50" s="363" t="s">
        <v>309</v>
      </c>
      <c r="C50" s="364"/>
      <c r="D50" s="364"/>
      <c r="E50" s="365"/>
      <c r="F50" s="363" t="s">
        <v>231</v>
      </c>
      <c r="G50" s="445"/>
    </row>
    <row r="51" spans="2:7" ht="16.5" thickBot="1" x14ac:dyDescent="0.3">
      <c r="B51" s="363" t="s">
        <v>249</v>
      </c>
      <c r="C51" s="364"/>
      <c r="D51" s="364"/>
      <c r="E51" s="365"/>
      <c r="F51" s="363" t="s">
        <v>231</v>
      </c>
      <c r="G51" s="365"/>
    </row>
    <row r="52" spans="2:7" ht="16.5" thickBot="1" x14ac:dyDescent="0.3">
      <c r="B52" s="363"/>
      <c r="C52" s="364"/>
      <c r="D52" s="364"/>
      <c r="E52" s="365"/>
      <c r="F52" s="363"/>
      <c r="G52" s="365"/>
    </row>
    <row r="53" spans="2:7" ht="16.5" thickBot="1" x14ac:dyDescent="0.3">
      <c r="B53" s="366" t="s">
        <v>232</v>
      </c>
      <c r="C53" s="367"/>
      <c r="D53" s="367"/>
      <c r="E53" s="367"/>
      <c r="F53" s="367"/>
      <c r="G53" s="368"/>
    </row>
    <row r="54" spans="2:7" ht="16.5" thickBot="1" x14ac:dyDescent="0.3">
      <c r="B54" s="363" t="s">
        <v>881</v>
      </c>
      <c r="C54" s="364"/>
      <c r="D54" s="364"/>
      <c r="E54" s="364"/>
      <c r="F54" s="364"/>
      <c r="G54" s="445"/>
    </row>
    <row r="55" spans="2:7" ht="16.5" thickBot="1" x14ac:dyDescent="0.3">
      <c r="B55" s="678" t="s">
        <v>234</v>
      </c>
      <c r="C55" s="679"/>
      <c r="D55" s="679"/>
      <c r="E55" s="679"/>
      <c r="F55" s="679"/>
      <c r="G55" s="680"/>
    </row>
    <row r="56" spans="2:7" ht="28.5" customHeight="1" x14ac:dyDescent="0.25">
      <c r="B56" s="840" t="s">
        <v>880</v>
      </c>
      <c r="C56" s="841"/>
      <c r="D56" s="841"/>
      <c r="E56" s="841"/>
      <c r="F56" s="841"/>
      <c r="G56" s="842"/>
    </row>
    <row r="57" spans="2:7" ht="14.65" customHeight="1" x14ac:dyDescent="0.25">
      <c r="B57" s="843" t="s">
        <v>389</v>
      </c>
      <c r="C57" s="844"/>
      <c r="D57" s="844"/>
      <c r="E57" s="844"/>
      <c r="F57" s="844"/>
      <c r="G57" s="845"/>
    </row>
    <row r="58" spans="2:7" ht="28.9" customHeight="1" x14ac:dyDescent="0.25">
      <c r="B58" s="843" t="s">
        <v>390</v>
      </c>
      <c r="C58" s="844"/>
      <c r="D58" s="844"/>
      <c r="E58" s="844"/>
      <c r="F58" s="844"/>
      <c r="G58" s="845"/>
    </row>
    <row r="59" spans="2:7" ht="15.75" thickBot="1" x14ac:dyDescent="0.3">
      <c r="B59" s="837" t="s">
        <v>391</v>
      </c>
      <c r="C59" s="838"/>
      <c r="D59" s="838"/>
      <c r="E59" s="838"/>
      <c r="F59" s="838"/>
      <c r="G59" s="839"/>
    </row>
    <row r="60" spans="2:7" x14ac:dyDescent="0.25">
      <c r="B60"/>
      <c r="C60"/>
      <c r="D60"/>
      <c r="E60"/>
      <c r="F60"/>
      <c r="G60"/>
    </row>
    <row r="61" spans="2:7" x14ac:dyDescent="0.25">
      <c r="B61" s="86"/>
      <c r="C61"/>
      <c r="D61"/>
      <c r="E61"/>
      <c r="F61"/>
      <c r="G61"/>
    </row>
  </sheetData>
  <mergeCells count="71">
    <mergeCell ref="B1:D1"/>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31:G31"/>
    <mergeCell ref="B20:G20"/>
    <mergeCell ref="B21:G21"/>
    <mergeCell ref="B22:G22"/>
    <mergeCell ref="B23:G23"/>
    <mergeCell ref="B24:G24"/>
    <mergeCell ref="B25:G25"/>
    <mergeCell ref="B26:G26"/>
    <mergeCell ref="B27:G27"/>
    <mergeCell ref="B28:G28"/>
    <mergeCell ref="B29:G29"/>
    <mergeCell ref="B30:G30"/>
    <mergeCell ref="B38:E38"/>
    <mergeCell ref="B32:G32"/>
    <mergeCell ref="B33:G33"/>
    <mergeCell ref="B35:G35"/>
    <mergeCell ref="B36:G36"/>
    <mergeCell ref="B37:G37"/>
    <mergeCell ref="B34:G34"/>
    <mergeCell ref="B49:E49"/>
    <mergeCell ref="F49:G49"/>
    <mergeCell ref="B39:G39"/>
    <mergeCell ref="B40:G40"/>
    <mergeCell ref="B41:G41"/>
    <mergeCell ref="B42:G42"/>
    <mergeCell ref="B43:G43"/>
    <mergeCell ref="B44:G44"/>
    <mergeCell ref="B45:G45"/>
    <mergeCell ref="B46:G46"/>
    <mergeCell ref="B47:G47"/>
    <mergeCell ref="B48:E48"/>
    <mergeCell ref="F48:G48"/>
    <mergeCell ref="B50:E50"/>
    <mergeCell ref="F50:G50"/>
    <mergeCell ref="B51:E51"/>
    <mergeCell ref="F51:G51"/>
    <mergeCell ref="B52:E52"/>
    <mergeCell ref="F52:G52"/>
    <mergeCell ref="B59:G59"/>
    <mergeCell ref="B53:G53"/>
    <mergeCell ref="B54:G54"/>
    <mergeCell ref="B55:G55"/>
    <mergeCell ref="B56:G56"/>
    <mergeCell ref="B57:G57"/>
    <mergeCell ref="B58:G58"/>
  </mergeCells>
  <hyperlinks>
    <hyperlink ref="B57" r:id="rId1" display="http://www.oracle.com/pls/db112/homepage"/>
    <hyperlink ref="B58" r:id="rId2" display="http://docs.oracle.com/cd/E11882_01/server.112/e10897.pdf"/>
    <hyperlink ref="B59" r:id="rId3"/>
    <hyperlink ref="B1:D1" location="'Schéma d''enseignement'!G27" display="Schéma d'enseignement"/>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theme="5"/>
  </sheetPr>
  <dimension ref="B1:G69"/>
  <sheetViews>
    <sheetView workbookViewId="0">
      <selection activeCell="B1" sqref="B1:D1"/>
    </sheetView>
  </sheetViews>
  <sheetFormatPr baseColWidth="10" defaultColWidth="8.7109375" defaultRowHeight="15" x14ac:dyDescent="0.25"/>
  <cols>
    <col min="1" max="1" width="2"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78"/>
    </row>
    <row r="4" spans="2:7" ht="16.5" thickBot="1" x14ac:dyDescent="0.3">
      <c r="B4" s="366" t="s">
        <v>196</v>
      </c>
      <c r="C4" s="367"/>
      <c r="D4" s="367"/>
      <c r="E4" s="464"/>
      <c r="F4" s="689" t="s">
        <v>392</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21.75" customHeight="1" thickBot="1" x14ac:dyDescent="0.3">
      <c r="B8" s="366" t="s">
        <v>203</v>
      </c>
      <c r="C8" s="367"/>
      <c r="D8" s="367"/>
      <c r="E8" s="464"/>
      <c r="F8" s="1042" t="s">
        <v>382</v>
      </c>
      <c r="G8" s="1043"/>
    </row>
    <row r="9" spans="2:7" ht="16.5" thickBot="1" x14ac:dyDescent="0.3">
      <c r="B9" s="366" t="s">
        <v>204</v>
      </c>
      <c r="C9" s="367"/>
      <c r="D9" s="367"/>
      <c r="E9" s="464"/>
      <c r="F9" s="689" t="s">
        <v>319</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69.75" thickBot="1" x14ac:dyDescent="0.3">
      <c r="B14" s="81" t="s">
        <v>1277</v>
      </c>
      <c r="C14" s="410" t="s">
        <v>260</v>
      </c>
      <c r="D14" s="412"/>
      <c r="E14" s="120" t="s">
        <v>246</v>
      </c>
      <c r="F14" s="120">
        <v>2</v>
      </c>
      <c r="G14" s="191" t="s">
        <v>218</v>
      </c>
    </row>
    <row r="15" spans="2:7" ht="15.75" thickBot="1" x14ac:dyDescent="0.3">
      <c r="B15" s="83"/>
      <c r="C15" s="84"/>
      <c r="D15" s="84"/>
      <c r="E15" s="84"/>
      <c r="F15" s="84"/>
      <c r="G15" s="85"/>
    </row>
    <row r="16" spans="2:7" ht="16.5" thickBot="1" x14ac:dyDescent="0.3">
      <c r="B16" s="716" t="s">
        <v>219</v>
      </c>
      <c r="C16" s="717"/>
      <c r="D16" s="717"/>
      <c r="E16" s="717"/>
      <c r="F16" s="717"/>
      <c r="G16" s="718"/>
    </row>
    <row r="17" spans="2:7" ht="25.9" customHeight="1" thickBot="1" x14ac:dyDescent="0.3">
      <c r="B17" s="870" t="s">
        <v>393</v>
      </c>
      <c r="C17" s="871"/>
      <c r="D17" s="871"/>
      <c r="E17" s="871"/>
      <c r="F17" s="871"/>
      <c r="G17" s="872"/>
    </row>
    <row r="18" spans="2:7" ht="16.5" thickBot="1" x14ac:dyDescent="0.3">
      <c r="B18" s="366" t="s">
        <v>220</v>
      </c>
      <c r="C18" s="367"/>
      <c r="D18" s="367"/>
      <c r="E18" s="367"/>
      <c r="F18" s="367"/>
      <c r="G18" s="368"/>
    </row>
    <row r="19" spans="2:7" ht="25.9" customHeight="1" x14ac:dyDescent="0.25">
      <c r="B19" s="864" t="s">
        <v>901</v>
      </c>
      <c r="C19" s="865"/>
      <c r="D19" s="865"/>
      <c r="E19" s="865"/>
      <c r="F19" s="865"/>
      <c r="G19" s="866"/>
    </row>
    <row r="20" spans="2:7" ht="25.9" customHeight="1" x14ac:dyDescent="0.25">
      <c r="B20" s="867" t="s">
        <v>902</v>
      </c>
      <c r="C20" s="868"/>
      <c r="D20" s="868"/>
      <c r="E20" s="868"/>
      <c r="F20" s="868"/>
      <c r="G20" s="869"/>
    </row>
    <row r="21" spans="2:7" ht="25.9" customHeight="1" x14ac:dyDescent="0.25">
      <c r="B21" s="867" t="s">
        <v>903</v>
      </c>
      <c r="C21" s="868"/>
      <c r="D21" s="868"/>
      <c r="E21" s="868"/>
      <c r="F21" s="868"/>
      <c r="G21" s="869"/>
    </row>
    <row r="22" spans="2:7" x14ac:dyDescent="0.25">
      <c r="B22" s="867" t="s">
        <v>904</v>
      </c>
      <c r="C22" s="868"/>
      <c r="D22" s="868"/>
      <c r="E22" s="868"/>
      <c r="F22" s="868"/>
      <c r="G22" s="869"/>
    </row>
    <row r="23" spans="2:7" x14ac:dyDescent="0.25">
      <c r="B23" s="867" t="s">
        <v>905</v>
      </c>
      <c r="C23" s="868"/>
      <c r="D23" s="868"/>
      <c r="E23" s="868"/>
      <c r="F23" s="868"/>
      <c r="G23" s="869"/>
    </row>
    <row r="24" spans="2:7" ht="25.9" customHeight="1" x14ac:dyDescent="0.25">
      <c r="B24" s="867" t="s">
        <v>906</v>
      </c>
      <c r="C24" s="868"/>
      <c r="D24" s="868"/>
      <c r="E24" s="868"/>
      <c r="F24" s="868"/>
      <c r="G24" s="869"/>
    </row>
    <row r="25" spans="2:7" ht="16.5" thickBot="1" x14ac:dyDescent="0.3">
      <c r="B25" s="384" t="s">
        <v>907</v>
      </c>
      <c r="C25" s="385"/>
      <c r="D25" s="385"/>
      <c r="E25" s="385"/>
      <c r="F25" s="385"/>
      <c r="G25" s="386"/>
    </row>
    <row r="26" spans="2:7" ht="16.5" thickBot="1" x14ac:dyDescent="0.3">
      <c r="B26" s="366" t="s">
        <v>221</v>
      </c>
      <c r="C26" s="367"/>
      <c r="D26" s="367"/>
      <c r="E26" s="367"/>
      <c r="F26" s="367"/>
      <c r="G26" s="368"/>
    </row>
    <row r="27" spans="2:7" ht="16.5" thickBot="1" x14ac:dyDescent="0.3">
      <c r="B27" s="363" t="s">
        <v>889</v>
      </c>
      <c r="C27" s="364"/>
      <c r="D27" s="364"/>
      <c r="E27" s="364"/>
      <c r="F27" s="364"/>
      <c r="G27" s="445"/>
    </row>
    <row r="28" spans="2:7" ht="16.5" thickBot="1" x14ac:dyDescent="0.3">
      <c r="B28" s="366" t="s">
        <v>222</v>
      </c>
      <c r="C28" s="367"/>
      <c r="D28" s="367"/>
      <c r="E28" s="367"/>
      <c r="F28" s="367"/>
      <c r="G28" s="368"/>
    </row>
    <row r="29" spans="2:7" ht="15.75" thickBot="1" x14ac:dyDescent="0.3">
      <c r="B29" s="387" t="s">
        <v>1149</v>
      </c>
      <c r="C29" s="388"/>
      <c r="D29" s="388"/>
      <c r="E29" s="388"/>
      <c r="F29" s="388"/>
      <c r="G29" s="389"/>
    </row>
    <row r="30" spans="2:7" ht="15.75" thickBot="1" x14ac:dyDescent="0.3">
      <c r="B30" s="387" t="s">
        <v>29</v>
      </c>
      <c r="C30" s="388"/>
      <c r="D30" s="388"/>
      <c r="E30" s="388"/>
      <c r="F30" s="388"/>
      <c r="G30" s="389"/>
    </row>
    <row r="31" spans="2:7" ht="15.75" thickBot="1" x14ac:dyDescent="0.3">
      <c r="B31" s="387" t="s">
        <v>36</v>
      </c>
      <c r="C31" s="388"/>
      <c r="D31" s="388"/>
      <c r="E31" s="388"/>
      <c r="F31" s="388"/>
      <c r="G31" s="389"/>
    </row>
    <row r="32" spans="2:7" ht="15.75" thickBot="1" x14ac:dyDescent="0.3">
      <c r="B32" s="387" t="s">
        <v>40</v>
      </c>
      <c r="C32" s="388"/>
      <c r="D32" s="388"/>
      <c r="E32" s="388"/>
      <c r="F32" s="388"/>
      <c r="G32" s="389"/>
    </row>
    <row r="33" spans="2:7" ht="15.75" thickBot="1" x14ac:dyDescent="0.3">
      <c r="B33" s="387" t="s">
        <v>1148</v>
      </c>
      <c r="C33" s="388"/>
      <c r="D33" s="388"/>
      <c r="E33" s="388"/>
      <c r="F33" s="388"/>
      <c r="G33" s="389"/>
    </row>
    <row r="34" spans="2:7" ht="15.75" thickBot="1" x14ac:dyDescent="0.3">
      <c r="B34" s="387" t="s">
        <v>46</v>
      </c>
      <c r="C34" s="388"/>
      <c r="D34" s="388"/>
      <c r="E34" s="388"/>
      <c r="F34" s="388"/>
      <c r="G34" s="389"/>
    </row>
    <row r="35" spans="2:7" ht="15.75" thickBot="1" x14ac:dyDescent="0.3">
      <c r="B35" s="387" t="s">
        <v>47</v>
      </c>
      <c r="C35" s="388"/>
      <c r="D35" s="388"/>
      <c r="E35" s="388"/>
      <c r="F35" s="388"/>
      <c r="G35" s="389"/>
    </row>
    <row r="36" spans="2:7" ht="16.5" thickBot="1" x14ac:dyDescent="0.3">
      <c r="B36" s="390"/>
      <c r="C36" s="390"/>
      <c r="D36" s="390"/>
      <c r="E36" s="390"/>
      <c r="F36" s="77"/>
      <c r="G36" s="78"/>
    </row>
    <row r="37" spans="2:7" ht="16.5" thickBot="1" x14ac:dyDescent="0.3">
      <c r="B37" s="366" t="s">
        <v>226</v>
      </c>
      <c r="C37" s="367"/>
      <c r="D37" s="367"/>
      <c r="E37" s="367"/>
      <c r="F37" s="367"/>
      <c r="G37" s="368"/>
    </row>
    <row r="38" spans="2:7" ht="14.65" customHeight="1" x14ac:dyDescent="0.25">
      <c r="B38" s="864" t="s">
        <v>899</v>
      </c>
      <c r="C38" s="865"/>
      <c r="D38" s="865"/>
      <c r="E38" s="865"/>
      <c r="F38" s="865"/>
      <c r="G38" s="866"/>
    </row>
    <row r="39" spans="2:7" ht="14.65" customHeight="1" x14ac:dyDescent="0.25">
      <c r="B39" s="433" t="s">
        <v>394</v>
      </c>
      <c r="C39" s="434"/>
      <c r="D39" s="434"/>
      <c r="E39" s="434"/>
      <c r="F39" s="434"/>
      <c r="G39" s="435"/>
    </row>
    <row r="40" spans="2:7" ht="14.65" customHeight="1" x14ac:dyDescent="0.25">
      <c r="B40" s="433" t="s">
        <v>395</v>
      </c>
      <c r="C40" s="434"/>
      <c r="D40" s="434"/>
      <c r="E40" s="434"/>
      <c r="F40" s="434"/>
      <c r="G40" s="435"/>
    </row>
    <row r="41" spans="2:7" ht="14.65" customHeight="1" x14ac:dyDescent="0.25">
      <c r="B41" s="433" t="s">
        <v>396</v>
      </c>
      <c r="C41" s="434"/>
      <c r="D41" s="434"/>
      <c r="E41" s="434"/>
      <c r="F41" s="434"/>
      <c r="G41" s="435"/>
    </row>
    <row r="42" spans="2:7" ht="14.65" customHeight="1" x14ac:dyDescent="0.25">
      <c r="B42" s="433" t="s">
        <v>397</v>
      </c>
      <c r="C42" s="434"/>
      <c r="D42" s="434"/>
      <c r="E42" s="434"/>
      <c r="F42" s="434"/>
      <c r="G42" s="435"/>
    </row>
    <row r="43" spans="2:7" ht="14.65" customHeight="1" x14ac:dyDescent="0.25">
      <c r="B43" s="433" t="s">
        <v>398</v>
      </c>
      <c r="C43" s="434"/>
      <c r="D43" s="434"/>
      <c r="E43" s="434"/>
      <c r="F43" s="434"/>
      <c r="G43" s="435"/>
    </row>
    <row r="44" spans="2:7" ht="14.65" customHeight="1" x14ac:dyDescent="0.25">
      <c r="B44" s="433" t="s">
        <v>399</v>
      </c>
      <c r="C44" s="434"/>
      <c r="D44" s="434"/>
      <c r="E44" s="434"/>
      <c r="F44" s="434"/>
      <c r="G44" s="435"/>
    </row>
    <row r="45" spans="2:7" ht="14.65" customHeight="1" x14ac:dyDescent="0.25">
      <c r="B45" s="433" t="s">
        <v>400</v>
      </c>
      <c r="C45" s="434"/>
      <c r="D45" s="434"/>
      <c r="E45" s="434"/>
      <c r="F45" s="434"/>
      <c r="G45" s="435"/>
    </row>
    <row r="46" spans="2:7" ht="14.65" customHeight="1" x14ac:dyDescent="0.25">
      <c r="B46" s="433" t="s">
        <v>401</v>
      </c>
      <c r="C46" s="434"/>
      <c r="D46" s="434"/>
      <c r="E46" s="434"/>
      <c r="F46" s="434"/>
      <c r="G46" s="435"/>
    </row>
    <row r="47" spans="2:7" ht="14.65" customHeight="1" x14ac:dyDescent="0.25">
      <c r="B47" s="433" t="s">
        <v>402</v>
      </c>
      <c r="C47" s="434"/>
      <c r="D47" s="434"/>
      <c r="E47" s="434"/>
      <c r="F47" s="434"/>
      <c r="G47" s="435"/>
    </row>
    <row r="48" spans="2:7" ht="14.65" customHeight="1" x14ac:dyDescent="0.25">
      <c r="B48" s="433" t="s">
        <v>403</v>
      </c>
      <c r="C48" s="434"/>
      <c r="D48" s="434"/>
      <c r="E48" s="434"/>
      <c r="F48" s="434"/>
      <c r="G48" s="435"/>
    </row>
    <row r="49" spans="2:7" ht="14.65" customHeight="1" x14ac:dyDescent="0.25">
      <c r="B49" s="433" t="s">
        <v>404</v>
      </c>
      <c r="C49" s="434"/>
      <c r="D49" s="434"/>
      <c r="E49" s="434"/>
      <c r="F49" s="434"/>
      <c r="G49" s="435"/>
    </row>
    <row r="50" spans="2:7" ht="14.65" customHeight="1" x14ac:dyDescent="0.25">
      <c r="B50" s="433" t="s">
        <v>405</v>
      </c>
      <c r="C50" s="434"/>
      <c r="D50" s="434"/>
      <c r="E50" s="434"/>
      <c r="F50" s="434"/>
      <c r="G50" s="435"/>
    </row>
    <row r="51" spans="2:7" ht="14.65" customHeight="1" x14ac:dyDescent="0.25">
      <c r="B51" s="433" t="s">
        <v>406</v>
      </c>
      <c r="C51" s="434"/>
      <c r="D51" s="434"/>
      <c r="E51" s="434"/>
      <c r="F51" s="434"/>
      <c r="G51" s="435"/>
    </row>
    <row r="52" spans="2:7" ht="14.65" customHeight="1" x14ac:dyDescent="0.25">
      <c r="B52" s="433" t="s">
        <v>407</v>
      </c>
      <c r="C52" s="434"/>
      <c r="D52" s="434"/>
      <c r="E52" s="434"/>
      <c r="F52" s="434"/>
      <c r="G52" s="435"/>
    </row>
    <row r="53" spans="2:7" ht="15.75" thickBot="1" x14ac:dyDescent="0.3">
      <c r="B53" s="427" t="s">
        <v>900</v>
      </c>
      <c r="C53" s="428"/>
      <c r="D53" s="428"/>
      <c r="E53" s="428"/>
      <c r="F53" s="428"/>
      <c r="G53" s="429"/>
    </row>
    <row r="54" spans="2:7" ht="16.5" thickBot="1" x14ac:dyDescent="0.3">
      <c r="B54" s="366" t="s">
        <v>227</v>
      </c>
      <c r="C54" s="367"/>
      <c r="D54" s="367"/>
      <c r="E54" s="367"/>
      <c r="F54" s="367"/>
      <c r="G54" s="368"/>
    </row>
    <row r="55" spans="2:7" ht="16.5" thickBot="1" x14ac:dyDescent="0.3">
      <c r="B55" s="363" t="s">
        <v>245</v>
      </c>
      <c r="C55" s="364"/>
      <c r="D55" s="364"/>
      <c r="E55" s="365"/>
      <c r="F55" s="363"/>
      <c r="G55" s="365"/>
    </row>
    <row r="56" spans="2:7" ht="16.5" thickBot="1" x14ac:dyDescent="0.3">
      <c r="B56" s="363" t="s">
        <v>247</v>
      </c>
      <c r="C56" s="364"/>
      <c r="D56" s="364"/>
      <c r="E56" s="365"/>
      <c r="F56" s="363"/>
      <c r="G56" s="365"/>
    </row>
    <row r="57" spans="2:7" ht="16.5" thickBot="1" x14ac:dyDescent="0.3">
      <c r="B57" s="363" t="s">
        <v>309</v>
      </c>
      <c r="C57" s="364"/>
      <c r="D57" s="364"/>
      <c r="E57" s="365"/>
      <c r="F57" s="363" t="s">
        <v>231</v>
      </c>
      <c r="G57" s="445"/>
    </row>
    <row r="58" spans="2:7" ht="16.5" thickBot="1" x14ac:dyDescent="0.3">
      <c r="B58" s="363" t="s">
        <v>249</v>
      </c>
      <c r="C58" s="364"/>
      <c r="D58" s="364"/>
      <c r="E58" s="365"/>
      <c r="F58" s="363" t="s">
        <v>231</v>
      </c>
      <c r="G58" s="365"/>
    </row>
    <row r="59" spans="2:7" ht="16.5" thickBot="1" x14ac:dyDescent="0.3">
      <c r="B59" s="861"/>
      <c r="C59" s="862"/>
      <c r="D59" s="862"/>
      <c r="E59" s="863"/>
      <c r="F59" s="861"/>
      <c r="G59" s="863"/>
    </row>
    <row r="60" spans="2:7" ht="16.5" thickBot="1" x14ac:dyDescent="0.3">
      <c r="B60" s="366" t="s">
        <v>232</v>
      </c>
      <c r="C60" s="367"/>
      <c r="D60" s="367"/>
      <c r="E60" s="367"/>
      <c r="F60" s="367"/>
      <c r="G60" s="368"/>
    </row>
    <row r="61" spans="2:7" ht="16.5" thickBot="1" x14ac:dyDescent="0.3">
      <c r="B61" s="363" t="s">
        <v>881</v>
      </c>
      <c r="C61" s="364"/>
      <c r="D61" s="364"/>
      <c r="E61" s="364"/>
      <c r="F61" s="364"/>
      <c r="G61" s="445"/>
    </row>
    <row r="62" spans="2:7" ht="16.5" thickBot="1" x14ac:dyDescent="0.3">
      <c r="B62" s="678" t="s">
        <v>234</v>
      </c>
      <c r="C62" s="679"/>
      <c r="D62" s="679"/>
      <c r="E62" s="679"/>
      <c r="F62" s="679"/>
      <c r="G62" s="680"/>
    </row>
    <row r="63" spans="2:7" ht="15.4" customHeight="1" x14ac:dyDescent="0.25">
      <c r="B63" s="840" t="s">
        <v>897</v>
      </c>
      <c r="C63" s="841"/>
      <c r="D63" s="841"/>
      <c r="E63" s="841"/>
      <c r="F63" s="841"/>
      <c r="G63" s="842"/>
    </row>
    <row r="64" spans="2:7" ht="25.9" customHeight="1" x14ac:dyDescent="0.25">
      <c r="B64" s="849" t="s">
        <v>408</v>
      </c>
      <c r="C64" s="850"/>
      <c r="D64" s="850"/>
      <c r="E64" s="850"/>
      <c r="F64" s="850"/>
      <c r="G64" s="851"/>
    </row>
    <row r="65" spans="2:7" ht="25.9" customHeight="1" x14ac:dyDescent="0.25">
      <c r="B65" s="849" t="s">
        <v>898</v>
      </c>
      <c r="C65" s="850"/>
      <c r="D65" s="850"/>
      <c r="E65" s="850"/>
      <c r="F65" s="850"/>
      <c r="G65" s="851"/>
    </row>
    <row r="66" spans="2:7" ht="14.65" customHeight="1" x14ac:dyDescent="0.25">
      <c r="B66" s="858" t="s">
        <v>389</v>
      </c>
      <c r="C66" s="859"/>
      <c r="D66" s="859"/>
      <c r="E66" s="859"/>
      <c r="F66" s="859"/>
      <c r="G66" s="860"/>
    </row>
    <row r="67" spans="2:7" ht="28.9" customHeight="1" x14ac:dyDescent="0.25">
      <c r="B67" s="858" t="s">
        <v>390</v>
      </c>
      <c r="C67" s="859"/>
      <c r="D67" s="859"/>
      <c r="E67" s="859"/>
      <c r="F67" s="859"/>
      <c r="G67" s="860"/>
    </row>
    <row r="68" spans="2:7" ht="28.9" customHeight="1" thickBot="1" x14ac:dyDescent="0.3">
      <c r="B68" s="855" t="s">
        <v>409</v>
      </c>
      <c r="C68" s="856"/>
      <c r="D68" s="856"/>
      <c r="E68" s="856"/>
      <c r="F68" s="856"/>
      <c r="G68" s="857"/>
    </row>
    <row r="69" spans="2:7" x14ac:dyDescent="0.25">
      <c r="B69" s="86"/>
      <c r="C69"/>
      <c r="D69"/>
      <c r="E69"/>
      <c r="F69"/>
      <c r="G69"/>
    </row>
  </sheetData>
  <mergeCells count="80">
    <mergeCell ref="B1:D1"/>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25:G25"/>
    <mergeCell ref="B26:G26"/>
    <mergeCell ref="B27:G27"/>
    <mergeCell ref="B28:G28"/>
    <mergeCell ref="B29:G29"/>
    <mergeCell ref="B30:G30"/>
    <mergeCell ref="B31:G31"/>
    <mergeCell ref="B41:G41"/>
    <mergeCell ref="B36:E36"/>
    <mergeCell ref="B37:G37"/>
    <mergeCell ref="B38:G38"/>
    <mergeCell ref="B39:G39"/>
    <mergeCell ref="B40:G40"/>
    <mergeCell ref="B32:G32"/>
    <mergeCell ref="B33:G33"/>
    <mergeCell ref="B34:G34"/>
    <mergeCell ref="B35:G35"/>
    <mergeCell ref="B53:G53"/>
    <mergeCell ref="B42:G42"/>
    <mergeCell ref="B43:G43"/>
    <mergeCell ref="B44:G44"/>
    <mergeCell ref="B45:G45"/>
    <mergeCell ref="B46:G46"/>
    <mergeCell ref="B47:G47"/>
    <mergeCell ref="B48:G48"/>
    <mergeCell ref="B49:G49"/>
    <mergeCell ref="B50:G50"/>
    <mergeCell ref="B51:G51"/>
    <mergeCell ref="B52:G52"/>
    <mergeCell ref="B61:G61"/>
    <mergeCell ref="B54:G54"/>
    <mergeCell ref="B55:E55"/>
    <mergeCell ref="F55:G55"/>
    <mergeCell ref="B56:E56"/>
    <mergeCell ref="F56:G56"/>
    <mergeCell ref="B57:E57"/>
    <mergeCell ref="F57:G57"/>
    <mergeCell ref="B58:E58"/>
    <mergeCell ref="F58:G58"/>
    <mergeCell ref="B59:E59"/>
    <mergeCell ref="F59:G59"/>
    <mergeCell ref="B60:G60"/>
    <mergeCell ref="B68:G68"/>
    <mergeCell ref="B62:G62"/>
    <mergeCell ref="B63:G63"/>
    <mergeCell ref="B64:G64"/>
    <mergeCell ref="B65:G65"/>
    <mergeCell ref="B66:G66"/>
    <mergeCell ref="B67:G67"/>
  </mergeCells>
  <hyperlinks>
    <hyperlink ref="B66" r:id="rId1" display="http://www.oracle.com/pls/db112/homepage"/>
    <hyperlink ref="B67" r:id="rId2" display="http://docs.oracle.com/cd/E11882_01/server.112/e10897.pdf"/>
    <hyperlink ref="B68" r:id="rId3" display="http://docs.oracle.com/cd/E11882_01/server.112/e25494.pdf"/>
    <hyperlink ref="B1:D1" location="'Schéma d''enseignement'!G28" display="Schéma d'enseignem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FF8080"/>
  </sheetPr>
  <dimension ref="B1:I53"/>
  <sheetViews>
    <sheetView zoomScaleNormal="100" zoomScaleSheetLayoutView="83" workbookViewId="0">
      <selection activeCell="B1" sqref="B1:D1"/>
    </sheetView>
  </sheetViews>
  <sheetFormatPr baseColWidth="10" defaultColWidth="10.85546875" defaultRowHeight="15" x14ac:dyDescent="0.25"/>
  <cols>
    <col min="1" max="1" width="2.5703125" style="1" customWidth="1"/>
    <col min="2" max="2" width="27.7109375" customWidth="1"/>
    <col min="3" max="5" width="12.28515625" customWidth="1"/>
    <col min="6" max="6" width="24.7109375" customWidth="1"/>
    <col min="7" max="256" width="10.85546875" style="1"/>
    <col min="257" max="257" width="2.5703125" style="1" customWidth="1"/>
    <col min="258" max="258" width="27.7109375" style="1" customWidth="1"/>
    <col min="259" max="261" width="12.28515625" style="1" customWidth="1"/>
    <col min="262" max="262" width="24.7109375" style="1" customWidth="1"/>
    <col min="263" max="512" width="10.85546875" style="1"/>
    <col min="513" max="513" width="2.5703125" style="1" customWidth="1"/>
    <col min="514" max="514" width="27.7109375" style="1" customWidth="1"/>
    <col min="515" max="517" width="12.28515625" style="1" customWidth="1"/>
    <col min="518" max="518" width="24.7109375" style="1" customWidth="1"/>
    <col min="519" max="768" width="10.85546875" style="1"/>
    <col min="769" max="769" width="2.5703125" style="1" customWidth="1"/>
    <col min="770" max="770" width="27.7109375" style="1" customWidth="1"/>
    <col min="771" max="773" width="12.28515625" style="1" customWidth="1"/>
    <col min="774" max="774" width="24.7109375" style="1" customWidth="1"/>
    <col min="775" max="1024" width="10.85546875" style="1"/>
    <col min="1025" max="1025" width="2.5703125" style="1" customWidth="1"/>
    <col min="1026" max="1026" width="27.7109375" style="1" customWidth="1"/>
    <col min="1027" max="1029" width="12.28515625" style="1" customWidth="1"/>
    <col min="1030" max="1030" width="24.7109375" style="1" customWidth="1"/>
    <col min="1031" max="1280" width="10.85546875" style="1"/>
    <col min="1281" max="1281" width="2.5703125" style="1" customWidth="1"/>
    <col min="1282" max="1282" width="27.7109375" style="1" customWidth="1"/>
    <col min="1283" max="1285" width="12.28515625" style="1" customWidth="1"/>
    <col min="1286" max="1286" width="24.7109375" style="1" customWidth="1"/>
    <col min="1287" max="1536" width="10.85546875" style="1"/>
    <col min="1537" max="1537" width="2.5703125" style="1" customWidth="1"/>
    <col min="1538" max="1538" width="27.7109375" style="1" customWidth="1"/>
    <col min="1539" max="1541" width="12.28515625" style="1" customWidth="1"/>
    <col min="1542" max="1542" width="24.7109375" style="1" customWidth="1"/>
    <col min="1543" max="1792" width="10.85546875" style="1"/>
    <col min="1793" max="1793" width="2.5703125" style="1" customWidth="1"/>
    <col min="1794" max="1794" width="27.7109375" style="1" customWidth="1"/>
    <col min="1795" max="1797" width="12.28515625" style="1" customWidth="1"/>
    <col min="1798" max="1798" width="24.7109375" style="1" customWidth="1"/>
    <col min="1799" max="2048" width="10.85546875" style="1"/>
    <col min="2049" max="2049" width="2.5703125" style="1" customWidth="1"/>
    <col min="2050" max="2050" width="27.7109375" style="1" customWidth="1"/>
    <col min="2051" max="2053" width="12.28515625" style="1" customWidth="1"/>
    <col min="2054" max="2054" width="24.7109375" style="1" customWidth="1"/>
    <col min="2055" max="2304" width="10.85546875" style="1"/>
    <col min="2305" max="2305" width="2.5703125" style="1" customWidth="1"/>
    <col min="2306" max="2306" width="27.7109375" style="1" customWidth="1"/>
    <col min="2307" max="2309" width="12.28515625" style="1" customWidth="1"/>
    <col min="2310" max="2310" width="24.7109375" style="1" customWidth="1"/>
    <col min="2311" max="2560" width="10.85546875" style="1"/>
    <col min="2561" max="2561" width="2.5703125" style="1" customWidth="1"/>
    <col min="2562" max="2562" width="27.7109375" style="1" customWidth="1"/>
    <col min="2563" max="2565" width="12.28515625" style="1" customWidth="1"/>
    <col min="2566" max="2566" width="24.7109375" style="1" customWidth="1"/>
    <col min="2567" max="2816" width="10.85546875" style="1"/>
    <col min="2817" max="2817" width="2.5703125" style="1" customWidth="1"/>
    <col min="2818" max="2818" width="27.7109375" style="1" customWidth="1"/>
    <col min="2819" max="2821" width="12.28515625" style="1" customWidth="1"/>
    <col min="2822" max="2822" width="24.7109375" style="1" customWidth="1"/>
    <col min="2823" max="3072" width="10.85546875" style="1"/>
    <col min="3073" max="3073" width="2.5703125" style="1" customWidth="1"/>
    <col min="3074" max="3074" width="27.7109375" style="1" customWidth="1"/>
    <col min="3075" max="3077" width="12.28515625" style="1" customWidth="1"/>
    <col min="3078" max="3078" width="24.7109375" style="1" customWidth="1"/>
    <col min="3079" max="3328" width="10.85546875" style="1"/>
    <col min="3329" max="3329" width="2.5703125" style="1" customWidth="1"/>
    <col min="3330" max="3330" width="27.7109375" style="1" customWidth="1"/>
    <col min="3331" max="3333" width="12.28515625" style="1" customWidth="1"/>
    <col min="3334" max="3334" width="24.7109375" style="1" customWidth="1"/>
    <col min="3335" max="3584" width="10.85546875" style="1"/>
    <col min="3585" max="3585" width="2.5703125" style="1" customWidth="1"/>
    <col min="3586" max="3586" width="27.7109375" style="1" customWidth="1"/>
    <col min="3587" max="3589" width="12.28515625" style="1" customWidth="1"/>
    <col min="3590" max="3590" width="24.7109375" style="1" customWidth="1"/>
    <col min="3591" max="3840" width="10.85546875" style="1"/>
    <col min="3841" max="3841" width="2.5703125" style="1" customWidth="1"/>
    <col min="3842" max="3842" width="27.7109375" style="1" customWidth="1"/>
    <col min="3843" max="3845" width="12.28515625" style="1" customWidth="1"/>
    <col min="3846" max="3846" width="24.7109375" style="1" customWidth="1"/>
    <col min="3847" max="4096" width="10.85546875" style="1"/>
    <col min="4097" max="4097" width="2.5703125" style="1" customWidth="1"/>
    <col min="4098" max="4098" width="27.7109375" style="1" customWidth="1"/>
    <col min="4099" max="4101" width="12.28515625" style="1" customWidth="1"/>
    <col min="4102" max="4102" width="24.7109375" style="1" customWidth="1"/>
    <col min="4103" max="4352" width="10.85546875" style="1"/>
    <col min="4353" max="4353" width="2.5703125" style="1" customWidth="1"/>
    <col min="4354" max="4354" width="27.7109375" style="1" customWidth="1"/>
    <col min="4355" max="4357" width="12.28515625" style="1" customWidth="1"/>
    <col min="4358" max="4358" width="24.7109375" style="1" customWidth="1"/>
    <col min="4359" max="4608" width="10.85546875" style="1"/>
    <col min="4609" max="4609" width="2.5703125" style="1" customWidth="1"/>
    <col min="4610" max="4610" width="27.7109375" style="1" customWidth="1"/>
    <col min="4611" max="4613" width="12.28515625" style="1" customWidth="1"/>
    <col min="4614" max="4614" width="24.7109375" style="1" customWidth="1"/>
    <col min="4615" max="4864" width="10.85546875" style="1"/>
    <col min="4865" max="4865" width="2.5703125" style="1" customWidth="1"/>
    <col min="4866" max="4866" width="27.7109375" style="1" customWidth="1"/>
    <col min="4867" max="4869" width="12.28515625" style="1" customWidth="1"/>
    <col min="4870" max="4870" width="24.7109375" style="1" customWidth="1"/>
    <col min="4871" max="5120" width="10.85546875" style="1"/>
    <col min="5121" max="5121" width="2.5703125" style="1" customWidth="1"/>
    <col min="5122" max="5122" width="27.7109375" style="1" customWidth="1"/>
    <col min="5123" max="5125" width="12.28515625" style="1" customWidth="1"/>
    <col min="5126" max="5126" width="24.7109375" style="1" customWidth="1"/>
    <col min="5127" max="5376" width="10.85546875" style="1"/>
    <col min="5377" max="5377" width="2.5703125" style="1" customWidth="1"/>
    <col min="5378" max="5378" width="27.7109375" style="1" customWidth="1"/>
    <col min="5379" max="5381" width="12.28515625" style="1" customWidth="1"/>
    <col min="5382" max="5382" width="24.7109375" style="1" customWidth="1"/>
    <col min="5383" max="5632" width="10.85546875" style="1"/>
    <col min="5633" max="5633" width="2.5703125" style="1" customWidth="1"/>
    <col min="5634" max="5634" width="27.7109375" style="1" customWidth="1"/>
    <col min="5635" max="5637" width="12.28515625" style="1" customWidth="1"/>
    <col min="5638" max="5638" width="24.7109375" style="1" customWidth="1"/>
    <col min="5639" max="5888" width="10.85546875" style="1"/>
    <col min="5889" max="5889" width="2.5703125" style="1" customWidth="1"/>
    <col min="5890" max="5890" width="27.7109375" style="1" customWidth="1"/>
    <col min="5891" max="5893" width="12.28515625" style="1" customWidth="1"/>
    <col min="5894" max="5894" width="24.7109375" style="1" customWidth="1"/>
    <col min="5895" max="6144" width="10.85546875" style="1"/>
    <col min="6145" max="6145" width="2.5703125" style="1" customWidth="1"/>
    <col min="6146" max="6146" width="27.7109375" style="1" customWidth="1"/>
    <col min="6147" max="6149" width="12.28515625" style="1" customWidth="1"/>
    <col min="6150" max="6150" width="24.7109375" style="1" customWidth="1"/>
    <col min="6151" max="6400" width="10.85546875" style="1"/>
    <col min="6401" max="6401" width="2.5703125" style="1" customWidth="1"/>
    <col min="6402" max="6402" width="27.7109375" style="1" customWidth="1"/>
    <col min="6403" max="6405" width="12.28515625" style="1" customWidth="1"/>
    <col min="6406" max="6406" width="24.7109375" style="1" customWidth="1"/>
    <col min="6407" max="6656" width="10.85546875" style="1"/>
    <col min="6657" max="6657" width="2.5703125" style="1" customWidth="1"/>
    <col min="6658" max="6658" width="27.7109375" style="1" customWidth="1"/>
    <col min="6659" max="6661" width="12.28515625" style="1" customWidth="1"/>
    <col min="6662" max="6662" width="24.7109375" style="1" customWidth="1"/>
    <col min="6663" max="6912" width="10.85546875" style="1"/>
    <col min="6913" max="6913" width="2.5703125" style="1" customWidth="1"/>
    <col min="6914" max="6914" width="27.7109375" style="1" customWidth="1"/>
    <col min="6915" max="6917" width="12.28515625" style="1" customWidth="1"/>
    <col min="6918" max="6918" width="24.7109375" style="1" customWidth="1"/>
    <col min="6919" max="7168" width="10.85546875" style="1"/>
    <col min="7169" max="7169" width="2.5703125" style="1" customWidth="1"/>
    <col min="7170" max="7170" width="27.7109375" style="1" customWidth="1"/>
    <col min="7171" max="7173" width="12.28515625" style="1" customWidth="1"/>
    <col min="7174" max="7174" width="24.7109375" style="1" customWidth="1"/>
    <col min="7175" max="7424" width="10.85546875" style="1"/>
    <col min="7425" max="7425" width="2.5703125" style="1" customWidth="1"/>
    <col min="7426" max="7426" width="27.7109375" style="1" customWidth="1"/>
    <col min="7427" max="7429" width="12.28515625" style="1" customWidth="1"/>
    <col min="7430" max="7430" width="24.7109375" style="1" customWidth="1"/>
    <col min="7431" max="7680" width="10.85546875" style="1"/>
    <col min="7681" max="7681" width="2.5703125" style="1" customWidth="1"/>
    <col min="7682" max="7682" width="27.7109375" style="1" customWidth="1"/>
    <col min="7683" max="7685" width="12.28515625" style="1" customWidth="1"/>
    <col min="7686" max="7686" width="24.7109375" style="1" customWidth="1"/>
    <col min="7687" max="7936" width="10.85546875" style="1"/>
    <col min="7937" max="7937" width="2.5703125" style="1" customWidth="1"/>
    <col min="7938" max="7938" width="27.7109375" style="1" customWidth="1"/>
    <col min="7939" max="7941" width="12.28515625" style="1" customWidth="1"/>
    <col min="7942" max="7942" width="24.7109375" style="1" customWidth="1"/>
    <col min="7943" max="8192" width="10.85546875" style="1"/>
    <col min="8193" max="8193" width="2.5703125" style="1" customWidth="1"/>
    <col min="8194" max="8194" width="27.7109375" style="1" customWidth="1"/>
    <col min="8195" max="8197" width="12.28515625" style="1" customWidth="1"/>
    <col min="8198" max="8198" width="24.7109375" style="1" customWidth="1"/>
    <col min="8199" max="8448" width="10.85546875" style="1"/>
    <col min="8449" max="8449" width="2.5703125" style="1" customWidth="1"/>
    <col min="8450" max="8450" width="27.7109375" style="1" customWidth="1"/>
    <col min="8451" max="8453" width="12.28515625" style="1" customWidth="1"/>
    <col min="8454" max="8454" width="24.7109375" style="1" customWidth="1"/>
    <col min="8455" max="8704" width="10.85546875" style="1"/>
    <col min="8705" max="8705" width="2.5703125" style="1" customWidth="1"/>
    <col min="8706" max="8706" width="27.7109375" style="1" customWidth="1"/>
    <col min="8707" max="8709" width="12.28515625" style="1" customWidth="1"/>
    <col min="8710" max="8710" width="24.7109375" style="1" customWidth="1"/>
    <col min="8711" max="8960" width="10.85546875" style="1"/>
    <col min="8961" max="8961" width="2.5703125" style="1" customWidth="1"/>
    <col min="8962" max="8962" width="27.7109375" style="1" customWidth="1"/>
    <col min="8963" max="8965" width="12.28515625" style="1" customWidth="1"/>
    <col min="8966" max="8966" width="24.7109375" style="1" customWidth="1"/>
    <col min="8967" max="9216" width="10.85546875" style="1"/>
    <col min="9217" max="9217" width="2.5703125" style="1" customWidth="1"/>
    <col min="9218" max="9218" width="27.7109375" style="1" customWidth="1"/>
    <col min="9219" max="9221" width="12.28515625" style="1" customWidth="1"/>
    <col min="9222" max="9222" width="24.7109375" style="1" customWidth="1"/>
    <col min="9223" max="9472" width="10.85546875" style="1"/>
    <col min="9473" max="9473" width="2.5703125" style="1" customWidth="1"/>
    <col min="9474" max="9474" width="27.7109375" style="1" customWidth="1"/>
    <col min="9475" max="9477" width="12.28515625" style="1" customWidth="1"/>
    <col min="9478" max="9478" width="24.7109375" style="1" customWidth="1"/>
    <col min="9479" max="9728" width="10.85546875" style="1"/>
    <col min="9729" max="9729" width="2.5703125" style="1" customWidth="1"/>
    <col min="9730" max="9730" width="27.7109375" style="1" customWidth="1"/>
    <col min="9731" max="9733" width="12.28515625" style="1" customWidth="1"/>
    <col min="9734" max="9734" width="24.7109375" style="1" customWidth="1"/>
    <col min="9735" max="9984" width="10.85546875" style="1"/>
    <col min="9985" max="9985" width="2.5703125" style="1" customWidth="1"/>
    <col min="9986" max="9986" width="27.7109375" style="1" customWidth="1"/>
    <col min="9987" max="9989" width="12.28515625" style="1" customWidth="1"/>
    <col min="9990" max="9990" width="24.7109375" style="1" customWidth="1"/>
    <col min="9991" max="10240" width="10.85546875" style="1"/>
    <col min="10241" max="10241" width="2.5703125" style="1" customWidth="1"/>
    <col min="10242" max="10242" width="27.7109375" style="1" customWidth="1"/>
    <col min="10243" max="10245" width="12.28515625" style="1" customWidth="1"/>
    <col min="10246" max="10246" width="24.7109375" style="1" customWidth="1"/>
    <col min="10247" max="10496" width="10.85546875" style="1"/>
    <col min="10497" max="10497" width="2.5703125" style="1" customWidth="1"/>
    <col min="10498" max="10498" width="27.7109375" style="1" customWidth="1"/>
    <col min="10499" max="10501" width="12.28515625" style="1" customWidth="1"/>
    <col min="10502" max="10502" width="24.7109375" style="1" customWidth="1"/>
    <col min="10503" max="10752" width="10.85546875" style="1"/>
    <col min="10753" max="10753" width="2.5703125" style="1" customWidth="1"/>
    <col min="10754" max="10754" width="27.7109375" style="1" customWidth="1"/>
    <col min="10755" max="10757" width="12.28515625" style="1" customWidth="1"/>
    <col min="10758" max="10758" width="24.7109375" style="1" customWidth="1"/>
    <col min="10759" max="11008" width="10.85546875" style="1"/>
    <col min="11009" max="11009" width="2.5703125" style="1" customWidth="1"/>
    <col min="11010" max="11010" width="27.7109375" style="1" customWidth="1"/>
    <col min="11011" max="11013" width="12.28515625" style="1" customWidth="1"/>
    <col min="11014" max="11014" width="24.7109375" style="1" customWidth="1"/>
    <col min="11015" max="11264" width="10.85546875" style="1"/>
    <col min="11265" max="11265" width="2.5703125" style="1" customWidth="1"/>
    <col min="11266" max="11266" width="27.7109375" style="1" customWidth="1"/>
    <col min="11267" max="11269" width="12.28515625" style="1" customWidth="1"/>
    <col min="11270" max="11270" width="24.7109375" style="1" customWidth="1"/>
    <col min="11271" max="11520" width="10.85546875" style="1"/>
    <col min="11521" max="11521" width="2.5703125" style="1" customWidth="1"/>
    <col min="11522" max="11522" width="27.7109375" style="1" customWidth="1"/>
    <col min="11523" max="11525" width="12.28515625" style="1" customWidth="1"/>
    <col min="11526" max="11526" width="24.7109375" style="1" customWidth="1"/>
    <col min="11527" max="11776" width="10.85546875" style="1"/>
    <col min="11777" max="11777" width="2.5703125" style="1" customWidth="1"/>
    <col min="11778" max="11778" width="27.7109375" style="1" customWidth="1"/>
    <col min="11779" max="11781" width="12.28515625" style="1" customWidth="1"/>
    <col min="11782" max="11782" width="24.7109375" style="1" customWidth="1"/>
    <col min="11783" max="12032" width="10.85546875" style="1"/>
    <col min="12033" max="12033" width="2.5703125" style="1" customWidth="1"/>
    <col min="12034" max="12034" width="27.7109375" style="1" customWidth="1"/>
    <col min="12035" max="12037" width="12.28515625" style="1" customWidth="1"/>
    <col min="12038" max="12038" width="24.7109375" style="1" customWidth="1"/>
    <col min="12039" max="12288" width="10.85546875" style="1"/>
    <col min="12289" max="12289" width="2.5703125" style="1" customWidth="1"/>
    <col min="12290" max="12290" width="27.7109375" style="1" customWidth="1"/>
    <col min="12291" max="12293" width="12.28515625" style="1" customWidth="1"/>
    <col min="12294" max="12294" width="24.7109375" style="1" customWidth="1"/>
    <col min="12295" max="12544" width="10.85546875" style="1"/>
    <col min="12545" max="12545" width="2.5703125" style="1" customWidth="1"/>
    <col min="12546" max="12546" width="27.7109375" style="1" customWidth="1"/>
    <col min="12547" max="12549" width="12.28515625" style="1" customWidth="1"/>
    <col min="12550" max="12550" width="24.7109375" style="1" customWidth="1"/>
    <col min="12551" max="12800" width="10.85546875" style="1"/>
    <col min="12801" max="12801" width="2.5703125" style="1" customWidth="1"/>
    <col min="12802" max="12802" width="27.7109375" style="1" customWidth="1"/>
    <col min="12803" max="12805" width="12.28515625" style="1" customWidth="1"/>
    <col min="12806" max="12806" width="24.7109375" style="1" customWidth="1"/>
    <col min="12807" max="13056" width="10.85546875" style="1"/>
    <col min="13057" max="13057" width="2.5703125" style="1" customWidth="1"/>
    <col min="13058" max="13058" width="27.7109375" style="1" customWidth="1"/>
    <col min="13059" max="13061" width="12.28515625" style="1" customWidth="1"/>
    <col min="13062" max="13062" width="24.7109375" style="1" customWidth="1"/>
    <col min="13063" max="13312" width="10.85546875" style="1"/>
    <col min="13313" max="13313" width="2.5703125" style="1" customWidth="1"/>
    <col min="13314" max="13314" width="27.7109375" style="1" customWidth="1"/>
    <col min="13315" max="13317" width="12.28515625" style="1" customWidth="1"/>
    <col min="13318" max="13318" width="24.7109375" style="1" customWidth="1"/>
    <col min="13319" max="13568" width="10.85546875" style="1"/>
    <col min="13569" max="13569" width="2.5703125" style="1" customWidth="1"/>
    <col min="13570" max="13570" width="27.7109375" style="1" customWidth="1"/>
    <col min="13571" max="13573" width="12.28515625" style="1" customWidth="1"/>
    <col min="13574" max="13574" width="24.7109375" style="1" customWidth="1"/>
    <col min="13575" max="13824" width="10.85546875" style="1"/>
    <col min="13825" max="13825" width="2.5703125" style="1" customWidth="1"/>
    <col min="13826" max="13826" width="27.7109375" style="1" customWidth="1"/>
    <col min="13827" max="13829" width="12.28515625" style="1" customWidth="1"/>
    <col min="13830" max="13830" width="24.7109375" style="1" customWidth="1"/>
    <col min="13831" max="14080" width="10.85546875" style="1"/>
    <col min="14081" max="14081" width="2.5703125" style="1" customWidth="1"/>
    <col min="14082" max="14082" width="27.7109375" style="1" customWidth="1"/>
    <col min="14083" max="14085" width="12.28515625" style="1" customWidth="1"/>
    <col min="14086" max="14086" width="24.7109375" style="1" customWidth="1"/>
    <col min="14087" max="14336" width="10.85546875" style="1"/>
    <col min="14337" max="14337" width="2.5703125" style="1" customWidth="1"/>
    <col min="14338" max="14338" width="27.7109375" style="1" customWidth="1"/>
    <col min="14339" max="14341" width="12.28515625" style="1" customWidth="1"/>
    <col min="14342" max="14342" width="24.7109375" style="1" customWidth="1"/>
    <col min="14343" max="14592" width="10.85546875" style="1"/>
    <col min="14593" max="14593" width="2.5703125" style="1" customWidth="1"/>
    <col min="14594" max="14594" width="27.7109375" style="1" customWidth="1"/>
    <col min="14595" max="14597" width="12.28515625" style="1" customWidth="1"/>
    <col min="14598" max="14598" width="24.7109375" style="1" customWidth="1"/>
    <col min="14599" max="14848" width="10.85546875" style="1"/>
    <col min="14849" max="14849" width="2.5703125" style="1" customWidth="1"/>
    <col min="14850" max="14850" width="27.7109375" style="1" customWidth="1"/>
    <col min="14851" max="14853" width="12.28515625" style="1" customWidth="1"/>
    <col min="14854" max="14854" width="24.7109375" style="1" customWidth="1"/>
    <col min="14855" max="15104" width="10.85546875" style="1"/>
    <col min="15105" max="15105" width="2.5703125" style="1" customWidth="1"/>
    <col min="15106" max="15106" width="27.7109375" style="1" customWidth="1"/>
    <col min="15107" max="15109" width="12.28515625" style="1" customWidth="1"/>
    <col min="15110" max="15110" width="24.7109375" style="1" customWidth="1"/>
    <col min="15111" max="15360" width="10.85546875" style="1"/>
    <col min="15361" max="15361" width="2.5703125" style="1" customWidth="1"/>
    <col min="15362" max="15362" width="27.7109375" style="1" customWidth="1"/>
    <col min="15363" max="15365" width="12.28515625" style="1" customWidth="1"/>
    <col min="15366" max="15366" width="24.7109375" style="1" customWidth="1"/>
    <col min="15367" max="15616" width="10.85546875" style="1"/>
    <col min="15617" max="15617" width="2.5703125" style="1" customWidth="1"/>
    <col min="15618" max="15618" width="27.7109375" style="1" customWidth="1"/>
    <col min="15619" max="15621" width="12.28515625" style="1" customWidth="1"/>
    <col min="15622" max="15622" width="24.7109375" style="1" customWidth="1"/>
    <col min="15623" max="15872" width="10.85546875" style="1"/>
    <col min="15873" max="15873" width="2.5703125" style="1" customWidth="1"/>
    <col min="15874" max="15874" width="27.7109375" style="1" customWidth="1"/>
    <col min="15875" max="15877" width="12.28515625" style="1" customWidth="1"/>
    <col min="15878" max="15878" width="24.7109375" style="1" customWidth="1"/>
    <col min="15879" max="16128" width="10.85546875" style="1"/>
    <col min="16129" max="16129" width="2.5703125" style="1" customWidth="1"/>
    <col min="16130" max="16130" width="27.7109375" style="1" customWidth="1"/>
    <col min="16131" max="16133" width="12.28515625" style="1" customWidth="1"/>
    <col min="16134" max="16134" width="24.7109375" style="1" customWidth="1"/>
    <col min="16135" max="16384" width="10.85546875" style="1"/>
  </cols>
  <sheetData>
    <row r="1" spans="2:9" x14ac:dyDescent="0.25">
      <c r="B1" s="628" t="s">
        <v>1267</v>
      </c>
      <c r="C1" s="628"/>
      <c r="D1" s="628"/>
      <c r="E1" s="1"/>
      <c r="F1" s="1"/>
    </row>
    <row r="2" spans="2:9" ht="15.75" x14ac:dyDescent="0.25">
      <c r="B2" s="159"/>
      <c r="C2" s="159"/>
      <c r="D2" s="159"/>
      <c r="E2" s="159"/>
      <c r="F2" s="159"/>
      <c r="G2" s="159"/>
      <c r="H2" s="159"/>
      <c r="I2" s="159"/>
    </row>
    <row r="3" spans="2:9" ht="15.75" x14ac:dyDescent="0.25">
      <c r="B3" s="160" t="s">
        <v>620</v>
      </c>
      <c r="C3" s="161"/>
      <c r="D3" s="161"/>
      <c r="E3" s="161"/>
      <c r="F3" s="161"/>
      <c r="G3" s="162"/>
      <c r="H3" s="159"/>
      <c r="I3" s="159"/>
    </row>
    <row r="4" spans="2:9" ht="15.75" x14ac:dyDescent="0.25">
      <c r="B4" s="163"/>
      <c r="C4" s="163"/>
      <c r="D4" s="163"/>
      <c r="E4" s="163"/>
      <c r="F4" s="163"/>
      <c r="G4" s="163"/>
      <c r="H4" s="163"/>
      <c r="I4" s="163"/>
    </row>
    <row r="5" spans="2:9" ht="15.75" x14ac:dyDescent="0.25">
      <c r="B5" s="141" t="s">
        <v>196</v>
      </c>
      <c r="C5" s="873" t="s">
        <v>602</v>
      </c>
      <c r="D5" s="873"/>
      <c r="E5" s="873"/>
      <c r="F5" s="873"/>
      <c r="G5" s="164"/>
      <c r="H5" s="163"/>
      <c r="I5" s="163"/>
    </row>
    <row r="6" spans="2:9" ht="15.75" x14ac:dyDescent="0.25">
      <c r="B6" s="141" t="s">
        <v>197</v>
      </c>
      <c r="C6" s="874" t="s">
        <v>621</v>
      </c>
      <c r="D6" s="874"/>
      <c r="E6" s="874"/>
      <c r="F6" s="874"/>
      <c r="G6" s="146"/>
      <c r="H6" s="163"/>
      <c r="I6" s="163"/>
    </row>
    <row r="7" spans="2:9" ht="15.75" x14ac:dyDescent="0.25">
      <c r="B7" s="141" t="s">
        <v>199</v>
      </c>
      <c r="C7" s="873" t="s">
        <v>622</v>
      </c>
      <c r="D7" s="873"/>
      <c r="E7" s="873"/>
      <c r="F7" s="873"/>
      <c r="G7" s="164"/>
      <c r="H7" s="163"/>
      <c r="I7" s="163"/>
    </row>
    <row r="8" spans="2:9" ht="15.75" x14ac:dyDescent="0.25">
      <c r="B8" s="141" t="s">
        <v>201</v>
      </c>
      <c r="C8" s="873" t="s">
        <v>623</v>
      </c>
      <c r="D8" s="873"/>
      <c r="E8" s="873"/>
      <c r="F8" s="873"/>
      <c r="G8" s="164"/>
      <c r="H8" s="163"/>
      <c r="I8" s="163"/>
    </row>
    <row r="9" spans="2:9" ht="15.75" x14ac:dyDescent="0.25">
      <c r="B9" s="141" t="s">
        <v>606</v>
      </c>
      <c r="C9" s="873" t="s">
        <v>607</v>
      </c>
      <c r="D9" s="873"/>
      <c r="E9" s="873"/>
      <c r="F9" s="873"/>
      <c r="G9" s="164"/>
      <c r="H9" s="163"/>
      <c r="I9" s="163"/>
    </row>
    <row r="10" spans="2:9" ht="15.75" x14ac:dyDescent="0.25">
      <c r="B10" s="141" t="s">
        <v>204</v>
      </c>
      <c r="C10" s="873" t="s">
        <v>624</v>
      </c>
      <c r="D10" s="873"/>
      <c r="E10" s="873"/>
      <c r="F10" s="873"/>
      <c r="G10" s="164"/>
      <c r="H10" s="163"/>
      <c r="I10" s="163"/>
    </row>
    <row r="11" spans="2:9" ht="15.75" x14ac:dyDescent="0.25">
      <c r="B11" s="163"/>
      <c r="C11" s="163"/>
      <c r="D11" s="163"/>
      <c r="E11" s="163"/>
      <c r="F11" s="163"/>
      <c r="G11" s="163"/>
      <c r="H11" s="163"/>
      <c r="I11" s="163"/>
    </row>
    <row r="12" spans="2:9" ht="15.75" x14ac:dyDescent="0.25">
      <c r="B12" s="883" t="s">
        <v>206</v>
      </c>
      <c r="C12" s="883"/>
      <c r="D12" s="883"/>
      <c r="E12" s="883"/>
      <c r="F12" s="883"/>
      <c r="G12" s="165"/>
      <c r="H12" s="163"/>
      <c r="I12" s="163"/>
    </row>
    <row r="13" spans="2:9" ht="15.75" x14ac:dyDescent="0.25">
      <c r="B13" s="884" t="s">
        <v>207</v>
      </c>
      <c r="C13" s="885"/>
      <c r="D13" s="883" t="s">
        <v>208</v>
      </c>
      <c r="E13" s="883"/>
      <c r="F13" s="883"/>
      <c r="G13" s="165"/>
      <c r="H13" s="163"/>
      <c r="I13" s="163"/>
    </row>
    <row r="14" spans="2:9" ht="15.75" x14ac:dyDescent="0.25">
      <c r="B14" s="886">
        <v>43205</v>
      </c>
      <c r="C14" s="887"/>
      <c r="D14" s="873" t="s">
        <v>602</v>
      </c>
      <c r="E14" s="873"/>
      <c r="F14" s="873"/>
      <c r="G14" s="164"/>
      <c r="H14" s="163"/>
      <c r="I14" s="163"/>
    </row>
    <row r="15" spans="2:9" ht="15.75" x14ac:dyDescent="0.25">
      <c r="B15" s="163"/>
      <c r="C15" s="163"/>
      <c r="D15" s="163"/>
      <c r="E15" s="163"/>
      <c r="F15" s="163"/>
      <c r="G15" s="163"/>
      <c r="H15" s="163"/>
      <c r="I15" s="163"/>
    </row>
    <row r="16" spans="2:9" ht="33" customHeight="1" x14ac:dyDescent="0.25">
      <c r="B16" s="166" t="s">
        <v>210</v>
      </c>
      <c r="C16" s="166" t="s">
        <v>211</v>
      </c>
      <c r="D16" s="166" t="s">
        <v>212</v>
      </c>
      <c r="E16" s="166" t="s">
        <v>213</v>
      </c>
      <c r="F16" s="166" t="s">
        <v>214</v>
      </c>
      <c r="G16" s="165"/>
      <c r="H16" s="163"/>
      <c r="I16" s="163"/>
    </row>
    <row r="17" spans="2:9" ht="31.5" x14ac:dyDescent="0.25">
      <c r="B17" s="145" t="s">
        <v>625</v>
      </c>
      <c r="C17" s="145">
        <v>42</v>
      </c>
      <c r="D17" s="145">
        <v>2</v>
      </c>
      <c r="E17" s="145">
        <v>2</v>
      </c>
      <c r="F17" s="145" t="s">
        <v>1270</v>
      </c>
      <c r="G17" s="146"/>
      <c r="H17" s="163"/>
      <c r="I17" s="163"/>
    </row>
    <row r="18" spans="2:9" ht="15.75" x14ac:dyDescent="0.25">
      <c r="B18" s="146"/>
      <c r="C18" s="146"/>
      <c r="D18" s="146"/>
      <c r="E18" s="146"/>
      <c r="F18" s="146"/>
      <c r="G18" s="146"/>
      <c r="H18" s="163"/>
      <c r="I18" s="163"/>
    </row>
    <row r="19" spans="2:9" ht="15.75" x14ac:dyDescent="0.25">
      <c r="B19" s="875" t="s">
        <v>219</v>
      </c>
      <c r="C19" s="876"/>
      <c r="D19" s="876"/>
      <c r="E19" s="876"/>
      <c r="F19" s="877"/>
      <c r="G19" s="167"/>
      <c r="H19" s="163"/>
      <c r="I19" s="163"/>
    </row>
    <row r="20" spans="2:9" ht="37.15" customHeight="1" x14ac:dyDescent="0.25">
      <c r="B20" s="647" t="s">
        <v>626</v>
      </c>
      <c r="C20" s="878"/>
      <c r="D20" s="878"/>
      <c r="E20" s="878"/>
      <c r="F20" s="879"/>
      <c r="G20" s="168"/>
      <c r="H20" s="163"/>
      <c r="I20" s="163"/>
    </row>
    <row r="21" spans="2:9" ht="15.75" x14ac:dyDescent="0.25">
      <c r="B21" s="875" t="s">
        <v>220</v>
      </c>
      <c r="C21" s="876"/>
      <c r="D21" s="876"/>
      <c r="E21" s="876"/>
      <c r="F21" s="877"/>
      <c r="G21" s="167"/>
      <c r="H21" s="163"/>
      <c r="I21" s="163"/>
    </row>
    <row r="22" spans="2:9" ht="77.650000000000006" customHeight="1" x14ac:dyDescent="0.25">
      <c r="B22" s="880" t="s">
        <v>627</v>
      </c>
      <c r="C22" s="881"/>
      <c r="D22" s="881"/>
      <c r="E22" s="881"/>
      <c r="F22" s="882"/>
      <c r="G22" s="169"/>
      <c r="H22" s="163"/>
      <c r="I22" s="163"/>
    </row>
    <row r="23" spans="2:9" ht="15.75" x14ac:dyDescent="0.25">
      <c r="B23" s="163"/>
      <c r="C23" s="163"/>
      <c r="D23" s="163"/>
      <c r="E23" s="163"/>
      <c r="F23" s="163"/>
      <c r="G23" s="163"/>
      <c r="H23" s="163"/>
      <c r="I23" s="163"/>
    </row>
    <row r="24" spans="2:9" ht="15.75" x14ac:dyDescent="0.25">
      <c r="B24" s="875" t="s">
        <v>221</v>
      </c>
      <c r="C24" s="876"/>
      <c r="D24" s="876"/>
      <c r="E24" s="876"/>
      <c r="F24" s="877"/>
      <c r="G24" s="167"/>
      <c r="H24" s="163"/>
      <c r="I24" s="163"/>
    </row>
    <row r="25" spans="2:9" ht="63" customHeight="1" x14ac:dyDescent="0.25">
      <c r="B25" s="170" t="s">
        <v>628</v>
      </c>
      <c r="C25" s="171"/>
      <c r="D25" s="171"/>
      <c r="E25" s="171"/>
      <c r="F25" s="172"/>
      <c r="G25" s="168"/>
      <c r="H25" s="163"/>
      <c r="I25" s="163"/>
    </row>
    <row r="26" spans="2:9" ht="15.75" x14ac:dyDescent="0.25">
      <c r="B26" s="163"/>
      <c r="C26" s="163"/>
      <c r="D26" s="163"/>
      <c r="E26" s="163"/>
      <c r="F26" s="163"/>
      <c r="G26" s="163"/>
      <c r="H26" s="163"/>
      <c r="I26" s="163"/>
    </row>
    <row r="27" spans="2:9" ht="15.75" x14ac:dyDescent="0.25">
      <c r="B27" s="875" t="s">
        <v>222</v>
      </c>
      <c r="C27" s="876"/>
      <c r="D27" s="876"/>
      <c r="E27" s="876"/>
      <c r="F27" s="877"/>
      <c r="G27" s="165"/>
      <c r="H27" s="163"/>
      <c r="I27" s="163"/>
    </row>
    <row r="28" spans="2:9" ht="15.75" x14ac:dyDescent="0.25">
      <c r="B28" s="894" t="s">
        <v>629</v>
      </c>
      <c r="C28" s="894"/>
      <c r="D28" s="894"/>
      <c r="E28" s="894"/>
      <c r="F28" s="894"/>
      <c r="G28" s="173"/>
      <c r="H28" s="163"/>
      <c r="I28" s="163"/>
    </row>
    <row r="29" spans="2:9" ht="15.75" x14ac:dyDescent="0.25">
      <c r="B29" s="894" t="s">
        <v>630</v>
      </c>
      <c r="C29" s="894"/>
      <c r="D29" s="894"/>
      <c r="E29" s="894"/>
      <c r="F29" s="894"/>
      <c r="G29" s="173"/>
      <c r="H29" s="163"/>
      <c r="I29" s="163"/>
    </row>
    <row r="30" spans="2:9" ht="15.75" x14ac:dyDescent="0.25">
      <c r="B30" s="894" t="s">
        <v>631</v>
      </c>
      <c r="C30" s="894"/>
      <c r="D30" s="894"/>
      <c r="E30" s="894"/>
      <c r="F30" s="894"/>
      <c r="G30" s="173"/>
      <c r="H30" s="163"/>
      <c r="I30" s="163"/>
    </row>
    <row r="31" spans="2:9" ht="15.75" x14ac:dyDescent="0.25">
      <c r="B31" s="894" t="s">
        <v>632</v>
      </c>
      <c r="C31" s="894"/>
      <c r="D31" s="894"/>
      <c r="E31" s="894"/>
      <c r="F31" s="894"/>
      <c r="G31" s="173"/>
      <c r="H31" s="163"/>
      <c r="I31" s="163"/>
    </row>
    <row r="32" spans="2:9" ht="15.75" x14ac:dyDescent="0.25">
      <c r="B32" s="163"/>
      <c r="C32" s="163"/>
      <c r="D32" s="163"/>
      <c r="E32" s="163"/>
      <c r="F32" s="163"/>
      <c r="G32" s="163"/>
      <c r="H32" s="163"/>
      <c r="I32" s="163"/>
    </row>
    <row r="33" spans="2:9" ht="15.75" x14ac:dyDescent="0.25">
      <c r="B33" s="875" t="s">
        <v>226</v>
      </c>
      <c r="C33" s="876"/>
      <c r="D33" s="876"/>
      <c r="E33" s="876"/>
      <c r="F33" s="877"/>
      <c r="G33" s="167"/>
      <c r="H33" s="163"/>
      <c r="I33" s="163"/>
    </row>
    <row r="34" spans="2:9" ht="112.15" customHeight="1" x14ac:dyDescent="0.25">
      <c r="B34" s="647" t="s">
        <v>633</v>
      </c>
      <c r="C34" s="878"/>
      <c r="D34" s="878"/>
      <c r="E34" s="878"/>
      <c r="F34" s="879"/>
      <c r="G34" s="169"/>
      <c r="H34" s="163"/>
      <c r="I34" s="163"/>
    </row>
    <row r="35" spans="2:9" ht="15.75" x14ac:dyDescent="0.25">
      <c r="B35" s="151"/>
      <c r="C35" s="151"/>
      <c r="D35" s="151"/>
      <c r="E35" s="151"/>
      <c r="F35" s="151"/>
      <c r="G35" s="151"/>
      <c r="H35" s="163"/>
      <c r="I35" s="163"/>
    </row>
    <row r="36" spans="2:9" ht="15.75" x14ac:dyDescent="0.25">
      <c r="B36" s="875" t="s">
        <v>227</v>
      </c>
      <c r="C36" s="876"/>
      <c r="D36" s="876"/>
      <c r="E36" s="876"/>
      <c r="F36" s="877"/>
      <c r="G36" s="167"/>
      <c r="H36" s="163"/>
      <c r="I36" s="163"/>
    </row>
    <row r="37" spans="2:9" ht="15.75" x14ac:dyDescent="0.25">
      <c r="B37" s="174" t="s">
        <v>634</v>
      </c>
      <c r="C37" s="888" t="s">
        <v>635</v>
      </c>
      <c r="D37" s="888"/>
      <c r="E37" s="888"/>
      <c r="F37" s="888"/>
      <c r="G37" s="169"/>
      <c r="H37" s="163"/>
      <c r="I37" s="163"/>
    </row>
    <row r="38" spans="2:9" ht="15.75" x14ac:dyDescent="0.25">
      <c r="B38" s="174" t="s">
        <v>636</v>
      </c>
      <c r="C38" s="888" t="s">
        <v>637</v>
      </c>
      <c r="D38" s="888"/>
      <c r="E38" s="888"/>
      <c r="F38" s="888"/>
      <c r="G38" s="169"/>
      <c r="H38" s="163"/>
      <c r="I38" s="163"/>
    </row>
    <row r="39" spans="2:9" ht="15.75" x14ac:dyDescent="0.25">
      <c r="B39" s="174" t="s">
        <v>638</v>
      </c>
      <c r="C39" s="647"/>
      <c r="D39" s="878"/>
      <c r="E39" s="878"/>
      <c r="F39" s="879"/>
      <c r="G39" s="169"/>
      <c r="H39" s="163"/>
      <c r="I39" s="163"/>
    </row>
    <row r="40" spans="2:9" ht="15.75" x14ac:dyDescent="0.25">
      <c r="B40" s="163"/>
      <c r="C40" s="163"/>
      <c r="D40" s="163"/>
      <c r="E40" s="163"/>
      <c r="F40" s="163"/>
      <c r="G40" s="163"/>
      <c r="H40" s="163"/>
      <c r="I40" s="163"/>
    </row>
    <row r="41" spans="2:9" ht="15.75" x14ac:dyDescent="0.25">
      <c r="B41" s="875" t="s">
        <v>232</v>
      </c>
      <c r="C41" s="876"/>
      <c r="D41" s="876"/>
      <c r="E41" s="876"/>
      <c r="F41" s="877"/>
      <c r="G41" s="167"/>
      <c r="H41" s="163"/>
      <c r="I41" s="163"/>
    </row>
    <row r="42" spans="2:9" ht="15.4" customHeight="1" x14ac:dyDescent="0.25">
      <c r="B42" s="647" t="s">
        <v>639</v>
      </c>
      <c r="C42" s="878"/>
      <c r="D42" s="878"/>
      <c r="E42" s="878"/>
      <c r="F42" s="879"/>
      <c r="G42" s="151"/>
      <c r="H42" s="163"/>
      <c r="I42" s="163"/>
    </row>
    <row r="43" spans="2:9" ht="15.75" x14ac:dyDescent="0.25">
      <c r="B43" s="163"/>
      <c r="C43" s="163"/>
      <c r="D43" s="163"/>
      <c r="E43" s="163"/>
      <c r="F43" s="163"/>
      <c r="G43" s="163"/>
      <c r="H43" s="163"/>
      <c r="I43" s="163"/>
    </row>
    <row r="44" spans="2:9" ht="15.75" x14ac:dyDescent="0.25">
      <c r="B44" s="875" t="s">
        <v>614</v>
      </c>
      <c r="C44" s="876"/>
      <c r="D44" s="876"/>
      <c r="E44" s="876"/>
      <c r="F44" s="877"/>
      <c r="G44" s="167"/>
      <c r="H44" s="163"/>
      <c r="I44" s="163"/>
    </row>
    <row r="45" spans="2:9" ht="15.75" x14ac:dyDescent="0.25">
      <c r="B45" s="175" t="s">
        <v>615</v>
      </c>
      <c r="C45" s="175" t="s">
        <v>616</v>
      </c>
      <c r="D45" s="875" t="s">
        <v>617</v>
      </c>
      <c r="E45" s="876"/>
      <c r="F45" s="877"/>
      <c r="G45" s="167"/>
      <c r="H45" s="163"/>
      <c r="I45" s="163"/>
    </row>
    <row r="46" spans="2:9" ht="31.5" x14ac:dyDescent="0.25">
      <c r="B46" s="174" t="s">
        <v>640</v>
      </c>
      <c r="C46" s="174" t="s">
        <v>641</v>
      </c>
      <c r="D46" s="891" t="s">
        <v>642</v>
      </c>
      <c r="E46" s="892"/>
      <c r="F46" s="893"/>
      <c r="G46" s="176"/>
      <c r="H46" s="163"/>
      <c r="I46" s="163"/>
    </row>
    <row r="47" spans="2:9" ht="15.75" x14ac:dyDescent="0.25">
      <c r="B47" s="163"/>
      <c r="C47" s="163"/>
      <c r="D47" s="163"/>
      <c r="E47" s="163"/>
      <c r="F47" s="163"/>
      <c r="G47" s="163"/>
      <c r="H47" s="163"/>
      <c r="I47" s="163"/>
    </row>
    <row r="48" spans="2:9" ht="15.75" x14ac:dyDescent="0.25">
      <c r="B48" s="875" t="s">
        <v>234</v>
      </c>
      <c r="C48" s="876"/>
      <c r="D48" s="876"/>
      <c r="E48" s="876"/>
      <c r="F48" s="877"/>
      <c r="G48" s="167"/>
      <c r="H48" s="163"/>
      <c r="I48" s="163"/>
    </row>
    <row r="49" spans="2:9" ht="15.75" x14ac:dyDescent="0.25">
      <c r="B49" s="618"/>
      <c r="C49" s="889"/>
      <c r="D49" s="889"/>
      <c r="E49" s="889"/>
      <c r="F49" s="890"/>
      <c r="G49" s="151"/>
      <c r="H49" s="163"/>
      <c r="I49" s="163"/>
    </row>
    <row r="50" spans="2:9" ht="15.75" x14ac:dyDescent="0.25">
      <c r="B50" s="163"/>
      <c r="C50" s="163"/>
      <c r="D50" s="163"/>
      <c r="E50" s="163"/>
      <c r="F50" s="163"/>
      <c r="G50" s="163"/>
      <c r="H50" s="163"/>
      <c r="I50" s="163"/>
    </row>
    <row r="51" spans="2:9" ht="15.75" x14ac:dyDescent="0.25">
      <c r="B51" s="875" t="s">
        <v>235</v>
      </c>
      <c r="C51" s="876"/>
      <c r="D51" s="876"/>
      <c r="E51" s="876"/>
      <c r="F51" s="877"/>
      <c r="G51" s="167"/>
      <c r="H51" s="163"/>
      <c r="I51" s="163"/>
    </row>
    <row r="52" spans="2:9" ht="15.75" x14ac:dyDescent="0.25">
      <c r="B52" s="618"/>
      <c r="C52" s="889"/>
      <c r="D52" s="889"/>
      <c r="E52" s="889"/>
      <c r="F52" s="890"/>
      <c r="G52" s="151"/>
      <c r="H52" s="159"/>
      <c r="I52" s="159"/>
    </row>
    <row r="53" spans="2:9" ht="15.75" x14ac:dyDescent="0.25">
      <c r="B53" s="159"/>
      <c r="C53" s="159"/>
      <c r="D53" s="159"/>
      <c r="E53" s="159"/>
      <c r="F53" s="159"/>
      <c r="G53" s="159"/>
      <c r="H53" s="159"/>
      <c r="I53" s="159"/>
    </row>
  </sheetData>
  <mergeCells count="37">
    <mergeCell ref="B1:D1"/>
    <mergeCell ref="B52:F52"/>
    <mergeCell ref="B44:F44"/>
    <mergeCell ref="D45:F45"/>
    <mergeCell ref="D46:F46"/>
    <mergeCell ref="B48:F48"/>
    <mergeCell ref="B49:F49"/>
    <mergeCell ref="B51:F51"/>
    <mergeCell ref="B42:F42"/>
    <mergeCell ref="B28:F28"/>
    <mergeCell ref="B29:F29"/>
    <mergeCell ref="B30:F30"/>
    <mergeCell ref="B31:F31"/>
    <mergeCell ref="B33:F33"/>
    <mergeCell ref="B34:F34"/>
    <mergeCell ref="B36:F36"/>
    <mergeCell ref="C37:F37"/>
    <mergeCell ref="C38:F38"/>
    <mergeCell ref="C39:F39"/>
    <mergeCell ref="B41:F41"/>
    <mergeCell ref="B27:F27"/>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formula1>"Mise à jour à partir du plan d'études, Nouvelle création"</formula1>
    </dataValidation>
    <dataValidation type="list" allowBlank="1" showInputMessage="1" showErrorMessage="1" sqref="C46 IY46 SU46 ACQ46 AMM46 AWI46 BGE46 BQA46 BZW46 CJS46 CTO46 DDK46 DNG46 DXC46 EGY46 EQU46 FAQ46 FKM46 FUI46 GEE46 GOA46 GXW46 HHS46 HRO46 IBK46 ILG46 IVC46 JEY46 JOU46 JYQ46 KIM46 KSI46 LCE46 LMA46 LVW46 MFS46 MPO46 MZK46 NJG46 NTC46 OCY46 OMU46 OWQ46 PGM46 PQI46 QAE46 QKA46 QTW46 RDS46 RNO46 RXK46 SHG46 SRC46 TAY46 TKU46 TUQ46 UEM46 UOI46 UYE46 VIA46 VRW46 WBS46 WLO46 WVK46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formula1>"Académique, Professionnel, Associatif, Autre"</formula1>
    </dataValidation>
  </dataValidations>
  <hyperlinks>
    <hyperlink ref="B1:D1" location="'Schéma d''enseignement'!G30" display="Schéma d'enseignement"/>
  </hyperlinks>
  <pageMargins left="0.7" right="0.7" top="0.75" bottom="0.75" header="0.3" footer="0.3"/>
  <pageSetup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2"/>
  <sheetViews>
    <sheetView topLeftCell="B1" workbookViewId="0">
      <selection activeCell="B1" sqref="B1:D1"/>
    </sheetView>
  </sheetViews>
  <sheetFormatPr baseColWidth="10" defaultColWidth="8.85546875" defaultRowHeight="15.75" x14ac:dyDescent="0.25"/>
  <cols>
    <col min="1" max="1" width="1.140625" style="134" customWidth="1"/>
    <col min="2" max="2" width="29.42578125" style="134" customWidth="1"/>
    <col min="3" max="3" width="15.5703125" style="134" customWidth="1"/>
    <col min="4" max="4" width="11.85546875" style="134" customWidth="1"/>
    <col min="5" max="5" width="31.140625" style="134" customWidth="1"/>
    <col min="6" max="6" width="32.5703125" style="134" customWidth="1"/>
    <col min="7" max="7" width="8.140625" style="134" customWidth="1"/>
    <col min="8" max="8" width="20.140625" style="134" customWidth="1"/>
    <col min="9" max="9" width="119.85546875" style="134" customWidth="1"/>
    <col min="10" max="10" width="11.5703125" style="134" customWidth="1"/>
    <col min="11" max="11" width="128.140625" style="134" customWidth="1"/>
    <col min="12" max="256" width="11.5703125" style="134" customWidth="1"/>
    <col min="257" max="16384" width="8.85546875" style="134"/>
  </cols>
  <sheetData>
    <row r="1" spans="2:10" x14ac:dyDescent="0.25">
      <c r="B1" s="628" t="s">
        <v>1267</v>
      </c>
      <c r="C1" s="628"/>
      <c r="D1" s="628"/>
    </row>
    <row r="2" spans="2:10" x14ac:dyDescent="0.25">
      <c r="B2" s="660" t="s">
        <v>601</v>
      </c>
      <c r="C2" s="661"/>
      <c r="D2" s="661"/>
      <c r="E2" s="662"/>
      <c r="F2" s="662"/>
      <c r="G2" s="662"/>
      <c r="H2" s="662"/>
      <c r="I2" s="663"/>
      <c r="J2" s="133"/>
    </row>
    <row r="4" spans="2:10" x14ac:dyDescent="0.25">
      <c r="B4" s="135" t="s">
        <v>195</v>
      </c>
      <c r="C4" s="136"/>
      <c r="D4" s="136"/>
      <c r="E4" s="136"/>
      <c r="F4" s="136"/>
      <c r="G4" s="137"/>
    </row>
    <row r="5" spans="2:10" s="138" customFormat="1" x14ac:dyDescent="0.25"/>
    <row r="6" spans="2:10" s="138" customFormat="1" x14ac:dyDescent="0.25">
      <c r="B6" s="139" t="s">
        <v>196</v>
      </c>
      <c r="C6" s="611" t="s">
        <v>602</v>
      </c>
      <c r="D6" s="611"/>
      <c r="E6" s="611"/>
      <c r="F6" s="611"/>
      <c r="G6" s="140"/>
    </row>
    <row r="7" spans="2:10" s="138" customFormat="1" x14ac:dyDescent="0.25">
      <c r="B7" s="141" t="s">
        <v>197</v>
      </c>
      <c r="C7" s="612" t="s">
        <v>1240</v>
      </c>
      <c r="D7" s="612"/>
      <c r="E7" s="612"/>
      <c r="F7" s="612"/>
      <c r="G7" s="142"/>
    </row>
    <row r="8" spans="2:10" s="138" customFormat="1" x14ac:dyDescent="0.25">
      <c r="B8" s="139" t="s">
        <v>199</v>
      </c>
      <c r="C8" s="611" t="s">
        <v>604</v>
      </c>
      <c r="D8" s="611"/>
      <c r="E8" s="611"/>
      <c r="F8" s="611"/>
      <c r="G8" s="140"/>
    </row>
    <row r="9" spans="2:10" s="138" customFormat="1" x14ac:dyDescent="0.25">
      <c r="B9" s="139" t="s">
        <v>201</v>
      </c>
      <c r="C9" s="611" t="s">
        <v>1231</v>
      </c>
      <c r="D9" s="611"/>
      <c r="E9" s="611"/>
      <c r="F9" s="611"/>
      <c r="G9" s="140"/>
    </row>
    <row r="10" spans="2:10" s="138" customFormat="1" x14ac:dyDescent="0.25">
      <c r="B10" s="139" t="s">
        <v>606</v>
      </c>
      <c r="C10" s="611" t="s">
        <v>607</v>
      </c>
      <c r="D10" s="611"/>
      <c r="E10" s="611"/>
      <c r="F10" s="611"/>
      <c r="G10" s="140"/>
    </row>
    <row r="11" spans="2:10" s="138" customFormat="1" x14ac:dyDescent="0.25">
      <c r="B11" s="139" t="s">
        <v>204</v>
      </c>
      <c r="C11" s="611">
        <v>4</v>
      </c>
      <c r="D11" s="611"/>
      <c r="E11" s="611"/>
      <c r="F11" s="611"/>
      <c r="G11" s="140"/>
    </row>
    <row r="12" spans="2:10" s="138" customFormat="1" x14ac:dyDescent="0.25"/>
    <row r="13" spans="2:10" s="138" customFormat="1" x14ac:dyDescent="0.25">
      <c r="B13" s="613" t="s">
        <v>206</v>
      </c>
      <c r="C13" s="613"/>
      <c r="D13" s="613"/>
      <c r="E13" s="613"/>
      <c r="F13" s="613"/>
      <c r="G13" s="143"/>
    </row>
    <row r="14" spans="2:10" s="138" customFormat="1" x14ac:dyDescent="0.25">
      <c r="B14" s="614" t="s">
        <v>207</v>
      </c>
      <c r="C14" s="615"/>
      <c r="D14" s="613" t="s">
        <v>208</v>
      </c>
      <c r="E14" s="613"/>
      <c r="F14" s="613"/>
      <c r="G14" s="143"/>
    </row>
    <row r="15" spans="2:10" s="138" customFormat="1" x14ac:dyDescent="0.25">
      <c r="B15" s="616"/>
      <c r="C15" s="617"/>
      <c r="D15" s="611"/>
      <c r="E15" s="611"/>
      <c r="F15" s="611"/>
      <c r="G15" s="140"/>
    </row>
    <row r="16" spans="2:10" s="138" customFormat="1" x14ac:dyDescent="0.25"/>
    <row r="17" spans="2:7" s="138" customFormat="1" x14ac:dyDescent="0.25">
      <c r="B17" s="144" t="s">
        <v>210</v>
      </c>
      <c r="C17" s="144" t="s">
        <v>211</v>
      </c>
      <c r="D17" s="144" t="s">
        <v>212</v>
      </c>
      <c r="E17" s="144" t="s">
        <v>213</v>
      </c>
      <c r="F17" s="144" t="s">
        <v>214</v>
      </c>
      <c r="G17" s="143"/>
    </row>
    <row r="18" spans="2:7" s="138" customFormat="1" x14ac:dyDescent="0.25">
      <c r="B18" s="145" t="s">
        <v>1240</v>
      </c>
      <c r="C18" s="46">
        <v>21</v>
      </c>
      <c r="D18" s="46">
        <v>2</v>
      </c>
      <c r="E18" s="46">
        <v>2</v>
      </c>
      <c r="F18" s="46" t="s">
        <v>1270</v>
      </c>
      <c r="G18" s="142"/>
    </row>
    <row r="19" spans="2:7" s="138" customFormat="1" x14ac:dyDescent="0.25">
      <c r="B19" s="146"/>
      <c r="C19" s="142"/>
      <c r="D19" s="142"/>
      <c r="E19" s="142"/>
      <c r="F19" s="142"/>
      <c r="G19" s="142"/>
    </row>
    <row r="20" spans="2:7" s="138" customFormat="1" x14ac:dyDescent="0.25">
      <c r="B20" s="608" t="s">
        <v>219</v>
      </c>
      <c r="C20" s="609"/>
      <c r="D20" s="609"/>
      <c r="E20" s="609"/>
      <c r="F20" s="610"/>
      <c r="G20" s="147"/>
    </row>
    <row r="21" spans="2:7" s="138" customFormat="1" x14ac:dyDescent="0.25">
      <c r="B21" s="647" t="s">
        <v>1241</v>
      </c>
      <c r="C21" s="657"/>
      <c r="D21" s="657"/>
      <c r="E21" s="657"/>
      <c r="F21" s="658"/>
      <c r="G21" s="148"/>
    </row>
    <row r="22" spans="2:7" s="138" customFormat="1" x14ac:dyDescent="0.25">
      <c r="B22" s="608" t="s">
        <v>220</v>
      </c>
      <c r="C22" s="609"/>
      <c r="D22" s="609"/>
      <c r="E22" s="609"/>
      <c r="F22" s="610"/>
      <c r="G22" s="147"/>
    </row>
    <row r="23" spans="2:7" s="138" customFormat="1" x14ac:dyDescent="0.25">
      <c r="B23" s="647" t="s">
        <v>1242</v>
      </c>
      <c r="C23" s="622"/>
      <c r="D23" s="622"/>
      <c r="E23" s="622"/>
      <c r="F23" s="623"/>
      <c r="G23" s="149"/>
    </row>
    <row r="24" spans="2:7" s="138" customFormat="1" x14ac:dyDescent="0.25"/>
    <row r="25" spans="2:7" s="138" customFormat="1" x14ac:dyDescent="0.25">
      <c r="B25" s="608" t="s">
        <v>221</v>
      </c>
      <c r="C25" s="609"/>
      <c r="D25" s="609"/>
      <c r="E25" s="609"/>
      <c r="F25" s="610"/>
      <c r="G25" s="147"/>
    </row>
    <row r="26" spans="2:7" s="138" customFormat="1" x14ac:dyDescent="0.25">
      <c r="B26" s="621" t="s">
        <v>1243</v>
      </c>
      <c r="C26" s="657"/>
      <c r="D26" s="657"/>
      <c r="E26" s="657"/>
      <c r="F26" s="658"/>
      <c r="G26" s="148"/>
    </row>
    <row r="27" spans="2:7" s="138" customFormat="1" x14ac:dyDescent="0.25"/>
    <row r="28" spans="2:7" s="138" customFormat="1" x14ac:dyDescent="0.25">
      <c r="B28" s="608" t="s">
        <v>222</v>
      </c>
      <c r="C28" s="609"/>
      <c r="D28" s="609"/>
      <c r="E28" s="609"/>
      <c r="F28" s="610"/>
      <c r="G28" s="143"/>
    </row>
    <row r="29" spans="2:7" s="138" customFormat="1" x14ac:dyDescent="0.25">
      <c r="B29" s="651" t="s">
        <v>1236</v>
      </c>
      <c r="C29" s="652"/>
      <c r="D29" s="652"/>
      <c r="E29" s="652"/>
      <c r="F29" s="653"/>
      <c r="G29" s="150"/>
    </row>
    <row r="30" spans="2:7" s="138" customFormat="1" x14ac:dyDescent="0.25">
      <c r="B30" s="651" t="s">
        <v>1237</v>
      </c>
      <c r="C30" s="652"/>
      <c r="D30" s="652"/>
      <c r="E30" s="652"/>
      <c r="F30" s="653"/>
      <c r="G30" s="150"/>
    </row>
    <row r="31" spans="2:7" s="138" customFormat="1" x14ac:dyDescent="0.25">
      <c r="B31" s="651" t="s">
        <v>1238</v>
      </c>
      <c r="C31" s="652"/>
      <c r="D31" s="652"/>
      <c r="E31" s="652"/>
      <c r="F31" s="653"/>
      <c r="G31" s="150"/>
    </row>
    <row r="32" spans="2:7" s="138" customFormat="1" x14ac:dyDescent="0.25">
      <c r="G32" s="150"/>
    </row>
    <row r="33" spans="2:7" s="138" customFormat="1" x14ac:dyDescent="0.25">
      <c r="B33" s="651"/>
      <c r="C33" s="652"/>
      <c r="D33" s="652"/>
      <c r="E33" s="652"/>
      <c r="F33" s="653"/>
      <c r="G33" s="150"/>
    </row>
    <row r="34" spans="2:7" s="138" customFormat="1" x14ac:dyDescent="0.25">
      <c r="B34" s="651"/>
      <c r="C34" s="652"/>
      <c r="D34" s="652"/>
      <c r="E34" s="652"/>
      <c r="F34" s="653"/>
      <c r="G34" s="150"/>
    </row>
    <row r="35" spans="2:7" s="138" customFormat="1" x14ac:dyDescent="0.25">
      <c r="B35" s="651"/>
      <c r="C35" s="652"/>
      <c r="D35" s="652"/>
      <c r="E35" s="652"/>
      <c r="F35" s="653"/>
      <c r="G35" s="150"/>
    </row>
    <row r="36" spans="2:7" s="138" customFormat="1" x14ac:dyDescent="0.25">
      <c r="B36" s="651"/>
      <c r="C36" s="652"/>
      <c r="D36" s="652"/>
      <c r="E36" s="652"/>
      <c r="F36" s="653"/>
      <c r="G36" s="150"/>
    </row>
    <row r="37" spans="2:7" s="138" customFormat="1" x14ac:dyDescent="0.25">
      <c r="B37" s="654"/>
      <c r="C37" s="655"/>
      <c r="D37" s="655"/>
      <c r="E37" s="655"/>
      <c r="F37" s="656"/>
      <c r="G37" s="149"/>
    </row>
    <row r="38" spans="2:7" s="138" customFormat="1" x14ac:dyDescent="0.25"/>
    <row r="39" spans="2:7" s="138" customFormat="1" x14ac:dyDescent="0.25">
      <c r="B39" s="608" t="s">
        <v>226</v>
      </c>
      <c r="C39" s="609"/>
      <c r="D39" s="609"/>
      <c r="E39" s="609"/>
      <c r="F39" s="610"/>
      <c r="G39" s="147"/>
    </row>
    <row r="40" spans="2:7" s="138" customFormat="1" ht="277.14999999999998" customHeight="1" x14ac:dyDescent="0.25">
      <c r="B40" s="895" t="s">
        <v>1239</v>
      </c>
      <c r="C40" s="625"/>
      <c r="D40" s="625"/>
      <c r="E40" s="625"/>
      <c r="F40" s="626"/>
      <c r="G40" s="149"/>
    </row>
    <row r="41" spans="2:7" s="138" customFormat="1" x14ac:dyDescent="0.25">
      <c r="B41" s="151"/>
      <c r="C41" s="152"/>
      <c r="D41" s="152"/>
      <c r="E41" s="152"/>
      <c r="F41" s="152"/>
      <c r="G41" s="152"/>
    </row>
    <row r="42" spans="2:7" s="138" customFormat="1" x14ac:dyDescent="0.25">
      <c r="B42" s="608" t="s">
        <v>227</v>
      </c>
      <c r="C42" s="609"/>
      <c r="D42" s="609"/>
      <c r="E42" s="609"/>
      <c r="F42" s="610"/>
      <c r="G42" s="147"/>
    </row>
    <row r="43" spans="2:7" s="138" customFormat="1" x14ac:dyDescent="0.25">
      <c r="B43" s="153" t="s">
        <v>609</v>
      </c>
      <c r="C43" s="627"/>
      <c r="D43" s="627"/>
      <c r="E43" s="627"/>
      <c r="F43" s="627"/>
      <c r="G43" s="149"/>
    </row>
    <row r="44" spans="2:7" s="138" customFormat="1" x14ac:dyDescent="0.25">
      <c r="B44" s="153" t="s">
        <v>611</v>
      </c>
      <c r="C44" s="627"/>
      <c r="D44" s="627"/>
      <c r="E44" s="627"/>
      <c r="F44" s="627"/>
      <c r="G44" s="149"/>
    </row>
    <row r="45" spans="2:7" s="138" customFormat="1" x14ac:dyDescent="0.25">
      <c r="B45" s="153" t="s">
        <v>613</v>
      </c>
      <c r="C45" s="621"/>
      <c r="D45" s="622"/>
      <c r="E45" s="622"/>
      <c r="F45" s="623"/>
      <c r="G45" s="149"/>
    </row>
    <row r="46" spans="2:7" s="138" customFormat="1" x14ac:dyDescent="0.25">
      <c r="B46" s="153"/>
      <c r="C46" s="627"/>
      <c r="D46" s="627"/>
      <c r="E46" s="627"/>
      <c r="F46" s="627"/>
      <c r="G46" s="149"/>
    </row>
    <row r="47" spans="2:7" s="138" customFormat="1" x14ac:dyDescent="0.25">
      <c r="B47" s="153"/>
      <c r="C47" s="627"/>
      <c r="D47" s="627"/>
      <c r="E47" s="627"/>
      <c r="F47" s="627"/>
      <c r="G47" s="149"/>
    </row>
    <row r="48" spans="2:7" s="138" customFormat="1" x14ac:dyDescent="0.25"/>
    <row r="49" spans="1:7" s="138" customFormat="1" x14ac:dyDescent="0.25">
      <c r="B49" s="608" t="s">
        <v>232</v>
      </c>
      <c r="C49" s="609"/>
      <c r="D49" s="609"/>
      <c r="E49" s="609"/>
      <c r="F49" s="610"/>
      <c r="G49" s="147"/>
    </row>
    <row r="50" spans="1:7" s="138" customFormat="1" x14ac:dyDescent="0.25">
      <c r="B50" s="621"/>
      <c r="C50" s="622"/>
      <c r="D50" s="622"/>
      <c r="E50" s="622"/>
      <c r="F50" s="623"/>
      <c r="G50" s="152"/>
    </row>
    <row r="51" spans="1:7" s="138" customFormat="1" x14ac:dyDescent="0.25"/>
    <row r="52" spans="1:7" s="138" customFormat="1" x14ac:dyDescent="0.25">
      <c r="B52" s="608" t="s">
        <v>614</v>
      </c>
      <c r="C52" s="609"/>
      <c r="D52" s="609"/>
      <c r="E52" s="609"/>
      <c r="F52" s="610"/>
      <c r="G52" s="147"/>
    </row>
    <row r="53" spans="1:7" s="138" customFormat="1" x14ac:dyDescent="0.25">
      <c r="B53" s="154" t="s">
        <v>615</v>
      </c>
      <c r="C53" s="154" t="s">
        <v>616</v>
      </c>
      <c r="D53" s="608" t="s">
        <v>617</v>
      </c>
      <c r="E53" s="609"/>
      <c r="F53" s="610"/>
      <c r="G53" s="147"/>
    </row>
    <row r="54" spans="1:7" s="138" customFormat="1" x14ac:dyDescent="0.25">
      <c r="A54" s="155"/>
      <c r="B54" s="153"/>
      <c r="C54" s="153"/>
      <c r="D54" s="650"/>
      <c r="E54" s="630"/>
      <c r="F54" s="631"/>
      <c r="G54" s="156"/>
    </row>
    <row r="55" spans="1:7" s="138" customFormat="1" x14ac:dyDescent="0.25">
      <c r="B55" s="157"/>
      <c r="C55" s="157"/>
      <c r="D55" s="629"/>
      <c r="E55" s="630"/>
      <c r="F55" s="631"/>
      <c r="G55" s="156"/>
    </row>
    <row r="56" spans="1:7" s="138" customFormat="1" x14ac:dyDescent="0.25">
      <c r="B56" s="158"/>
      <c r="C56" s="158"/>
      <c r="D56" s="629"/>
      <c r="E56" s="630"/>
      <c r="F56" s="631"/>
      <c r="G56" s="156"/>
    </row>
    <row r="57" spans="1:7" s="138" customFormat="1" x14ac:dyDescent="0.25"/>
    <row r="58" spans="1:7" s="138" customFormat="1" x14ac:dyDescent="0.25">
      <c r="B58" s="608" t="s">
        <v>234</v>
      </c>
      <c r="C58" s="609"/>
      <c r="D58" s="609"/>
      <c r="E58" s="609"/>
      <c r="F58" s="610"/>
      <c r="G58" s="147"/>
    </row>
    <row r="59" spans="1:7" s="138" customFormat="1" x14ac:dyDescent="0.25">
      <c r="B59" s="618"/>
      <c r="C59" s="619"/>
      <c r="D59" s="619"/>
      <c r="E59" s="619"/>
      <c r="F59" s="620"/>
      <c r="G59" s="152"/>
    </row>
    <row r="60" spans="1:7" s="138" customFormat="1" x14ac:dyDescent="0.25"/>
    <row r="61" spans="1:7" s="138" customFormat="1" x14ac:dyDescent="0.25">
      <c r="B61" s="608" t="s">
        <v>235</v>
      </c>
      <c r="C61" s="609"/>
      <c r="D61" s="609"/>
      <c r="E61" s="609"/>
      <c r="F61" s="610"/>
      <c r="G61" s="147"/>
    </row>
    <row r="62" spans="1:7" x14ac:dyDescent="0.25">
      <c r="B62" s="618"/>
      <c r="C62" s="619"/>
      <c r="D62" s="619"/>
      <c r="E62" s="619"/>
      <c r="F62" s="620"/>
      <c r="G62" s="152"/>
    </row>
  </sheetData>
  <mergeCells count="47">
    <mergeCell ref="B1:D1"/>
    <mergeCell ref="C10:F10"/>
    <mergeCell ref="B2:I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B49:F49"/>
    <mergeCell ref="B35:F35"/>
    <mergeCell ref="B36:F36"/>
    <mergeCell ref="B37:F37"/>
    <mergeCell ref="B39:F39"/>
    <mergeCell ref="B40:F40"/>
    <mergeCell ref="B42:F42"/>
    <mergeCell ref="C43:F43"/>
    <mergeCell ref="C44:F44"/>
    <mergeCell ref="C45:F45"/>
    <mergeCell ref="C46:F46"/>
    <mergeCell ref="C47:F47"/>
    <mergeCell ref="B58:F58"/>
    <mergeCell ref="B59:F59"/>
    <mergeCell ref="B61:F61"/>
    <mergeCell ref="B62:F62"/>
    <mergeCell ref="B50:F50"/>
    <mergeCell ref="B52:F52"/>
    <mergeCell ref="D53:F53"/>
    <mergeCell ref="D54:F54"/>
    <mergeCell ref="D55:F55"/>
    <mergeCell ref="D56:F56"/>
  </mergeCells>
  <dataValidations count="2">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s>
  <hyperlinks>
    <hyperlink ref="B1:D1" location="'Schéma d''enseignement'!G29" display="Schéma d'enseignement"/>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00B050"/>
  </sheetPr>
  <dimension ref="A1:AMK82"/>
  <sheetViews>
    <sheetView zoomScale="130" zoomScaleNormal="130" zoomScaleSheetLayoutView="80" zoomScalePageLayoutView="130" workbookViewId="0">
      <selection activeCell="B1" sqref="B1:D1"/>
    </sheetView>
  </sheetViews>
  <sheetFormatPr baseColWidth="10" defaultColWidth="9.140625" defaultRowHeight="15.75" x14ac:dyDescent="0.25"/>
  <cols>
    <col min="1" max="1" width="2.28515625" style="216" customWidth="1"/>
    <col min="2" max="6" width="15.7109375" style="216" customWidth="1"/>
    <col min="7" max="7" width="10.7109375" style="216" customWidth="1"/>
    <col min="8" max="1025" width="9.140625" style="216"/>
    <col min="1026" max="16384" width="9.140625" style="215"/>
  </cols>
  <sheetData>
    <row r="1" spans="1:1024" x14ac:dyDescent="0.25">
      <c r="A1" s="215"/>
      <c r="B1" s="628" t="s">
        <v>1267</v>
      </c>
      <c r="C1" s="628"/>
      <c r="D1" s="628"/>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c r="FI1" s="215"/>
      <c r="FJ1" s="215"/>
      <c r="FK1" s="215"/>
      <c r="FL1" s="215"/>
      <c r="FM1" s="215"/>
      <c r="FN1" s="215"/>
      <c r="FO1" s="215"/>
      <c r="FP1" s="215"/>
      <c r="FQ1" s="215"/>
      <c r="FR1" s="215"/>
      <c r="FS1" s="215"/>
      <c r="FT1" s="215"/>
      <c r="FU1" s="215"/>
      <c r="FV1" s="215"/>
      <c r="FW1" s="215"/>
      <c r="FX1" s="215"/>
      <c r="FY1" s="215"/>
      <c r="FZ1" s="215"/>
      <c r="GA1" s="215"/>
      <c r="GB1" s="215"/>
      <c r="GC1" s="215"/>
      <c r="GD1" s="215"/>
      <c r="GE1" s="215"/>
      <c r="GF1" s="215"/>
      <c r="GG1" s="215"/>
      <c r="GH1" s="215"/>
      <c r="GI1" s="215"/>
      <c r="GJ1" s="215"/>
      <c r="GK1" s="215"/>
      <c r="GL1" s="215"/>
      <c r="GM1" s="215"/>
      <c r="GN1" s="215"/>
      <c r="GO1" s="215"/>
      <c r="GP1" s="215"/>
      <c r="GQ1" s="215"/>
      <c r="GR1" s="215"/>
      <c r="GS1" s="215"/>
      <c r="GT1" s="215"/>
      <c r="GU1" s="215"/>
      <c r="GV1" s="215"/>
      <c r="GW1" s="215"/>
      <c r="GX1" s="215"/>
      <c r="GY1" s="215"/>
      <c r="GZ1" s="215"/>
      <c r="HA1" s="215"/>
      <c r="HB1" s="215"/>
      <c r="HC1" s="215"/>
      <c r="HD1" s="215"/>
      <c r="HE1" s="215"/>
      <c r="HF1" s="215"/>
      <c r="HG1" s="215"/>
      <c r="HH1" s="215"/>
      <c r="HI1" s="215"/>
      <c r="HJ1" s="215"/>
      <c r="HK1" s="215"/>
      <c r="HL1" s="215"/>
      <c r="HM1" s="215"/>
      <c r="HN1" s="215"/>
      <c r="HO1" s="215"/>
      <c r="HP1" s="215"/>
      <c r="HQ1" s="215"/>
      <c r="HR1" s="215"/>
      <c r="HS1" s="215"/>
      <c r="HT1" s="215"/>
      <c r="HU1" s="215"/>
      <c r="HV1" s="215"/>
      <c r="HW1" s="215"/>
      <c r="HX1" s="215"/>
      <c r="HY1" s="215"/>
      <c r="HZ1" s="215"/>
      <c r="IA1" s="215"/>
      <c r="IB1" s="215"/>
      <c r="IC1" s="215"/>
      <c r="ID1" s="215"/>
      <c r="IE1" s="215"/>
      <c r="IF1" s="215"/>
      <c r="IG1" s="215"/>
      <c r="IH1" s="215"/>
      <c r="II1" s="215"/>
      <c r="IJ1" s="215"/>
      <c r="IK1" s="215"/>
      <c r="IL1" s="215"/>
      <c r="IM1" s="215"/>
      <c r="IN1" s="215"/>
      <c r="IO1" s="215"/>
      <c r="IP1" s="215"/>
      <c r="IQ1" s="215"/>
      <c r="IR1" s="215"/>
      <c r="IS1" s="215"/>
      <c r="IT1" s="215"/>
      <c r="IU1" s="215"/>
      <c r="IV1" s="215"/>
      <c r="IW1" s="215"/>
      <c r="IX1" s="215"/>
      <c r="IY1" s="215"/>
      <c r="IZ1" s="215"/>
      <c r="JA1" s="215"/>
      <c r="JB1" s="215"/>
      <c r="JC1" s="215"/>
      <c r="JD1" s="215"/>
      <c r="JE1" s="215"/>
      <c r="JF1" s="215"/>
      <c r="JG1" s="215"/>
      <c r="JH1" s="215"/>
      <c r="JI1" s="215"/>
      <c r="JJ1" s="215"/>
      <c r="JK1" s="215"/>
      <c r="JL1" s="215"/>
      <c r="JM1" s="215"/>
      <c r="JN1" s="215"/>
      <c r="JO1" s="215"/>
      <c r="JP1" s="215"/>
      <c r="JQ1" s="215"/>
      <c r="JR1" s="215"/>
      <c r="JS1" s="215"/>
      <c r="JT1" s="215"/>
      <c r="JU1" s="215"/>
      <c r="JV1" s="215"/>
      <c r="JW1" s="215"/>
      <c r="JX1" s="215"/>
      <c r="JY1" s="215"/>
      <c r="JZ1" s="215"/>
      <c r="KA1" s="215"/>
      <c r="KB1" s="215"/>
      <c r="KC1" s="215"/>
      <c r="KD1" s="215"/>
      <c r="KE1" s="215"/>
      <c r="KF1" s="215"/>
      <c r="KG1" s="215"/>
      <c r="KH1" s="215"/>
      <c r="KI1" s="215"/>
      <c r="KJ1" s="215"/>
      <c r="KK1" s="215"/>
      <c r="KL1" s="215"/>
      <c r="KM1" s="215"/>
      <c r="KN1" s="215"/>
      <c r="KO1" s="215"/>
      <c r="KP1" s="215"/>
      <c r="KQ1" s="215"/>
      <c r="KR1" s="215"/>
      <c r="KS1" s="215"/>
      <c r="KT1" s="215"/>
      <c r="KU1" s="215"/>
      <c r="KV1" s="215"/>
      <c r="KW1" s="215"/>
      <c r="KX1" s="215"/>
      <c r="KY1" s="215"/>
      <c r="KZ1" s="215"/>
      <c r="LA1" s="215"/>
      <c r="LB1" s="215"/>
      <c r="LC1" s="215"/>
      <c r="LD1" s="215"/>
      <c r="LE1" s="215"/>
      <c r="LF1" s="215"/>
      <c r="LG1" s="215"/>
      <c r="LH1" s="215"/>
      <c r="LI1" s="215"/>
      <c r="LJ1" s="215"/>
      <c r="LK1" s="215"/>
      <c r="LL1" s="215"/>
      <c r="LM1" s="215"/>
      <c r="LN1" s="215"/>
      <c r="LO1" s="215"/>
      <c r="LP1" s="215"/>
      <c r="LQ1" s="215"/>
      <c r="LR1" s="215"/>
      <c r="LS1" s="215"/>
      <c r="LT1" s="215"/>
      <c r="LU1" s="215"/>
      <c r="LV1" s="215"/>
      <c r="LW1" s="215"/>
      <c r="LX1" s="215"/>
      <c r="LY1" s="215"/>
      <c r="LZ1" s="215"/>
      <c r="MA1" s="215"/>
      <c r="MB1" s="215"/>
      <c r="MC1" s="215"/>
      <c r="MD1" s="215"/>
      <c r="ME1" s="215"/>
      <c r="MF1" s="215"/>
      <c r="MG1" s="215"/>
      <c r="MH1" s="215"/>
      <c r="MI1" s="215"/>
      <c r="MJ1" s="215"/>
      <c r="MK1" s="215"/>
      <c r="ML1" s="215"/>
      <c r="MM1" s="215"/>
      <c r="MN1" s="215"/>
      <c r="MO1" s="215"/>
      <c r="MP1" s="215"/>
      <c r="MQ1" s="215"/>
      <c r="MR1" s="215"/>
      <c r="MS1" s="215"/>
      <c r="MT1" s="215"/>
      <c r="MU1" s="215"/>
      <c r="MV1" s="215"/>
      <c r="MW1" s="215"/>
      <c r="MX1" s="215"/>
      <c r="MY1" s="215"/>
      <c r="MZ1" s="215"/>
      <c r="NA1" s="215"/>
      <c r="NB1" s="215"/>
      <c r="NC1" s="215"/>
      <c r="ND1" s="215"/>
      <c r="NE1" s="215"/>
      <c r="NF1" s="215"/>
      <c r="NG1" s="215"/>
      <c r="NH1" s="215"/>
      <c r="NI1" s="215"/>
      <c r="NJ1" s="215"/>
      <c r="NK1" s="215"/>
      <c r="NL1" s="215"/>
      <c r="NM1" s="215"/>
      <c r="NN1" s="215"/>
      <c r="NO1" s="215"/>
      <c r="NP1" s="215"/>
      <c r="NQ1" s="215"/>
      <c r="NR1" s="215"/>
      <c r="NS1" s="215"/>
      <c r="NT1" s="215"/>
      <c r="NU1" s="215"/>
      <c r="NV1" s="215"/>
      <c r="NW1" s="215"/>
      <c r="NX1" s="215"/>
      <c r="NY1" s="215"/>
      <c r="NZ1" s="215"/>
      <c r="OA1" s="215"/>
      <c r="OB1" s="215"/>
      <c r="OC1" s="215"/>
      <c r="OD1" s="215"/>
      <c r="OE1" s="215"/>
      <c r="OF1" s="215"/>
      <c r="OG1" s="215"/>
      <c r="OH1" s="215"/>
      <c r="OI1" s="215"/>
      <c r="OJ1" s="215"/>
      <c r="OK1" s="215"/>
      <c r="OL1" s="215"/>
      <c r="OM1" s="215"/>
      <c r="ON1" s="215"/>
      <c r="OO1" s="215"/>
      <c r="OP1" s="215"/>
      <c r="OQ1" s="215"/>
      <c r="OR1" s="215"/>
      <c r="OS1" s="215"/>
      <c r="OT1" s="215"/>
      <c r="OU1" s="215"/>
      <c r="OV1" s="215"/>
      <c r="OW1" s="215"/>
      <c r="OX1" s="215"/>
      <c r="OY1" s="215"/>
      <c r="OZ1" s="215"/>
      <c r="PA1" s="215"/>
      <c r="PB1" s="215"/>
      <c r="PC1" s="215"/>
      <c r="PD1" s="215"/>
      <c r="PE1" s="215"/>
      <c r="PF1" s="215"/>
      <c r="PG1" s="215"/>
      <c r="PH1" s="215"/>
      <c r="PI1" s="215"/>
      <c r="PJ1" s="215"/>
      <c r="PK1" s="215"/>
      <c r="PL1" s="215"/>
      <c r="PM1" s="215"/>
      <c r="PN1" s="215"/>
      <c r="PO1" s="215"/>
      <c r="PP1" s="215"/>
      <c r="PQ1" s="215"/>
      <c r="PR1" s="215"/>
      <c r="PS1" s="215"/>
      <c r="PT1" s="215"/>
      <c r="PU1" s="215"/>
      <c r="PV1" s="215"/>
      <c r="PW1" s="215"/>
      <c r="PX1" s="215"/>
      <c r="PY1" s="215"/>
      <c r="PZ1" s="215"/>
      <c r="QA1" s="215"/>
      <c r="QB1" s="215"/>
      <c r="QC1" s="215"/>
      <c r="QD1" s="215"/>
      <c r="QE1" s="215"/>
      <c r="QF1" s="215"/>
      <c r="QG1" s="215"/>
      <c r="QH1" s="215"/>
      <c r="QI1" s="215"/>
      <c r="QJ1" s="215"/>
      <c r="QK1" s="215"/>
      <c r="QL1" s="215"/>
      <c r="QM1" s="215"/>
      <c r="QN1" s="215"/>
      <c r="QO1" s="215"/>
      <c r="QP1" s="215"/>
      <c r="QQ1" s="215"/>
      <c r="QR1" s="215"/>
      <c r="QS1" s="215"/>
      <c r="QT1" s="215"/>
      <c r="QU1" s="215"/>
      <c r="QV1" s="215"/>
      <c r="QW1" s="215"/>
      <c r="QX1" s="215"/>
      <c r="QY1" s="215"/>
      <c r="QZ1" s="215"/>
      <c r="RA1" s="215"/>
      <c r="RB1" s="215"/>
      <c r="RC1" s="215"/>
      <c r="RD1" s="215"/>
      <c r="RE1" s="215"/>
      <c r="RF1" s="215"/>
      <c r="RG1" s="215"/>
      <c r="RH1" s="215"/>
      <c r="RI1" s="215"/>
      <c r="RJ1" s="215"/>
      <c r="RK1" s="215"/>
      <c r="RL1" s="215"/>
      <c r="RM1" s="215"/>
      <c r="RN1" s="215"/>
      <c r="RO1" s="215"/>
      <c r="RP1" s="215"/>
      <c r="RQ1" s="215"/>
      <c r="RR1" s="215"/>
      <c r="RS1" s="215"/>
      <c r="RT1" s="215"/>
      <c r="RU1" s="215"/>
      <c r="RV1" s="215"/>
      <c r="RW1" s="215"/>
      <c r="RX1" s="215"/>
      <c r="RY1" s="215"/>
      <c r="RZ1" s="215"/>
      <c r="SA1" s="215"/>
      <c r="SB1" s="215"/>
      <c r="SC1" s="215"/>
      <c r="SD1" s="215"/>
      <c r="SE1" s="215"/>
      <c r="SF1" s="215"/>
      <c r="SG1" s="215"/>
      <c r="SH1" s="215"/>
      <c r="SI1" s="215"/>
      <c r="SJ1" s="215"/>
      <c r="SK1" s="215"/>
      <c r="SL1" s="215"/>
      <c r="SM1" s="215"/>
      <c r="SN1" s="215"/>
      <c r="SO1" s="215"/>
      <c r="SP1" s="215"/>
      <c r="SQ1" s="215"/>
      <c r="SR1" s="215"/>
      <c r="SS1" s="215"/>
      <c r="ST1" s="215"/>
      <c r="SU1" s="215"/>
      <c r="SV1" s="215"/>
      <c r="SW1" s="215"/>
      <c r="SX1" s="215"/>
      <c r="SY1" s="215"/>
      <c r="SZ1" s="215"/>
      <c r="TA1" s="215"/>
      <c r="TB1" s="215"/>
      <c r="TC1" s="215"/>
      <c r="TD1" s="215"/>
      <c r="TE1" s="215"/>
      <c r="TF1" s="215"/>
      <c r="TG1" s="215"/>
      <c r="TH1" s="215"/>
      <c r="TI1" s="215"/>
      <c r="TJ1" s="215"/>
      <c r="TK1" s="215"/>
      <c r="TL1" s="215"/>
      <c r="TM1" s="215"/>
      <c r="TN1" s="215"/>
      <c r="TO1" s="215"/>
      <c r="TP1" s="215"/>
      <c r="TQ1" s="215"/>
      <c r="TR1" s="215"/>
      <c r="TS1" s="215"/>
      <c r="TT1" s="215"/>
      <c r="TU1" s="215"/>
      <c r="TV1" s="215"/>
      <c r="TW1" s="215"/>
      <c r="TX1" s="215"/>
      <c r="TY1" s="215"/>
      <c r="TZ1" s="215"/>
      <c r="UA1" s="215"/>
      <c r="UB1" s="215"/>
      <c r="UC1" s="215"/>
      <c r="UD1" s="215"/>
      <c r="UE1" s="215"/>
      <c r="UF1" s="215"/>
      <c r="UG1" s="215"/>
      <c r="UH1" s="215"/>
      <c r="UI1" s="215"/>
      <c r="UJ1" s="215"/>
      <c r="UK1" s="215"/>
      <c r="UL1" s="215"/>
      <c r="UM1" s="215"/>
      <c r="UN1" s="215"/>
      <c r="UO1" s="215"/>
      <c r="UP1" s="215"/>
      <c r="UQ1" s="215"/>
      <c r="UR1" s="215"/>
      <c r="US1" s="215"/>
      <c r="UT1" s="215"/>
      <c r="UU1" s="215"/>
      <c r="UV1" s="215"/>
      <c r="UW1" s="215"/>
      <c r="UX1" s="215"/>
      <c r="UY1" s="215"/>
      <c r="UZ1" s="215"/>
      <c r="VA1" s="215"/>
      <c r="VB1" s="215"/>
      <c r="VC1" s="215"/>
      <c r="VD1" s="215"/>
      <c r="VE1" s="215"/>
      <c r="VF1" s="215"/>
      <c r="VG1" s="215"/>
      <c r="VH1" s="215"/>
      <c r="VI1" s="215"/>
      <c r="VJ1" s="215"/>
      <c r="VK1" s="215"/>
      <c r="VL1" s="215"/>
      <c r="VM1" s="215"/>
      <c r="VN1" s="215"/>
      <c r="VO1" s="215"/>
      <c r="VP1" s="215"/>
      <c r="VQ1" s="215"/>
      <c r="VR1" s="215"/>
      <c r="VS1" s="215"/>
      <c r="VT1" s="215"/>
      <c r="VU1" s="215"/>
      <c r="VV1" s="215"/>
      <c r="VW1" s="215"/>
      <c r="VX1" s="215"/>
      <c r="VY1" s="215"/>
      <c r="VZ1" s="215"/>
      <c r="WA1" s="215"/>
      <c r="WB1" s="215"/>
      <c r="WC1" s="215"/>
      <c r="WD1" s="215"/>
      <c r="WE1" s="215"/>
      <c r="WF1" s="215"/>
      <c r="WG1" s="215"/>
      <c r="WH1" s="215"/>
      <c r="WI1" s="215"/>
      <c r="WJ1" s="215"/>
      <c r="WK1" s="215"/>
      <c r="WL1" s="215"/>
      <c r="WM1" s="215"/>
      <c r="WN1" s="215"/>
      <c r="WO1" s="215"/>
      <c r="WP1" s="215"/>
      <c r="WQ1" s="215"/>
      <c r="WR1" s="215"/>
      <c r="WS1" s="215"/>
      <c r="WT1" s="215"/>
      <c r="WU1" s="215"/>
      <c r="WV1" s="215"/>
      <c r="WW1" s="215"/>
      <c r="WX1" s="215"/>
      <c r="WY1" s="215"/>
      <c r="WZ1" s="215"/>
      <c r="XA1" s="215"/>
      <c r="XB1" s="215"/>
      <c r="XC1" s="215"/>
      <c r="XD1" s="215"/>
      <c r="XE1" s="215"/>
      <c r="XF1" s="215"/>
      <c r="XG1" s="215"/>
      <c r="XH1" s="215"/>
      <c r="XI1" s="215"/>
      <c r="XJ1" s="215"/>
      <c r="XK1" s="215"/>
      <c r="XL1" s="215"/>
      <c r="XM1" s="215"/>
      <c r="XN1" s="215"/>
      <c r="XO1" s="215"/>
      <c r="XP1" s="215"/>
      <c r="XQ1" s="215"/>
      <c r="XR1" s="215"/>
      <c r="XS1" s="215"/>
      <c r="XT1" s="215"/>
      <c r="XU1" s="215"/>
      <c r="XV1" s="215"/>
      <c r="XW1" s="215"/>
      <c r="XX1" s="215"/>
      <c r="XY1" s="215"/>
      <c r="XZ1" s="215"/>
      <c r="YA1" s="215"/>
      <c r="YB1" s="215"/>
      <c r="YC1" s="215"/>
      <c r="YD1" s="215"/>
      <c r="YE1" s="215"/>
      <c r="YF1" s="215"/>
      <c r="YG1" s="215"/>
      <c r="YH1" s="215"/>
      <c r="YI1" s="215"/>
      <c r="YJ1" s="215"/>
      <c r="YK1" s="215"/>
      <c r="YL1" s="215"/>
      <c r="YM1" s="215"/>
      <c r="YN1" s="215"/>
      <c r="YO1" s="215"/>
      <c r="YP1" s="215"/>
      <c r="YQ1" s="215"/>
      <c r="YR1" s="215"/>
      <c r="YS1" s="215"/>
      <c r="YT1" s="215"/>
      <c r="YU1" s="215"/>
      <c r="YV1" s="215"/>
      <c r="YW1" s="215"/>
      <c r="YX1" s="215"/>
      <c r="YY1" s="215"/>
      <c r="YZ1" s="215"/>
      <c r="ZA1" s="215"/>
      <c r="ZB1" s="215"/>
      <c r="ZC1" s="215"/>
      <c r="ZD1" s="215"/>
      <c r="ZE1" s="215"/>
      <c r="ZF1" s="215"/>
      <c r="ZG1" s="215"/>
      <c r="ZH1" s="215"/>
      <c r="ZI1" s="215"/>
      <c r="ZJ1" s="215"/>
      <c r="ZK1" s="215"/>
      <c r="ZL1" s="215"/>
      <c r="ZM1" s="215"/>
      <c r="ZN1" s="215"/>
      <c r="ZO1" s="215"/>
      <c r="ZP1" s="215"/>
      <c r="ZQ1" s="215"/>
      <c r="ZR1" s="215"/>
      <c r="ZS1" s="215"/>
      <c r="ZT1" s="215"/>
      <c r="ZU1" s="215"/>
      <c r="ZV1" s="215"/>
      <c r="ZW1" s="215"/>
      <c r="ZX1" s="215"/>
      <c r="ZY1" s="215"/>
      <c r="ZZ1" s="215"/>
      <c r="AAA1" s="215"/>
      <c r="AAB1" s="215"/>
      <c r="AAC1" s="215"/>
      <c r="AAD1" s="215"/>
      <c r="AAE1" s="215"/>
      <c r="AAF1" s="215"/>
      <c r="AAG1" s="215"/>
      <c r="AAH1" s="215"/>
      <c r="AAI1" s="215"/>
      <c r="AAJ1" s="215"/>
      <c r="AAK1" s="215"/>
      <c r="AAL1" s="215"/>
      <c r="AAM1" s="215"/>
      <c r="AAN1" s="215"/>
      <c r="AAO1" s="215"/>
      <c r="AAP1" s="215"/>
      <c r="AAQ1" s="215"/>
      <c r="AAR1" s="215"/>
      <c r="AAS1" s="215"/>
      <c r="AAT1" s="215"/>
      <c r="AAU1" s="215"/>
      <c r="AAV1" s="215"/>
      <c r="AAW1" s="215"/>
      <c r="AAX1" s="215"/>
      <c r="AAY1" s="215"/>
      <c r="AAZ1" s="215"/>
      <c r="ABA1" s="215"/>
      <c r="ABB1" s="215"/>
      <c r="ABC1" s="215"/>
      <c r="ABD1" s="215"/>
      <c r="ABE1" s="215"/>
      <c r="ABF1" s="215"/>
      <c r="ABG1" s="215"/>
      <c r="ABH1" s="215"/>
      <c r="ABI1" s="215"/>
      <c r="ABJ1" s="215"/>
      <c r="ABK1" s="215"/>
      <c r="ABL1" s="215"/>
      <c r="ABM1" s="215"/>
      <c r="ABN1" s="215"/>
      <c r="ABO1" s="215"/>
      <c r="ABP1" s="215"/>
      <c r="ABQ1" s="215"/>
      <c r="ABR1" s="215"/>
      <c r="ABS1" s="215"/>
      <c r="ABT1" s="215"/>
      <c r="ABU1" s="215"/>
      <c r="ABV1" s="215"/>
      <c r="ABW1" s="215"/>
      <c r="ABX1" s="215"/>
      <c r="ABY1" s="215"/>
      <c r="ABZ1" s="215"/>
      <c r="ACA1" s="215"/>
      <c r="ACB1" s="215"/>
      <c r="ACC1" s="215"/>
      <c r="ACD1" s="215"/>
      <c r="ACE1" s="215"/>
      <c r="ACF1" s="215"/>
      <c r="ACG1" s="215"/>
      <c r="ACH1" s="215"/>
      <c r="ACI1" s="215"/>
      <c r="ACJ1" s="215"/>
      <c r="ACK1" s="215"/>
      <c r="ACL1" s="215"/>
      <c r="ACM1" s="215"/>
      <c r="ACN1" s="215"/>
      <c r="ACO1" s="215"/>
      <c r="ACP1" s="215"/>
      <c r="ACQ1" s="215"/>
      <c r="ACR1" s="215"/>
      <c r="ACS1" s="215"/>
      <c r="ACT1" s="215"/>
      <c r="ACU1" s="215"/>
      <c r="ACV1" s="215"/>
      <c r="ACW1" s="215"/>
      <c r="ACX1" s="215"/>
      <c r="ACY1" s="215"/>
      <c r="ACZ1" s="215"/>
      <c r="ADA1" s="215"/>
      <c r="ADB1" s="215"/>
      <c r="ADC1" s="215"/>
      <c r="ADD1" s="215"/>
      <c r="ADE1" s="215"/>
      <c r="ADF1" s="215"/>
      <c r="ADG1" s="215"/>
      <c r="ADH1" s="215"/>
      <c r="ADI1" s="215"/>
      <c r="ADJ1" s="215"/>
      <c r="ADK1" s="215"/>
      <c r="ADL1" s="215"/>
      <c r="ADM1" s="215"/>
      <c r="ADN1" s="215"/>
      <c r="ADO1" s="215"/>
      <c r="ADP1" s="215"/>
      <c r="ADQ1" s="215"/>
      <c r="ADR1" s="215"/>
      <c r="ADS1" s="215"/>
      <c r="ADT1" s="215"/>
      <c r="ADU1" s="215"/>
      <c r="ADV1" s="215"/>
      <c r="ADW1" s="215"/>
      <c r="ADX1" s="215"/>
      <c r="ADY1" s="215"/>
      <c r="ADZ1" s="215"/>
      <c r="AEA1" s="215"/>
      <c r="AEB1" s="215"/>
      <c r="AEC1" s="215"/>
      <c r="AED1" s="215"/>
      <c r="AEE1" s="215"/>
      <c r="AEF1" s="215"/>
      <c r="AEG1" s="215"/>
      <c r="AEH1" s="215"/>
      <c r="AEI1" s="215"/>
      <c r="AEJ1" s="215"/>
      <c r="AEK1" s="215"/>
      <c r="AEL1" s="215"/>
      <c r="AEM1" s="215"/>
      <c r="AEN1" s="215"/>
      <c r="AEO1" s="215"/>
      <c r="AEP1" s="215"/>
      <c r="AEQ1" s="215"/>
      <c r="AER1" s="215"/>
      <c r="AES1" s="215"/>
      <c r="AET1" s="215"/>
      <c r="AEU1" s="215"/>
      <c r="AEV1" s="215"/>
      <c r="AEW1" s="215"/>
      <c r="AEX1" s="215"/>
      <c r="AEY1" s="215"/>
      <c r="AEZ1" s="215"/>
      <c r="AFA1" s="215"/>
      <c r="AFB1" s="215"/>
      <c r="AFC1" s="215"/>
      <c r="AFD1" s="215"/>
      <c r="AFE1" s="215"/>
      <c r="AFF1" s="215"/>
      <c r="AFG1" s="215"/>
      <c r="AFH1" s="215"/>
      <c r="AFI1" s="215"/>
      <c r="AFJ1" s="215"/>
      <c r="AFK1" s="215"/>
      <c r="AFL1" s="215"/>
      <c r="AFM1" s="215"/>
      <c r="AFN1" s="215"/>
      <c r="AFO1" s="215"/>
      <c r="AFP1" s="215"/>
      <c r="AFQ1" s="215"/>
      <c r="AFR1" s="215"/>
      <c r="AFS1" s="215"/>
      <c r="AFT1" s="215"/>
      <c r="AFU1" s="215"/>
      <c r="AFV1" s="215"/>
      <c r="AFW1" s="215"/>
      <c r="AFX1" s="215"/>
      <c r="AFY1" s="215"/>
      <c r="AFZ1" s="215"/>
      <c r="AGA1" s="215"/>
      <c r="AGB1" s="215"/>
      <c r="AGC1" s="215"/>
      <c r="AGD1" s="215"/>
      <c r="AGE1" s="215"/>
      <c r="AGF1" s="215"/>
      <c r="AGG1" s="215"/>
      <c r="AGH1" s="215"/>
      <c r="AGI1" s="215"/>
      <c r="AGJ1" s="215"/>
      <c r="AGK1" s="215"/>
      <c r="AGL1" s="215"/>
      <c r="AGM1" s="215"/>
      <c r="AGN1" s="215"/>
      <c r="AGO1" s="215"/>
      <c r="AGP1" s="215"/>
      <c r="AGQ1" s="215"/>
      <c r="AGR1" s="215"/>
      <c r="AGS1" s="215"/>
      <c r="AGT1" s="215"/>
      <c r="AGU1" s="215"/>
      <c r="AGV1" s="215"/>
      <c r="AGW1" s="215"/>
      <c r="AGX1" s="215"/>
      <c r="AGY1" s="215"/>
      <c r="AGZ1" s="215"/>
      <c r="AHA1" s="215"/>
      <c r="AHB1" s="215"/>
      <c r="AHC1" s="215"/>
      <c r="AHD1" s="215"/>
      <c r="AHE1" s="215"/>
      <c r="AHF1" s="215"/>
      <c r="AHG1" s="215"/>
      <c r="AHH1" s="215"/>
      <c r="AHI1" s="215"/>
      <c r="AHJ1" s="215"/>
      <c r="AHK1" s="215"/>
      <c r="AHL1" s="215"/>
      <c r="AHM1" s="215"/>
      <c r="AHN1" s="215"/>
      <c r="AHO1" s="215"/>
      <c r="AHP1" s="215"/>
      <c r="AHQ1" s="215"/>
      <c r="AHR1" s="215"/>
      <c r="AHS1" s="215"/>
      <c r="AHT1" s="215"/>
      <c r="AHU1" s="215"/>
      <c r="AHV1" s="215"/>
      <c r="AHW1" s="215"/>
      <c r="AHX1" s="215"/>
      <c r="AHY1" s="215"/>
      <c r="AHZ1" s="215"/>
      <c r="AIA1" s="215"/>
      <c r="AIB1" s="215"/>
      <c r="AIC1" s="215"/>
      <c r="AID1" s="215"/>
      <c r="AIE1" s="215"/>
      <c r="AIF1" s="215"/>
      <c r="AIG1" s="215"/>
      <c r="AIH1" s="215"/>
      <c r="AII1" s="215"/>
      <c r="AIJ1" s="215"/>
      <c r="AIK1" s="215"/>
      <c r="AIL1" s="215"/>
      <c r="AIM1" s="215"/>
      <c r="AIN1" s="215"/>
      <c r="AIO1" s="215"/>
      <c r="AIP1" s="215"/>
      <c r="AIQ1" s="215"/>
      <c r="AIR1" s="215"/>
      <c r="AIS1" s="215"/>
      <c r="AIT1" s="215"/>
      <c r="AIU1" s="215"/>
      <c r="AIV1" s="215"/>
      <c r="AIW1" s="215"/>
      <c r="AIX1" s="215"/>
      <c r="AIY1" s="215"/>
      <c r="AIZ1" s="215"/>
      <c r="AJA1" s="215"/>
      <c r="AJB1" s="215"/>
      <c r="AJC1" s="215"/>
      <c r="AJD1" s="215"/>
      <c r="AJE1" s="215"/>
      <c r="AJF1" s="215"/>
      <c r="AJG1" s="215"/>
      <c r="AJH1" s="215"/>
      <c r="AJI1" s="215"/>
      <c r="AJJ1" s="215"/>
      <c r="AJK1" s="215"/>
      <c r="AJL1" s="215"/>
      <c r="AJM1" s="215"/>
      <c r="AJN1" s="215"/>
      <c r="AJO1" s="215"/>
      <c r="AJP1" s="215"/>
      <c r="AJQ1" s="215"/>
      <c r="AJR1" s="215"/>
      <c r="AJS1" s="215"/>
      <c r="AJT1" s="215"/>
      <c r="AJU1" s="215"/>
      <c r="AJV1" s="215"/>
      <c r="AJW1" s="215"/>
      <c r="AJX1" s="215"/>
      <c r="AJY1" s="215"/>
      <c r="AJZ1" s="215"/>
      <c r="AKA1" s="215"/>
      <c r="AKB1" s="215"/>
      <c r="AKC1" s="215"/>
      <c r="AKD1" s="215"/>
      <c r="AKE1" s="215"/>
      <c r="AKF1" s="215"/>
      <c r="AKG1" s="215"/>
      <c r="AKH1" s="215"/>
      <c r="AKI1" s="215"/>
      <c r="AKJ1" s="215"/>
      <c r="AKK1" s="215"/>
      <c r="AKL1" s="215"/>
      <c r="AKM1" s="215"/>
      <c r="AKN1" s="215"/>
      <c r="AKO1" s="215"/>
      <c r="AKP1" s="215"/>
      <c r="AKQ1" s="215"/>
      <c r="AKR1" s="215"/>
      <c r="AKS1" s="215"/>
      <c r="AKT1" s="215"/>
      <c r="AKU1" s="215"/>
      <c r="AKV1" s="215"/>
      <c r="AKW1" s="215"/>
      <c r="AKX1" s="215"/>
      <c r="AKY1" s="215"/>
      <c r="AKZ1" s="215"/>
      <c r="ALA1" s="215"/>
      <c r="ALB1" s="215"/>
      <c r="ALC1" s="215"/>
      <c r="ALD1" s="215"/>
      <c r="ALE1" s="215"/>
      <c r="ALF1" s="215"/>
      <c r="ALG1" s="215"/>
      <c r="ALH1" s="215"/>
      <c r="ALI1" s="215"/>
      <c r="ALJ1" s="215"/>
      <c r="ALK1" s="215"/>
      <c r="ALL1" s="215"/>
      <c r="ALM1" s="215"/>
      <c r="ALN1" s="215"/>
      <c r="ALO1" s="215"/>
      <c r="ALP1" s="215"/>
      <c r="ALQ1" s="215"/>
      <c r="ALR1" s="215"/>
      <c r="ALS1" s="215"/>
      <c r="ALT1" s="215"/>
      <c r="ALU1" s="215"/>
      <c r="ALV1" s="215"/>
      <c r="ALW1" s="215"/>
      <c r="ALX1" s="215"/>
      <c r="ALY1" s="215"/>
      <c r="ALZ1" s="215"/>
      <c r="AMA1" s="215"/>
      <c r="AMB1" s="215"/>
      <c r="AMC1" s="215"/>
      <c r="AMD1" s="215"/>
      <c r="AME1" s="215"/>
      <c r="AMF1" s="215"/>
      <c r="AMG1" s="215"/>
      <c r="AMH1" s="215"/>
      <c r="AMI1" s="215"/>
      <c r="AMJ1" s="215"/>
    </row>
    <row r="2" spans="1:1024" ht="22.15" customHeight="1" x14ac:dyDescent="0.25">
      <c r="A2" s="215"/>
      <c r="B2" s="904" t="s">
        <v>1158</v>
      </c>
      <c r="C2" s="904"/>
      <c r="D2" s="904"/>
      <c r="E2" s="904"/>
      <c r="F2" s="904"/>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c r="HQ2" s="215"/>
      <c r="HR2" s="215"/>
      <c r="HS2" s="215"/>
      <c r="HT2" s="215"/>
      <c r="HU2" s="215"/>
      <c r="HV2" s="215"/>
      <c r="HW2" s="215"/>
      <c r="HX2" s="215"/>
      <c r="HY2" s="215"/>
      <c r="HZ2" s="215"/>
      <c r="IA2" s="215"/>
      <c r="IB2" s="215"/>
      <c r="IC2" s="215"/>
      <c r="ID2" s="215"/>
      <c r="IE2" s="215"/>
      <c r="IF2" s="215"/>
      <c r="IG2" s="215"/>
      <c r="IH2" s="215"/>
      <c r="II2" s="215"/>
      <c r="IJ2" s="215"/>
      <c r="IK2" s="215"/>
      <c r="IL2" s="215"/>
      <c r="IM2" s="215"/>
      <c r="IN2" s="215"/>
      <c r="IO2" s="215"/>
      <c r="IP2" s="215"/>
      <c r="IQ2" s="215"/>
      <c r="IR2" s="215"/>
      <c r="IS2" s="215"/>
      <c r="IT2" s="215"/>
      <c r="IU2" s="215"/>
      <c r="IV2" s="215"/>
      <c r="IW2" s="215"/>
      <c r="IX2" s="215"/>
      <c r="IY2" s="215"/>
      <c r="IZ2" s="215"/>
      <c r="JA2" s="215"/>
      <c r="JB2" s="215"/>
      <c r="JC2" s="215"/>
      <c r="JD2" s="215"/>
      <c r="JE2" s="215"/>
      <c r="JF2" s="215"/>
      <c r="JG2" s="215"/>
      <c r="JH2" s="215"/>
      <c r="JI2" s="215"/>
      <c r="JJ2" s="215"/>
      <c r="JK2" s="215"/>
      <c r="JL2" s="215"/>
      <c r="JM2" s="215"/>
      <c r="JN2" s="215"/>
      <c r="JO2" s="215"/>
      <c r="JP2" s="215"/>
      <c r="JQ2" s="215"/>
      <c r="JR2" s="215"/>
      <c r="JS2" s="215"/>
      <c r="JT2" s="215"/>
      <c r="JU2" s="215"/>
      <c r="JV2" s="215"/>
      <c r="JW2" s="215"/>
      <c r="JX2" s="215"/>
      <c r="JY2" s="215"/>
      <c r="JZ2" s="215"/>
      <c r="KA2" s="215"/>
      <c r="KB2" s="215"/>
      <c r="KC2" s="215"/>
      <c r="KD2" s="215"/>
      <c r="KE2" s="215"/>
      <c r="KF2" s="215"/>
      <c r="KG2" s="215"/>
      <c r="KH2" s="215"/>
      <c r="KI2" s="215"/>
      <c r="KJ2" s="215"/>
      <c r="KK2" s="215"/>
      <c r="KL2" s="215"/>
      <c r="KM2" s="215"/>
      <c r="KN2" s="215"/>
      <c r="KO2" s="215"/>
      <c r="KP2" s="215"/>
      <c r="KQ2" s="215"/>
      <c r="KR2" s="215"/>
      <c r="KS2" s="215"/>
      <c r="KT2" s="215"/>
      <c r="KU2" s="215"/>
      <c r="KV2" s="215"/>
      <c r="KW2" s="215"/>
      <c r="KX2" s="215"/>
      <c r="KY2" s="215"/>
      <c r="KZ2" s="215"/>
      <c r="LA2" s="215"/>
      <c r="LB2" s="215"/>
      <c r="LC2" s="215"/>
      <c r="LD2" s="215"/>
      <c r="LE2" s="215"/>
      <c r="LF2" s="215"/>
      <c r="LG2" s="215"/>
      <c r="LH2" s="215"/>
      <c r="LI2" s="215"/>
      <c r="LJ2" s="215"/>
      <c r="LK2" s="215"/>
      <c r="LL2" s="215"/>
      <c r="LM2" s="215"/>
      <c r="LN2" s="215"/>
      <c r="LO2" s="215"/>
      <c r="LP2" s="215"/>
      <c r="LQ2" s="215"/>
      <c r="LR2" s="215"/>
      <c r="LS2" s="215"/>
      <c r="LT2" s="215"/>
      <c r="LU2" s="215"/>
      <c r="LV2" s="215"/>
      <c r="LW2" s="215"/>
      <c r="LX2" s="215"/>
      <c r="LY2" s="215"/>
      <c r="LZ2" s="215"/>
      <c r="MA2" s="215"/>
      <c r="MB2" s="215"/>
      <c r="MC2" s="215"/>
      <c r="MD2" s="215"/>
      <c r="ME2" s="215"/>
      <c r="MF2" s="215"/>
      <c r="MG2" s="215"/>
      <c r="MH2" s="215"/>
      <c r="MI2" s="215"/>
      <c r="MJ2" s="215"/>
      <c r="MK2" s="215"/>
      <c r="ML2" s="215"/>
      <c r="MM2" s="215"/>
      <c r="MN2" s="215"/>
      <c r="MO2" s="215"/>
      <c r="MP2" s="215"/>
      <c r="MQ2" s="215"/>
      <c r="MR2" s="215"/>
      <c r="MS2" s="215"/>
      <c r="MT2" s="215"/>
      <c r="MU2" s="215"/>
      <c r="MV2" s="215"/>
      <c r="MW2" s="215"/>
      <c r="MX2" s="215"/>
      <c r="MY2" s="215"/>
      <c r="MZ2" s="215"/>
      <c r="NA2" s="215"/>
      <c r="NB2" s="215"/>
      <c r="NC2" s="215"/>
      <c r="ND2" s="215"/>
      <c r="NE2" s="215"/>
      <c r="NF2" s="215"/>
      <c r="NG2" s="215"/>
      <c r="NH2" s="215"/>
      <c r="NI2" s="215"/>
      <c r="NJ2" s="215"/>
      <c r="NK2" s="215"/>
      <c r="NL2" s="215"/>
      <c r="NM2" s="215"/>
      <c r="NN2" s="215"/>
      <c r="NO2" s="215"/>
      <c r="NP2" s="215"/>
      <c r="NQ2" s="215"/>
      <c r="NR2" s="215"/>
      <c r="NS2" s="215"/>
      <c r="NT2" s="215"/>
      <c r="NU2" s="215"/>
      <c r="NV2" s="215"/>
      <c r="NW2" s="215"/>
      <c r="NX2" s="215"/>
      <c r="NY2" s="215"/>
      <c r="NZ2" s="215"/>
      <c r="OA2" s="215"/>
      <c r="OB2" s="215"/>
      <c r="OC2" s="215"/>
      <c r="OD2" s="215"/>
      <c r="OE2" s="215"/>
      <c r="OF2" s="215"/>
      <c r="OG2" s="215"/>
      <c r="OH2" s="215"/>
      <c r="OI2" s="215"/>
      <c r="OJ2" s="215"/>
      <c r="OK2" s="215"/>
      <c r="OL2" s="215"/>
      <c r="OM2" s="215"/>
      <c r="ON2" s="215"/>
      <c r="OO2" s="215"/>
      <c r="OP2" s="215"/>
      <c r="OQ2" s="215"/>
      <c r="OR2" s="215"/>
      <c r="OS2" s="215"/>
      <c r="OT2" s="215"/>
      <c r="OU2" s="215"/>
      <c r="OV2" s="215"/>
      <c r="OW2" s="215"/>
      <c r="OX2" s="215"/>
      <c r="OY2" s="215"/>
      <c r="OZ2" s="215"/>
      <c r="PA2" s="215"/>
      <c r="PB2" s="215"/>
      <c r="PC2" s="215"/>
      <c r="PD2" s="215"/>
      <c r="PE2" s="215"/>
      <c r="PF2" s="215"/>
      <c r="PG2" s="215"/>
      <c r="PH2" s="215"/>
      <c r="PI2" s="215"/>
      <c r="PJ2" s="215"/>
      <c r="PK2" s="215"/>
      <c r="PL2" s="215"/>
      <c r="PM2" s="215"/>
      <c r="PN2" s="215"/>
      <c r="PO2" s="215"/>
      <c r="PP2" s="215"/>
      <c r="PQ2" s="215"/>
      <c r="PR2" s="215"/>
      <c r="PS2" s="215"/>
      <c r="PT2" s="215"/>
      <c r="PU2" s="215"/>
      <c r="PV2" s="215"/>
      <c r="PW2" s="215"/>
      <c r="PX2" s="215"/>
      <c r="PY2" s="215"/>
      <c r="PZ2" s="215"/>
      <c r="QA2" s="215"/>
      <c r="QB2" s="215"/>
      <c r="QC2" s="215"/>
      <c r="QD2" s="215"/>
      <c r="QE2" s="215"/>
      <c r="QF2" s="215"/>
      <c r="QG2" s="215"/>
      <c r="QH2" s="215"/>
      <c r="QI2" s="215"/>
      <c r="QJ2" s="215"/>
      <c r="QK2" s="215"/>
      <c r="QL2" s="215"/>
      <c r="QM2" s="215"/>
      <c r="QN2" s="215"/>
      <c r="QO2" s="215"/>
      <c r="QP2" s="215"/>
      <c r="QQ2" s="215"/>
      <c r="QR2" s="215"/>
      <c r="QS2" s="215"/>
      <c r="QT2" s="215"/>
      <c r="QU2" s="215"/>
      <c r="QV2" s="215"/>
      <c r="QW2" s="215"/>
      <c r="QX2" s="215"/>
      <c r="QY2" s="215"/>
      <c r="QZ2" s="215"/>
      <c r="RA2" s="215"/>
      <c r="RB2" s="215"/>
      <c r="RC2" s="215"/>
      <c r="RD2" s="215"/>
      <c r="RE2" s="215"/>
      <c r="RF2" s="215"/>
      <c r="RG2" s="215"/>
      <c r="RH2" s="215"/>
      <c r="RI2" s="215"/>
      <c r="RJ2" s="215"/>
      <c r="RK2" s="215"/>
      <c r="RL2" s="215"/>
      <c r="RM2" s="215"/>
      <c r="RN2" s="215"/>
      <c r="RO2" s="215"/>
      <c r="RP2" s="215"/>
      <c r="RQ2" s="215"/>
      <c r="RR2" s="215"/>
      <c r="RS2" s="215"/>
      <c r="RT2" s="215"/>
      <c r="RU2" s="215"/>
      <c r="RV2" s="215"/>
      <c r="RW2" s="215"/>
      <c r="RX2" s="215"/>
      <c r="RY2" s="215"/>
      <c r="RZ2" s="215"/>
      <c r="SA2" s="215"/>
      <c r="SB2" s="215"/>
      <c r="SC2" s="215"/>
      <c r="SD2" s="215"/>
      <c r="SE2" s="215"/>
      <c r="SF2" s="215"/>
      <c r="SG2" s="215"/>
      <c r="SH2" s="215"/>
      <c r="SI2" s="215"/>
      <c r="SJ2" s="215"/>
      <c r="SK2" s="215"/>
      <c r="SL2" s="215"/>
      <c r="SM2" s="215"/>
      <c r="SN2" s="215"/>
      <c r="SO2" s="215"/>
      <c r="SP2" s="215"/>
      <c r="SQ2" s="215"/>
      <c r="SR2" s="215"/>
      <c r="SS2" s="215"/>
      <c r="ST2" s="215"/>
      <c r="SU2" s="215"/>
      <c r="SV2" s="215"/>
      <c r="SW2" s="215"/>
      <c r="SX2" s="215"/>
      <c r="SY2" s="215"/>
      <c r="SZ2" s="215"/>
      <c r="TA2" s="215"/>
      <c r="TB2" s="215"/>
      <c r="TC2" s="215"/>
      <c r="TD2" s="215"/>
      <c r="TE2" s="215"/>
      <c r="TF2" s="215"/>
      <c r="TG2" s="215"/>
      <c r="TH2" s="215"/>
      <c r="TI2" s="215"/>
      <c r="TJ2" s="215"/>
      <c r="TK2" s="215"/>
      <c r="TL2" s="215"/>
      <c r="TM2" s="215"/>
      <c r="TN2" s="215"/>
      <c r="TO2" s="215"/>
      <c r="TP2" s="215"/>
      <c r="TQ2" s="215"/>
      <c r="TR2" s="215"/>
      <c r="TS2" s="215"/>
      <c r="TT2" s="215"/>
      <c r="TU2" s="215"/>
      <c r="TV2" s="215"/>
      <c r="TW2" s="215"/>
      <c r="TX2" s="215"/>
      <c r="TY2" s="215"/>
      <c r="TZ2" s="215"/>
      <c r="UA2" s="215"/>
      <c r="UB2" s="215"/>
      <c r="UC2" s="215"/>
      <c r="UD2" s="215"/>
      <c r="UE2" s="215"/>
      <c r="UF2" s="215"/>
      <c r="UG2" s="215"/>
      <c r="UH2" s="215"/>
      <c r="UI2" s="215"/>
      <c r="UJ2" s="215"/>
      <c r="UK2" s="215"/>
      <c r="UL2" s="215"/>
      <c r="UM2" s="215"/>
      <c r="UN2" s="215"/>
      <c r="UO2" s="215"/>
      <c r="UP2" s="215"/>
      <c r="UQ2" s="215"/>
      <c r="UR2" s="215"/>
      <c r="US2" s="215"/>
      <c r="UT2" s="215"/>
      <c r="UU2" s="215"/>
      <c r="UV2" s="215"/>
      <c r="UW2" s="215"/>
      <c r="UX2" s="215"/>
      <c r="UY2" s="215"/>
      <c r="UZ2" s="215"/>
      <c r="VA2" s="215"/>
      <c r="VB2" s="215"/>
      <c r="VC2" s="215"/>
      <c r="VD2" s="215"/>
      <c r="VE2" s="215"/>
      <c r="VF2" s="215"/>
      <c r="VG2" s="215"/>
      <c r="VH2" s="215"/>
      <c r="VI2" s="215"/>
      <c r="VJ2" s="215"/>
      <c r="VK2" s="215"/>
      <c r="VL2" s="215"/>
      <c r="VM2" s="215"/>
      <c r="VN2" s="215"/>
      <c r="VO2" s="215"/>
      <c r="VP2" s="215"/>
      <c r="VQ2" s="215"/>
      <c r="VR2" s="215"/>
      <c r="VS2" s="215"/>
      <c r="VT2" s="215"/>
      <c r="VU2" s="215"/>
      <c r="VV2" s="215"/>
      <c r="VW2" s="215"/>
      <c r="VX2" s="215"/>
      <c r="VY2" s="215"/>
      <c r="VZ2" s="215"/>
      <c r="WA2" s="215"/>
      <c r="WB2" s="215"/>
      <c r="WC2" s="215"/>
      <c r="WD2" s="215"/>
      <c r="WE2" s="215"/>
      <c r="WF2" s="215"/>
      <c r="WG2" s="215"/>
      <c r="WH2" s="215"/>
      <c r="WI2" s="215"/>
      <c r="WJ2" s="215"/>
      <c r="WK2" s="215"/>
      <c r="WL2" s="215"/>
      <c r="WM2" s="215"/>
      <c r="WN2" s="215"/>
      <c r="WO2" s="215"/>
      <c r="WP2" s="215"/>
      <c r="WQ2" s="215"/>
      <c r="WR2" s="215"/>
      <c r="WS2" s="215"/>
      <c r="WT2" s="215"/>
      <c r="WU2" s="215"/>
      <c r="WV2" s="215"/>
      <c r="WW2" s="215"/>
      <c r="WX2" s="215"/>
      <c r="WY2" s="215"/>
      <c r="WZ2" s="215"/>
      <c r="XA2" s="215"/>
      <c r="XB2" s="215"/>
      <c r="XC2" s="215"/>
      <c r="XD2" s="215"/>
      <c r="XE2" s="215"/>
      <c r="XF2" s="215"/>
      <c r="XG2" s="215"/>
      <c r="XH2" s="215"/>
      <c r="XI2" s="215"/>
      <c r="XJ2" s="215"/>
      <c r="XK2" s="215"/>
      <c r="XL2" s="215"/>
      <c r="XM2" s="215"/>
      <c r="XN2" s="215"/>
      <c r="XO2" s="215"/>
      <c r="XP2" s="215"/>
      <c r="XQ2" s="215"/>
      <c r="XR2" s="215"/>
      <c r="XS2" s="215"/>
      <c r="XT2" s="215"/>
      <c r="XU2" s="215"/>
      <c r="XV2" s="215"/>
      <c r="XW2" s="215"/>
      <c r="XX2" s="215"/>
      <c r="XY2" s="215"/>
      <c r="XZ2" s="215"/>
      <c r="YA2" s="215"/>
      <c r="YB2" s="215"/>
      <c r="YC2" s="215"/>
      <c r="YD2" s="215"/>
      <c r="YE2" s="215"/>
      <c r="YF2" s="215"/>
      <c r="YG2" s="215"/>
      <c r="YH2" s="215"/>
      <c r="YI2" s="215"/>
      <c r="YJ2" s="215"/>
      <c r="YK2" s="215"/>
      <c r="YL2" s="215"/>
      <c r="YM2" s="215"/>
      <c r="YN2" s="215"/>
      <c r="YO2" s="215"/>
      <c r="YP2" s="215"/>
      <c r="YQ2" s="215"/>
      <c r="YR2" s="215"/>
      <c r="YS2" s="215"/>
      <c r="YT2" s="215"/>
      <c r="YU2" s="215"/>
      <c r="YV2" s="215"/>
      <c r="YW2" s="215"/>
      <c r="YX2" s="215"/>
      <c r="YY2" s="215"/>
      <c r="YZ2" s="215"/>
      <c r="ZA2" s="215"/>
      <c r="ZB2" s="215"/>
      <c r="ZC2" s="215"/>
      <c r="ZD2" s="215"/>
      <c r="ZE2" s="215"/>
      <c r="ZF2" s="215"/>
      <c r="ZG2" s="215"/>
      <c r="ZH2" s="215"/>
      <c r="ZI2" s="215"/>
      <c r="ZJ2" s="215"/>
      <c r="ZK2" s="215"/>
      <c r="ZL2" s="215"/>
      <c r="ZM2" s="215"/>
      <c r="ZN2" s="215"/>
      <c r="ZO2" s="215"/>
      <c r="ZP2" s="215"/>
      <c r="ZQ2" s="215"/>
      <c r="ZR2" s="215"/>
      <c r="ZS2" s="215"/>
      <c r="ZT2" s="215"/>
      <c r="ZU2" s="215"/>
      <c r="ZV2" s="215"/>
      <c r="ZW2" s="215"/>
      <c r="ZX2" s="215"/>
      <c r="ZY2" s="215"/>
      <c r="ZZ2" s="215"/>
      <c r="AAA2" s="215"/>
      <c r="AAB2" s="215"/>
      <c r="AAC2" s="215"/>
      <c r="AAD2" s="215"/>
      <c r="AAE2" s="215"/>
      <c r="AAF2" s="215"/>
      <c r="AAG2" s="215"/>
      <c r="AAH2" s="215"/>
      <c r="AAI2" s="215"/>
      <c r="AAJ2" s="215"/>
      <c r="AAK2" s="215"/>
      <c r="AAL2" s="215"/>
      <c r="AAM2" s="215"/>
      <c r="AAN2" s="215"/>
      <c r="AAO2" s="215"/>
      <c r="AAP2" s="215"/>
      <c r="AAQ2" s="215"/>
      <c r="AAR2" s="215"/>
      <c r="AAS2" s="215"/>
      <c r="AAT2" s="215"/>
      <c r="AAU2" s="215"/>
      <c r="AAV2" s="215"/>
      <c r="AAW2" s="215"/>
      <c r="AAX2" s="215"/>
      <c r="AAY2" s="215"/>
      <c r="AAZ2" s="215"/>
      <c r="ABA2" s="215"/>
      <c r="ABB2" s="215"/>
      <c r="ABC2" s="215"/>
      <c r="ABD2" s="215"/>
      <c r="ABE2" s="215"/>
      <c r="ABF2" s="215"/>
      <c r="ABG2" s="215"/>
      <c r="ABH2" s="215"/>
      <c r="ABI2" s="215"/>
      <c r="ABJ2" s="215"/>
      <c r="ABK2" s="215"/>
      <c r="ABL2" s="215"/>
      <c r="ABM2" s="215"/>
      <c r="ABN2" s="215"/>
      <c r="ABO2" s="215"/>
      <c r="ABP2" s="215"/>
      <c r="ABQ2" s="215"/>
      <c r="ABR2" s="215"/>
      <c r="ABS2" s="215"/>
      <c r="ABT2" s="215"/>
      <c r="ABU2" s="215"/>
      <c r="ABV2" s="215"/>
      <c r="ABW2" s="215"/>
      <c r="ABX2" s="215"/>
      <c r="ABY2" s="215"/>
      <c r="ABZ2" s="215"/>
      <c r="ACA2" s="215"/>
      <c r="ACB2" s="215"/>
      <c r="ACC2" s="215"/>
      <c r="ACD2" s="215"/>
      <c r="ACE2" s="215"/>
      <c r="ACF2" s="215"/>
      <c r="ACG2" s="215"/>
      <c r="ACH2" s="215"/>
      <c r="ACI2" s="215"/>
      <c r="ACJ2" s="215"/>
      <c r="ACK2" s="215"/>
      <c r="ACL2" s="215"/>
      <c r="ACM2" s="215"/>
      <c r="ACN2" s="215"/>
      <c r="ACO2" s="215"/>
      <c r="ACP2" s="215"/>
      <c r="ACQ2" s="215"/>
      <c r="ACR2" s="215"/>
      <c r="ACS2" s="215"/>
      <c r="ACT2" s="215"/>
      <c r="ACU2" s="215"/>
      <c r="ACV2" s="215"/>
      <c r="ACW2" s="215"/>
      <c r="ACX2" s="215"/>
      <c r="ACY2" s="215"/>
      <c r="ACZ2" s="215"/>
      <c r="ADA2" s="215"/>
      <c r="ADB2" s="215"/>
      <c r="ADC2" s="215"/>
      <c r="ADD2" s="215"/>
      <c r="ADE2" s="215"/>
      <c r="ADF2" s="215"/>
      <c r="ADG2" s="215"/>
      <c r="ADH2" s="215"/>
      <c r="ADI2" s="215"/>
      <c r="ADJ2" s="215"/>
      <c r="ADK2" s="215"/>
      <c r="ADL2" s="215"/>
      <c r="ADM2" s="215"/>
      <c r="ADN2" s="215"/>
      <c r="ADO2" s="215"/>
      <c r="ADP2" s="215"/>
      <c r="ADQ2" s="215"/>
      <c r="ADR2" s="215"/>
      <c r="ADS2" s="215"/>
      <c r="ADT2" s="215"/>
      <c r="ADU2" s="215"/>
      <c r="ADV2" s="215"/>
      <c r="ADW2" s="215"/>
      <c r="ADX2" s="215"/>
      <c r="ADY2" s="215"/>
      <c r="ADZ2" s="215"/>
      <c r="AEA2" s="215"/>
      <c r="AEB2" s="215"/>
      <c r="AEC2" s="215"/>
      <c r="AED2" s="215"/>
      <c r="AEE2" s="215"/>
      <c r="AEF2" s="215"/>
      <c r="AEG2" s="215"/>
      <c r="AEH2" s="215"/>
      <c r="AEI2" s="215"/>
      <c r="AEJ2" s="215"/>
      <c r="AEK2" s="215"/>
      <c r="AEL2" s="215"/>
      <c r="AEM2" s="215"/>
      <c r="AEN2" s="215"/>
      <c r="AEO2" s="215"/>
      <c r="AEP2" s="215"/>
      <c r="AEQ2" s="215"/>
      <c r="AER2" s="215"/>
      <c r="AES2" s="215"/>
      <c r="AET2" s="215"/>
      <c r="AEU2" s="215"/>
      <c r="AEV2" s="215"/>
      <c r="AEW2" s="215"/>
      <c r="AEX2" s="215"/>
      <c r="AEY2" s="215"/>
      <c r="AEZ2" s="215"/>
      <c r="AFA2" s="215"/>
      <c r="AFB2" s="215"/>
      <c r="AFC2" s="215"/>
      <c r="AFD2" s="215"/>
      <c r="AFE2" s="215"/>
      <c r="AFF2" s="215"/>
      <c r="AFG2" s="215"/>
      <c r="AFH2" s="215"/>
      <c r="AFI2" s="215"/>
      <c r="AFJ2" s="215"/>
      <c r="AFK2" s="215"/>
      <c r="AFL2" s="215"/>
      <c r="AFM2" s="215"/>
      <c r="AFN2" s="215"/>
      <c r="AFO2" s="215"/>
      <c r="AFP2" s="215"/>
      <c r="AFQ2" s="215"/>
      <c r="AFR2" s="215"/>
      <c r="AFS2" s="215"/>
      <c r="AFT2" s="215"/>
      <c r="AFU2" s="215"/>
      <c r="AFV2" s="215"/>
      <c r="AFW2" s="215"/>
      <c r="AFX2" s="215"/>
      <c r="AFY2" s="215"/>
      <c r="AFZ2" s="215"/>
      <c r="AGA2" s="215"/>
      <c r="AGB2" s="215"/>
      <c r="AGC2" s="215"/>
      <c r="AGD2" s="215"/>
      <c r="AGE2" s="215"/>
      <c r="AGF2" s="215"/>
      <c r="AGG2" s="215"/>
      <c r="AGH2" s="215"/>
      <c r="AGI2" s="215"/>
      <c r="AGJ2" s="215"/>
      <c r="AGK2" s="215"/>
      <c r="AGL2" s="215"/>
      <c r="AGM2" s="215"/>
      <c r="AGN2" s="215"/>
      <c r="AGO2" s="215"/>
      <c r="AGP2" s="215"/>
      <c r="AGQ2" s="215"/>
      <c r="AGR2" s="215"/>
      <c r="AGS2" s="215"/>
      <c r="AGT2" s="215"/>
      <c r="AGU2" s="215"/>
      <c r="AGV2" s="215"/>
      <c r="AGW2" s="215"/>
      <c r="AGX2" s="215"/>
      <c r="AGY2" s="215"/>
      <c r="AGZ2" s="215"/>
      <c r="AHA2" s="215"/>
      <c r="AHB2" s="215"/>
      <c r="AHC2" s="215"/>
      <c r="AHD2" s="215"/>
      <c r="AHE2" s="215"/>
      <c r="AHF2" s="215"/>
      <c r="AHG2" s="215"/>
      <c r="AHH2" s="215"/>
      <c r="AHI2" s="215"/>
      <c r="AHJ2" s="215"/>
      <c r="AHK2" s="215"/>
      <c r="AHL2" s="215"/>
      <c r="AHM2" s="215"/>
      <c r="AHN2" s="215"/>
      <c r="AHO2" s="215"/>
      <c r="AHP2" s="215"/>
      <c r="AHQ2" s="215"/>
      <c r="AHR2" s="215"/>
      <c r="AHS2" s="215"/>
      <c r="AHT2" s="215"/>
      <c r="AHU2" s="215"/>
      <c r="AHV2" s="215"/>
      <c r="AHW2" s="215"/>
      <c r="AHX2" s="215"/>
      <c r="AHY2" s="215"/>
      <c r="AHZ2" s="215"/>
      <c r="AIA2" s="215"/>
      <c r="AIB2" s="215"/>
      <c r="AIC2" s="215"/>
      <c r="AID2" s="215"/>
      <c r="AIE2" s="215"/>
      <c r="AIF2" s="215"/>
      <c r="AIG2" s="215"/>
      <c r="AIH2" s="215"/>
      <c r="AII2" s="215"/>
      <c r="AIJ2" s="215"/>
      <c r="AIK2" s="215"/>
      <c r="AIL2" s="215"/>
      <c r="AIM2" s="215"/>
      <c r="AIN2" s="215"/>
      <c r="AIO2" s="215"/>
      <c r="AIP2" s="215"/>
      <c r="AIQ2" s="215"/>
      <c r="AIR2" s="215"/>
      <c r="AIS2" s="215"/>
      <c r="AIT2" s="215"/>
      <c r="AIU2" s="215"/>
      <c r="AIV2" s="215"/>
      <c r="AIW2" s="215"/>
      <c r="AIX2" s="215"/>
      <c r="AIY2" s="215"/>
      <c r="AIZ2" s="215"/>
      <c r="AJA2" s="215"/>
      <c r="AJB2" s="215"/>
      <c r="AJC2" s="215"/>
      <c r="AJD2" s="215"/>
      <c r="AJE2" s="215"/>
      <c r="AJF2" s="215"/>
      <c r="AJG2" s="215"/>
      <c r="AJH2" s="215"/>
      <c r="AJI2" s="215"/>
      <c r="AJJ2" s="215"/>
      <c r="AJK2" s="215"/>
      <c r="AJL2" s="215"/>
      <c r="AJM2" s="215"/>
      <c r="AJN2" s="215"/>
      <c r="AJO2" s="215"/>
      <c r="AJP2" s="215"/>
      <c r="AJQ2" s="215"/>
      <c r="AJR2" s="215"/>
      <c r="AJS2" s="215"/>
      <c r="AJT2" s="215"/>
      <c r="AJU2" s="215"/>
      <c r="AJV2" s="215"/>
      <c r="AJW2" s="215"/>
      <c r="AJX2" s="215"/>
      <c r="AJY2" s="215"/>
      <c r="AJZ2" s="215"/>
      <c r="AKA2" s="215"/>
      <c r="AKB2" s="215"/>
      <c r="AKC2" s="215"/>
      <c r="AKD2" s="215"/>
      <c r="AKE2" s="215"/>
      <c r="AKF2" s="215"/>
      <c r="AKG2" s="215"/>
      <c r="AKH2" s="215"/>
      <c r="AKI2" s="215"/>
      <c r="AKJ2" s="215"/>
      <c r="AKK2" s="215"/>
      <c r="AKL2" s="215"/>
      <c r="AKM2" s="215"/>
      <c r="AKN2" s="215"/>
      <c r="AKO2" s="215"/>
      <c r="AKP2" s="215"/>
      <c r="AKQ2" s="215"/>
      <c r="AKR2" s="215"/>
      <c r="AKS2" s="215"/>
      <c r="AKT2" s="215"/>
      <c r="AKU2" s="215"/>
      <c r="AKV2" s="215"/>
      <c r="AKW2" s="215"/>
      <c r="AKX2" s="215"/>
      <c r="AKY2" s="215"/>
      <c r="AKZ2" s="215"/>
      <c r="ALA2" s="215"/>
      <c r="ALB2" s="215"/>
      <c r="ALC2" s="215"/>
      <c r="ALD2" s="215"/>
      <c r="ALE2" s="215"/>
      <c r="ALF2" s="215"/>
      <c r="ALG2" s="215"/>
      <c r="ALH2" s="215"/>
      <c r="ALI2" s="215"/>
      <c r="ALJ2" s="215"/>
      <c r="ALK2" s="215"/>
      <c r="ALL2" s="215"/>
      <c r="ALM2" s="215"/>
      <c r="ALN2" s="215"/>
      <c r="ALO2" s="215"/>
      <c r="ALP2" s="215"/>
      <c r="ALQ2" s="215"/>
      <c r="ALR2" s="215"/>
      <c r="ALS2" s="215"/>
      <c r="ALT2" s="215"/>
      <c r="ALU2" s="215"/>
      <c r="ALV2" s="215"/>
      <c r="ALW2" s="215"/>
      <c r="ALX2" s="215"/>
      <c r="ALY2" s="215"/>
      <c r="ALZ2" s="215"/>
      <c r="AMA2" s="215"/>
      <c r="AMB2" s="215"/>
      <c r="AMC2" s="215"/>
      <c r="AMD2" s="215"/>
      <c r="AME2" s="215"/>
      <c r="AMF2" s="215"/>
      <c r="AMG2" s="215"/>
      <c r="AMH2" s="215"/>
      <c r="AMI2" s="215"/>
      <c r="AMJ2" s="215"/>
    </row>
    <row r="3" spans="1:1024" s="217" customFormat="1" x14ac:dyDescent="0.25"/>
    <row r="4" spans="1:1024" s="217" customFormat="1" x14ac:dyDescent="0.25">
      <c r="B4" s="218" t="s">
        <v>196</v>
      </c>
      <c r="C4" s="899" t="s">
        <v>602</v>
      </c>
      <c r="D4" s="899"/>
      <c r="E4" s="899"/>
      <c r="F4" s="899"/>
    </row>
    <row r="5" spans="1:1024" s="217" customFormat="1" ht="31.5" x14ac:dyDescent="0.25">
      <c r="B5" s="218" t="s">
        <v>197</v>
      </c>
      <c r="C5" s="899" t="s">
        <v>603</v>
      </c>
      <c r="D5" s="899"/>
      <c r="E5" s="899"/>
      <c r="F5" s="899"/>
    </row>
    <row r="6" spans="1:1024" s="217" customFormat="1" x14ac:dyDescent="0.25">
      <c r="B6" s="218" t="s">
        <v>199</v>
      </c>
      <c r="C6" s="899" t="s">
        <v>1109</v>
      </c>
      <c r="D6" s="899"/>
      <c r="E6" s="899"/>
      <c r="F6" s="899"/>
    </row>
    <row r="7" spans="1:1024" s="217" customFormat="1" x14ac:dyDescent="0.25">
      <c r="B7" s="218" t="s">
        <v>201</v>
      </c>
      <c r="C7" s="899" t="s">
        <v>1130</v>
      </c>
      <c r="D7" s="899"/>
      <c r="E7" s="899"/>
      <c r="F7" s="899"/>
    </row>
    <row r="8" spans="1:1024" s="217" customFormat="1" ht="31.5" x14ac:dyDescent="0.25">
      <c r="B8" s="218" t="s">
        <v>1275</v>
      </c>
      <c r="C8" s="899" t="s">
        <v>90</v>
      </c>
      <c r="D8" s="899"/>
      <c r="E8" s="899"/>
      <c r="F8" s="899"/>
    </row>
    <row r="9" spans="1:1024" s="217" customFormat="1" x14ac:dyDescent="0.25">
      <c r="B9" s="218" t="s">
        <v>204</v>
      </c>
      <c r="C9" s="899">
        <v>4</v>
      </c>
      <c r="D9" s="899"/>
      <c r="E9" s="899"/>
      <c r="F9" s="899"/>
    </row>
    <row r="10" spans="1:1024" s="217" customFormat="1" x14ac:dyDescent="0.25">
      <c r="B10" s="219"/>
      <c r="C10" s="219"/>
      <c r="D10" s="219"/>
      <c r="E10" s="219"/>
      <c r="F10" s="219"/>
    </row>
    <row r="11" spans="1:1024" s="217" customFormat="1" x14ac:dyDescent="0.25">
      <c r="B11" s="900" t="s">
        <v>1111</v>
      </c>
      <c r="C11" s="900"/>
      <c r="D11" s="900"/>
      <c r="E11" s="900"/>
      <c r="F11" s="900"/>
    </row>
    <row r="12" spans="1:1024" s="217" customFormat="1" x14ac:dyDescent="0.25">
      <c r="B12" s="900" t="s">
        <v>207</v>
      </c>
      <c r="C12" s="900"/>
      <c r="D12" s="900" t="s">
        <v>208</v>
      </c>
      <c r="E12" s="900"/>
      <c r="F12" s="900"/>
    </row>
    <row r="13" spans="1:1024" s="217" customFormat="1" ht="88.5" customHeight="1" x14ac:dyDescent="0.25">
      <c r="B13" s="896" t="s">
        <v>1132</v>
      </c>
      <c r="C13" s="896"/>
      <c r="D13" s="897" t="s">
        <v>1133</v>
      </c>
      <c r="E13" s="897"/>
      <c r="F13" s="897"/>
    </row>
    <row r="14" spans="1:1024" s="217" customFormat="1" x14ac:dyDescent="0.25">
      <c r="B14" s="898" t="s">
        <v>1134</v>
      </c>
      <c r="C14" s="898"/>
      <c r="D14" s="898" t="s">
        <v>1135</v>
      </c>
      <c r="E14" s="898"/>
      <c r="F14" s="898"/>
    </row>
    <row r="15" spans="1:1024" s="217" customFormat="1" x14ac:dyDescent="0.25">
      <c r="B15" s="901" t="s">
        <v>1136</v>
      </c>
      <c r="C15" s="901"/>
      <c r="D15" s="901" t="s">
        <v>1137</v>
      </c>
      <c r="E15" s="901"/>
      <c r="F15" s="901"/>
    </row>
    <row r="16" spans="1:1024" s="217" customFormat="1" x14ac:dyDescent="0.25">
      <c r="B16" s="220"/>
      <c r="C16" s="220"/>
      <c r="D16" s="220"/>
      <c r="E16" s="220"/>
      <c r="F16" s="220"/>
    </row>
    <row r="17" spans="2:7" s="217" customFormat="1" x14ac:dyDescent="0.25">
      <c r="B17" s="902" t="s">
        <v>1112</v>
      </c>
      <c r="C17" s="902"/>
      <c r="D17" s="902"/>
      <c r="E17" s="902"/>
      <c r="F17" s="902"/>
    </row>
    <row r="18" spans="2:7" s="217" customFormat="1" x14ac:dyDescent="0.25">
      <c r="B18" s="903" t="s">
        <v>1113</v>
      </c>
      <c r="C18" s="903"/>
      <c r="D18" s="903"/>
      <c r="E18" s="903" t="s">
        <v>207</v>
      </c>
      <c r="F18" s="903"/>
    </row>
    <row r="19" spans="2:7" s="217" customFormat="1" x14ac:dyDescent="0.25">
      <c r="B19" s="905" t="s">
        <v>1138</v>
      </c>
      <c r="C19" s="905"/>
      <c r="D19" s="905"/>
      <c r="E19" s="906"/>
      <c r="F19" s="905"/>
    </row>
    <row r="20" spans="2:7" s="217" customFormat="1" x14ac:dyDescent="0.25">
      <c r="B20" s="905" t="s">
        <v>1139</v>
      </c>
      <c r="C20" s="905"/>
      <c r="D20" s="905"/>
      <c r="E20" s="906"/>
      <c r="F20" s="905"/>
    </row>
    <row r="21" spans="2:7" s="217" customFormat="1" x14ac:dyDescent="0.25">
      <c r="B21" s="905"/>
      <c r="C21" s="905"/>
      <c r="D21" s="905"/>
      <c r="E21" s="906"/>
      <c r="F21" s="905"/>
    </row>
    <row r="22" spans="2:7" s="217" customFormat="1" x14ac:dyDescent="0.25">
      <c r="B22" s="905"/>
      <c r="C22" s="905"/>
      <c r="D22" s="905"/>
      <c r="E22" s="906"/>
      <c r="F22" s="905"/>
    </row>
    <row r="23" spans="2:7" s="217" customFormat="1" x14ac:dyDescent="0.25">
      <c r="B23" s="221"/>
      <c r="C23" s="221"/>
      <c r="D23" s="221"/>
      <c r="E23" s="222"/>
      <c r="F23" s="221"/>
    </row>
    <row r="24" spans="2:7" s="217" customFormat="1" ht="31.5" x14ac:dyDescent="0.25">
      <c r="B24" s="223" t="s">
        <v>210</v>
      </c>
      <c r="C24" s="224" t="s">
        <v>211</v>
      </c>
      <c r="D24" s="224" t="s">
        <v>212</v>
      </c>
      <c r="E24" s="224" t="s">
        <v>213</v>
      </c>
      <c r="F24" s="223" t="s">
        <v>214</v>
      </c>
    </row>
    <row r="25" spans="2:7" s="217" customFormat="1" ht="31.5" x14ac:dyDescent="0.25">
      <c r="B25" s="225" t="s">
        <v>1157</v>
      </c>
      <c r="C25" s="226">
        <v>21</v>
      </c>
      <c r="D25" s="226">
        <v>2</v>
      </c>
      <c r="E25" s="226">
        <v>2</v>
      </c>
      <c r="F25" s="225" t="s">
        <v>608</v>
      </c>
    </row>
    <row r="26" spans="2:7" s="217" customFormat="1" ht="15.6" customHeight="1" x14ac:dyDescent="0.25">
      <c r="B26" s="220"/>
      <c r="C26" s="220"/>
      <c r="D26" s="220"/>
      <c r="E26" s="220"/>
      <c r="F26" s="220"/>
    </row>
    <row r="27" spans="2:7" s="217" customFormat="1" x14ac:dyDescent="0.25">
      <c r="B27" s="910" t="s">
        <v>219</v>
      </c>
      <c r="C27" s="910"/>
      <c r="D27" s="910"/>
      <c r="E27" s="910"/>
      <c r="F27" s="910"/>
    </row>
    <row r="28" spans="2:7" s="217" customFormat="1" ht="82.9" customHeight="1" x14ac:dyDescent="0.25">
      <c r="B28" s="907" t="s">
        <v>1156</v>
      </c>
      <c r="C28" s="907"/>
      <c r="D28" s="907"/>
      <c r="E28" s="907"/>
      <c r="F28" s="907"/>
    </row>
    <row r="29" spans="2:7" s="217" customFormat="1" ht="25.9" customHeight="1" x14ac:dyDescent="0.25">
      <c r="B29" s="227"/>
      <c r="C29" s="227"/>
      <c r="D29" s="227"/>
      <c r="E29" s="227"/>
      <c r="F29" s="227"/>
      <c r="G29" s="228"/>
    </row>
    <row r="30" spans="2:7" s="217" customFormat="1" ht="24.75" customHeight="1" x14ac:dyDescent="0.25">
      <c r="B30" s="908" t="s">
        <v>220</v>
      </c>
      <c r="C30" s="908"/>
      <c r="D30" s="908"/>
      <c r="E30" s="908"/>
      <c r="F30" s="908"/>
    </row>
    <row r="31" spans="2:7" s="217" customFormat="1" ht="142.9" customHeight="1" x14ac:dyDescent="0.25">
      <c r="B31" s="909" t="s">
        <v>1155</v>
      </c>
      <c r="C31" s="909"/>
      <c r="D31" s="909"/>
      <c r="E31" s="909"/>
      <c r="F31" s="909"/>
    </row>
    <row r="32" spans="2:7" s="217" customFormat="1" ht="15" customHeight="1" x14ac:dyDescent="0.25">
      <c r="B32" s="219"/>
      <c r="C32" s="219"/>
      <c r="D32" s="219"/>
      <c r="E32" s="219"/>
      <c r="F32" s="219"/>
    </row>
    <row r="33" spans="2:6" s="217" customFormat="1" ht="17.25" customHeight="1" x14ac:dyDescent="0.25">
      <c r="B33" s="910" t="s">
        <v>1114</v>
      </c>
      <c r="C33" s="910"/>
      <c r="D33" s="910"/>
      <c r="E33" s="910"/>
      <c r="F33" s="910"/>
    </row>
    <row r="34" spans="2:6" s="217" customFormat="1" ht="143.44999999999999" customHeight="1" x14ac:dyDescent="0.25">
      <c r="B34" s="909" t="s">
        <v>1154</v>
      </c>
      <c r="C34" s="909"/>
      <c r="D34" s="909"/>
      <c r="E34" s="909"/>
      <c r="F34" s="909"/>
    </row>
    <row r="35" spans="2:6" s="217" customFormat="1" ht="15.75" customHeight="1" x14ac:dyDescent="0.25">
      <c r="B35" s="219"/>
      <c r="C35" s="219"/>
      <c r="D35" s="219"/>
      <c r="E35" s="219"/>
      <c r="F35" s="219"/>
    </row>
    <row r="36" spans="2:6" s="217" customFormat="1" ht="20.25" customHeight="1" x14ac:dyDescent="0.25">
      <c r="B36" s="910" t="s">
        <v>1115</v>
      </c>
      <c r="C36" s="910"/>
      <c r="D36" s="910"/>
      <c r="E36" s="910"/>
      <c r="F36" s="910"/>
    </row>
    <row r="37" spans="2:6" s="217" customFormat="1" ht="15.75" customHeight="1" x14ac:dyDescent="0.25">
      <c r="B37" s="914" t="s">
        <v>1142</v>
      </c>
      <c r="C37" s="914"/>
      <c r="D37" s="914"/>
      <c r="E37" s="914"/>
      <c r="F37" s="914"/>
    </row>
    <row r="38" spans="2:6" s="217" customFormat="1" ht="15.75" customHeight="1" x14ac:dyDescent="0.25">
      <c r="B38" s="219"/>
      <c r="C38" s="219"/>
      <c r="D38" s="219"/>
      <c r="E38" s="219"/>
      <c r="F38" s="219"/>
    </row>
    <row r="39" spans="2:6" s="217" customFormat="1" ht="30.75" customHeight="1" x14ac:dyDescent="0.25">
      <c r="B39" s="915" t="s">
        <v>1116</v>
      </c>
      <c r="C39" s="915"/>
      <c r="D39" s="915"/>
      <c r="E39" s="915"/>
      <c r="F39" s="915"/>
    </row>
    <row r="40" spans="2:6" s="217" customFormat="1" ht="31.5" x14ac:dyDescent="0.25">
      <c r="B40" s="230" t="s">
        <v>1117</v>
      </c>
      <c r="C40" s="910" t="s">
        <v>1118</v>
      </c>
      <c r="D40" s="910"/>
      <c r="E40" s="910"/>
      <c r="F40" s="910"/>
    </row>
    <row r="41" spans="2:6" s="217" customFormat="1" ht="33" customHeight="1" x14ac:dyDescent="0.25">
      <c r="B41" s="231" t="s">
        <v>1143</v>
      </c>
      <c r="C41" s="907" t="s">
        <v>1144</v>
      </c>
      <c r="D41" s="907"/>
      <c r="E41" s="907"/>
      <c r="F41" s="907"/>
    </row>
    <row r="42" spans="2:6" s="217" customFormat="1" ht="64.900000000000006" customHeight="1" x14ac:dyDescent="0.25">
      <c r="B42" s="231" t="s">
        <v>1145</v>
      </c>
      <c r="C42" s="907" t="s">
        <v>1146</v>
      </c>
      <c r="D42" s="907"/>
      <c r="E42" s="907"/>
      <c r="F42" s="907"/>
    </row>
    <row r="43" spans="2:6" s="217" customFormat="1" ht="11.45" customHeight="1" x14ac:dyDescent="0.25">
      <c r="B43" s="232"/>
      <c r="C43" s="233"/>
      <c r="D43" s="233"/>
      <c r="E43" s="233"/>
      <c r="F43" s="233"/>
    </row>
    <row r="44" spans="2:6" s="217" customFormat="1" x14ac:dyDescent="0.25">
      <c r="B44" s="910" t="s">
        <v>1119</v>
      </c>
      <c r="C44" s="910"/>
      <c r="D44" s="910"/>
      <c r="E44" s="910"/>
      <c r="F44" s="910"/>
    </row>
    <row r="45" spans="2:6" s="217" customFormat="1" x14ac:dyDescent="0.25">
      <c r="B45" s="234" t="s">
        <v>1120</v>
      </c>
      <c r="C45" s="910" t="s">
        <v>1121</v>
      </c>
      <c r="D45" s="910"/>
      <c r="E45" s="910"/>
      <c r="F45" s="910"/>
    </row>
    <row r="46" spans="2:6" s="217" customFormat="1" x14ac:dyDescent="0.25">
      <c r="B46" s="916" t="s">
        <v>1143</v>
      </c>
      <c r="C46" s="917" t="s">
        <v>1147</v>
      </c>
      <c r="D46" s="917"/>
      <c r="E46" s="917"/>
      <c r="F46" s="917"/>
    </row>
    <row r="47" spans="2:6" s="217" customFormat="1" x14ac:dyDescent="0.25">
      <c r="B47" s="916"/>
      <c r="C47" s="917" t="s">
        <v>293</v>
      </c>
      <c r="D47" s="917"/>
      <c r="E47" s="917"/>
      <c r="F47" s="917"/>
    </row>
    <row r="48" spans="2:6" s="217" customFormat="1" x14ac:dyDescent="0.25">
      <c r="B48" s="916"/>
      <c r="C48" s="917" t="s">
        <v>38</v>
      </c>
      <c r="D48" s="917"/>
      <c r="E48" s="917"/>
      <c r="F48" s="917"/>
    </row>
    <row r="49" spans="2:6" s="217" customFormat="1" x14ac:dyDescent="0.25">
      <c r="B49" s="916"/>
      <c r="C49" s="917" t="s">
        <v>1122</v>
      </c>
      <c r="D49" s="917"/>
      <c r="E49" s="917"/>
      <c r="F49" s="917"/>
    </row>
    <row r="50" spans="2:6" s="217" customFormat="1" x14ac:dyDescent="0.25">
      <c r="B50" s="916"/>
      <c r="C50" s="911" t="s">
        <v>1148</v>
      </c>
      <c r="D50" s="912"/>
      <c r="E50" s="912"/>
      <c r="F50" s="913"/>
    </row>
    <row r="51" spans="2:6" s="217" customFormat="1" x14ac:dyDescent="0.25">
      <c r="B51" s="916"/>
      <c r="C51" s="917" t="s">
        <v>40</v>
      </c>
      <c r="D51" s="917"/>
      <c r="E51" s="917"/>
      <c r="F51" s="917"/>
    </row>
    <row r="52" spans="2:6" s="217" customFormat="1" x14ac:dyDescent="0.25">
      <c r="B52" s="918" t="s">
        <v>1145</v>
      </c>
      <c r="C52" s="911" t="s">
        <v>1148</v>
      </c>
      <c r="D52" s="912"/>
      <c r="E52" s="912"/>
      <c r="F52" s="913"/>
    </row>
    <row r="53" spans="2:6" s="217" customFormat="1" x14ac:dyDescent="0.25">
      <c r="B53" s="919"/>
      <c r="C53" s="911" t="s">
        <v>256</v>
      </c>
      <c r="D53" s="912"/>
      <c r="E53" s="912"/>
      <c r="F53" s="913"/>
    </row>
    <row r="54" spans="2:6" s="217" customFormat="1" x14ac:dyDescent="0.25">
      <c r="B54" s="919"/>
      <c r="C54" s="911" t="s">
        <v>1149</v>
      </c>
      <c r="D54" s="912"/>
      <c r="E54" s="912"/>
      <c r="F54" s="913"/>
    </row>
    <row r="55" spans="2:6" s="217" customFormat="1" x14ac:dyDescent="0.25">
      <c r="B55" s="919"/>
      <c r="C55" s="911" t="s">
        <v>44</v>
      </c>
      <c r="D55" s="912"/>
      <c r="E55" s="912"/>
      <c r="F55" s="913"/>
    </row>
    <row r="56" spans="2:6" s="217" customFormat="1" x14ac:dyDescent="0.25">
      <c r="B56" s="920"/>
      <c r="C56" s="917" t="s">
        <v>34</v>
      </c>
      <c r="D56" s="917"/>
      <c r="E56" s="917"/>
      <c r="F56" s="917"/>
    </row>
    <row r="57" spans="2:6" s="217" customFormat="1" ht="13.15" customHeight="1" x14ac:dyDescent="0.25">
      <c r="B57" s="219"/>
      <c r="C57" s="219"/>
      <c r="D57" s="219"/>
      <c r="E57" s="219"/>
      <c r="F57" s="219"/>
    </row>
    <row r="58" spans="2:6" s="217" customFormat="1" ht="18.75" customHeight="1" x14ac:dyDescent="0.25">
      <c r="B58" s="910" t="s">
        <v>226</v>
      </c>
      <c r="C58" s="910"/>
      <c r="D58" s="910"/>
      <c r="E58" s="910"/>
      <c r="F58" s="910"/>
    </row>
    <row r="59" spans="2:6" s="217" customFormat="1" ht="395.45" customHeight="1" x14ac:dyDescent="0.25">
      <c r="B59" s="921" t="s">
        <v>1159</v>
      </c>
      <c r="C59" s="922"/>
      <c r="D59" s="922"/>
      <c r="E59" s="922"/>
      <c r="F59" s="923"/>
    </row>
    <row r="60" spans="2:6" s="217" customFormat="1" ht="95.45" customHeight="1" x14ac:dyDescent="0.25">
      <c r="B60" s="924" t="s">
        <v>1153</v>
      </c>
      <c r="C60" s="925"/>
      <c r="D60" s="925"/>
      <c r="E60" s="925"/>
      <c r="F60" s="926"/>
    </row>
    <row r="61" spans="2:6" s="217" customFormat="1" ht="17.25" customHeight="1" x14ac:dyDescent="0.25">
      <c r="B61" s="235"/>
      <c r="C61" s="235"/>
      <c r="D61" s="235"/>
      <c r="E61" s="235"/>
      <c r="F61" s="235"/>
    </row>
    <row r="62" spans="2:6" s="217" customFormat="1" x14ac:dyDescent="0.25">
      <c r="B62" s="910" t="s">
        <v>227</v>
      </c>
      <c r="C62" s="910"/>
      <c r="D62" s="910"/>
      <c r="E62" s="910"/>
      <c r="F62" s="910"/>
    </row>
    <row r="63" spans="2:6" s="217" customFormat="1" ht="237" customHeight="1" x14ac:dyDescent="0.25">
      <c r="B63" s="927" t="s">
        <v>1160</v>
      </c>
      <c r="C63" s="912"/>
      <c r="D63" s="912"/>
      <c r="E63" s="912"/>
      <c r="F63" s="913"/>
    </row>
    <row r="64" spans="2:6" s="217" customFormat="1" x14ac:dyDescent="0.25">
      <c r="B64" s="219"/>
      <c r="C64" s="219"/>
      <c r="D64" s="219"/>
      <c r="E64" s="219"/>
      <c r="F64" s="219"/>
    </row>
    <row r="65" spans="2:6" s="217" customFormat="1" x14ac:dyDescent="0.25">
      <c r="B65" s="910" t="s">
        <v>232</v>
      </c>
      <c r="C65" s="910"/>
      <c r="D65" s="910"/>
      <c r="E65" s="910"/>
      <c r="F65" s="910"/>
    </row>
    <row r="66" spans="2:6" s="217" customFormat="1" ht="64.900000000000006" customHeight="1" x14ac:dyDescent="0.25">
      <c r="B66" s="909" t="s">
        <v>1152</v>
      </c>
      <c r="C66" s="928"/>
      <c r="D66" s="928"/>
      <c r="E66" s="928"/>
      <c r="F66" s="928"/>
    </row>
    <row r="67" spans="2:6" s="217" customFormat="1" ht="10.9" customHeight="1" x14ac:dyDescent="0.25">
      <c r="B67" s="219"/>
      <c r="C67" s="219"/>
      <c r="D67" s="219"/>
      <c r="E67" s="219"/>
      <c r="F67" s="219"/>
    </row>
    <row r="68" spans="2:6" s="217" customFormat="1" ht="36.75" customHeight="1" x14ac:dyDescent="0.25">
      <c r="B68" s="929" t="s">
        <v>614</v>
      </c>
      <c r="C68" s="929"/>
      <c r="D68" s="929"/>
      <c r="E68" s="929"/>
      <c r="F68" s="929"/>
    </row>
    <row r="69" spans="2:6" s="217" customFormat="1" x14ac:dyDescent="0.25">
      <c r="B69" s="234" t="s">
        <v>615</v>
      </c>
      <c r="C69" s="234" t="s">
        <v>616</v>
      </c>
      <c r="D69" s="910" t="s">
        <v>617</v>
      </c>
      <c r="E69" s="910"/>
      <c r="F69" s="910"/>
    </row>
    <row r="70" spans="2:6" s="217" customFormat="1" x14ac:dyDescent="0.25">
      <c r="B70" s="236"/>
      <c r="C70" s="237"/>
      <c r="D70" s="901"/>
      <c r="E70" s="901"/>
      <c r="F70" s="901"/>
    </row>
    <row r="71" spans="2:6" s="217" customFormat="1" x14ac:dyDescent="0.25">
      <c r="B71" s="237"/>
      <c r="C71" s="237"/>
      <c r="D71" s="901"/>
      <c r="E71" s="901"/>
      <c r="F71" s="901"/>
    </row>
    <row r="72" spans="2:6" s="217" customFormat="1" x14ac:dyDescent="0.25">
      <c r="B72" s="237"/>
      <c r="C72" s="237"/>
      <c r="D72" s="901"/>
      <c r="E72" s="901"/>
      <c r="F72" s="901"/>
    </row>
    <row r="73" spans="2:6" s="217" customFormat="1" ht="19.149999999999999" customHeight="1" x14ac:dyDescent="0.25">
      <c r="B73" s="219"/>
      <c r="C73" s="219"/>
      <c r="D73" s="219"/>
      <c r="E73" s="219"/>
      <c r="F73" s="219"/>
    </row>
    <row r="74" spans="2:6" s="217" customFormat="1" ht="37.5" customHeight="1" x14ac:dyDescent="0.25">
      <c r="B74" s="929" t="s">
        <v>1123</v>
      </c>
      <c r="C74" s="929"/>
      <c r="D74" s="929"/>
      <c r="E74" s="929"/>
      <c r="F74" s="929"/>
    </row>
    <row r="75" spans="2:6" s="217" customFormat="1" x14ac:dyDescent="0.25">
      <c r="B75" s="234" t="s">
        <v>1124</v>
      </c>
      <c r="C75" s="234" t="s">
        <v>1125</v>
      </c>
      <c r="D75" s="910" t="s">
        <v>1126</v>
      </c>
      <c r="E75" s="910"/>
      <c r="F75" s="910"/>
    </row>
    <row r="76" spans="2:6" s="217" customFormat="1" x14ac:dyDescent="0.25">
      <c r="B76" s="237"/>
      <c r="C76" s="237"/>
      <c r="D76" s="901"/>
      <c r="E76" s="901"/>
      <c r="F76" s="901"/>
    </row>
    <row r="77" spans="2:6" s="217" customFormat="1" x14ac:dyDescent="0.25">
      <c r="B77" s="237"/>
      <c r="C77" s="237"/>
      <c r="D77" s="901"/>
      <c r="E77" s="901"/>
      <c r="F77" s="901"/>
    </row>
    <row r="78" spans="2:6" s="217" customFormat="1" x14ac:dyDescent="0.25">
      <c r="B78" s="237"/>
      <c r="C78" s="237"/>
      <c r="D78" s="901"/>
      <c r="E78" s="901"/>
      <c r="F78" s="901"/>
    </row>
    <row r="79" spans="2:6" s="217" customFormat="1" x14ac:dyDescent="0.25">
      <c r="B79" s="219"/>
      <c r="C79" s="219"/>
      <c r="D79" s="219"/>
      <c r="E79" s="219"/>
      <c r="F79" s="219"/>
    </row>
    <row r="80" spans="2:6" s="217" customFormat="1" x14ac:dyDescent="0.25">
      <c r="B80" s="910" t="s">
        <v>234</v>
      </c>
      <c r="C80" s="910"/>
      <c r="D80" s="910"/>
      <c r="E80" s="910"/>
      <c r="F80" s="910"/>
    </row>
    <row r="81" spans="2:6" s="217" customFormat="1" ht="142.5" customHeight="1" x14ac:dyDescent="0.25">
      <c r="B81" s="907"/>
      <c r="C81" s="917"/>
      <c r="D81" s="917"/>
      <c r="E81" s="917"/>
      <c r="F81" s="917"/>
    </row>
    <row r="82" spans="2:6" ht="48" customHeight="1" x14ac:dyDescent="0.25"/>
  </sheetData>
  <mergeCells count="74">
    <mergeCell ref="B1:D1"/>
    <mergeCell ref="B65:F65"/>
    <mergeCell ref="B66:F66"/>
    <mergeCell ref="B80:F80"/>
    <mergeCell ref="B81:F81"/>
    <mergeCell ref="B74:F74"/>
    <mergeCell ref="D75:F75"/>
    <mergeCell ref="D76:F76"/>
    <mergeCell ref="D77:F77"/>
    <mergeCell ref="D78:F78"/>
    <mergeCell ref="B68:F68"/>
    <mergeCell ref="D69:F69"/>
    <mergeCell ref="D70:F70"/>
    <mergeCell ref="D71:F71"/>
    <mergeCell ref="D72:F72"/>
    <mergeCell ref="B58:F58"/>
    <mergeCell ref="B59:F59"/>
    <mergeCell ref="B60:F60"/>
    <mergeCell ref="B63:F63"/>
    <mergeCell ref="C53:F53"/>
    <mergeCell ref="C54:F54"/>
    <mergeCell ref="B62:F62"/>
    <mergeCell ref="C56:F56"/>
    <mergeCell ref="C52:F52"/>
    <mergeCell ref="C55:F55"/>
    <mergeCell ref="B52:B56"/>
    <mergeCell ref="C47:F47"/>
    <mergeCell ref="C48:F48"/>
    <mergeCell ref="B22:D22"/>
    <mergeCell ref="E22:F22"/>
    <mergeCell ref="B27:F27"/>
    <mergeCell ref="C50:F50"/>
    <mergeCell ref="C42:F42"/>
    <mergeCell ref="B44:F44"/>
    <mergeCell ref="C45:F45"/>
    <mergeCell ref="B36:F36"/>
    <mergeCell ref="B37:F37"/>
    <mergeCell ref="B39:F39"/>
    <mergeCell ref="C40:F40"/>
    <mergeCell ref="C41:F41"/>
    <mergeCell ref="B46:B51"/>
    <mergeCell ref="C46:F46"/>
    <mergeCell ref="C49:F49"/>
    <mergeCell ref="C51:F51"/>
    <mergeCell ref="B28:F28"/>
    <mergeCell ref="B30:F30"/>
    <mergeCell ref="B31:F31"/>
    <mergeCell ref="B33:F33"/>
    <mergeCell ref="B34:F34"/>
    <mergeCell ref="B19:D19"/>
    <mergeCell ref="E19:F19"/>
    <mergeCell ref="B20:D20"/>
    <mergeCell ref="E20:F20"/>
    <mergeCell ref="B21:D21"/>
    <mergeCell ref="E21:F21"/>
    <mergeCell ref="B2:F2"/>
    <mergeCell ref="C4:F4"/>
    <mergeCell ref="C5:F5"/>
    <mergeCell ref="C6:F6"/>
    <mergeCell ref="C7:F7"/>
    <mergeCell ref="B15:C15"/>
    <mergeCell ref="D15:F15"/>
    <mergeCell ref="B17:F17"/>
    <mergeCell ref="B18:D18"/>
    <mergeCell ref="E18:F18"/>
    <mergeCell ref="B13:C13"/>
    <mergeCell ref="D13:F13"/>
    <mergeCell ref="B14:C14"/>
    <mergeCell ref="C8:F8"/>
    <mergeCell ref="C9:F9"/>
    <mergeCell ref="B11:F11"/>
    <mergeCell ref="B12:C12"/>
    <mergeCell ref="D12:F12"/>
    <mergeCell ref="D14:F14"/>
  </mergeCells>
  <dataValidations count="3">
    <dataValidation type="list" allowBlank="1" showInputMessage="1" showErrorMessage="1" sqref="C76:C78">
      <formula1>"Formation,Certification,Stage / projet,Autre"</formula1>
      <formula2>0</formula2>
    </dataValidation>
    <dataValidation type="list" allowBlank="1" showInputMessage="1" showErrorMessage="1" sqref="C70:C72">
      <formula1>"Académique,Professionnel,Associatif,Autre"</formula1>
      <formula2>0</formula2>
    </dataValidation>
    <dataValidation type="list" allowBlank="1" showInputMessage="1" showErrorMessage="1" sqref="C4">
      <formula1>"Mise à jour à partir du plan d'études,Nouvelle création"</formula1>
      <formula2>0</formula2>
    </dataValidation>
  </dataValidations>
  <hyperlinks>
    <hyperlink ref="B1:D1" location="'Schéma d''enseignement'!G26" display="Schéma d'enseignement"/>
  </hyperlinks>
  <pageMargins left="0.7" right="0.7" top="0.75" bottom="0.75" header="0.51180555555555496" footer="0.51180555555555496"/>
  <pageSetup paperSize="9" firstPageNumber="0"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FFC000"/>
  </sheetPr>
  <dimension ref="D7:E21"/>
  <sheetViews>
    <sheetView topLeftCell="B1" workbookViewId="0">
      <selection activeCell="E19" sqref="E19"/>
    </sheetView>
  </sheetViews>
  <sheetFormatPr baseColWidth="10" defaultColWidth="8.7109375" defaultRowHeight="15" x14ac:dyDescent="0.25"/>
  <cols>
    <col min="1" max="3" width="8.7109375" style="1"/>
    <col min="4" max="4" width="40.85546875" style="1" bestFit="1" customWidth="1"/>
    <col min="5" max="5" width="50.28515625" style="1" customWidth="1"/>
    <col min="6" max="16384" width="8.7109375" style="1"/>
  </cols>
  <sheetData>
    <row r="7" spans="4:5" x14ac:dyDescent="0.25">
      <c r="D7" s="354" t="s">
        <v>125</v>
      </c>
      <c r="E7" s="354"/>
    </row>
    <row r="8" spans="4:5" x14ac:dyDescent="0.25">
      <c r="D8" s="72" t="s">
        <v>236</v>
      </c>
      <c r="E8" s="72" t="s">
        <v>64</v>
      </c>
    </row>
    <row r="9" spans="4:5" ht="14.65" customHeight="1" x14ac:dyDescent="0.25">
      <c r="D9" s="930" t="s">
        <v>101</v>
      </c>
      <c r="E9" s="31" t="s">
        <v>100</v>
      </c>
    </row>
    <row r="10" spans="4:5" x14ac:dyDescent="0.25">
      <c r="D10" s="932"/>
      <c r="E10" s="31" t="s">
        <v>102</v>
      </c>
    </row>
    <row r="11" spans="4:5" x14ac:dyDescent="0.25">
      <c r="D11" s="931"/>
      <c r="E11" s="31" t="s">
        <v>103</v>
      </c>
    </row>
    <row r="12" spans="4:5" x14ac:dyDescent="0.25">
      <c r="D12" s="930" t="s">
        <v>104</v>
      </c>
      <c r="E12" s="31" t="s">
        <v>104</v>
      </c>
    </row>
    <row r="13" spans="4:5" x14ac:dyDescent="0.25">
      <c r="D13" s="931"/>
      <c r="E13" s="31" t="s">
        <v>105</v>
      </c>
    </row>
    <row r="14" spans="4:5" x14ac:dyDescent="0.25">
      <c r="D14" s="930" t="s">
        <v>107</v>
      </c>
      <c r="E14" s="31" t="s">
        <v>106</v>
      </c>
    </row>
    <row r="15" spans="4:5" x14ac:dyDescent="0.25">
      <c r="D15" s="931"/>
      <c r="E15" s="31" t="s">
        <v>108</v>
      </c>
    </row>
    <row r="16" spans="4:5" x14ac:dyDescent="0.25">
      <c r="D16" s="930" t="s">
        <v>92</v>
      </c>
      <c r="E16" s="31" t="s">
        <v>109</v>
      </c>
    </row>
    <row r="17" spans="4:5" ht="14.65" customHeight="1" x14ac:dyDescent="0.25">
      <c r="D17" s="931"/>
      <c r="E17" s="31" t="s">
        <v>110</v>
      </c>
    </row>
    <row r="18" spans="4:5" x14ac:dyDescent="0.25">
      <c r="D18" s="930" t="s">
        <v>97</v>
      </c>
      <c r="E18" s="31" t="s">
        <v>1229</v>
      </c>
    </row>
    <row r="19" spans="4:5" x14ac:dyDescent="0.25">
      <c r="D19" s="931"/>
      <c r="E19" s="41" t="s">
        <v>111</v>
      </c>
    </row>
    <row r="20" spans="4:5" x14ac:dyDescent="0.25">
      <c r="D20" s="666" t="s">
        <v>80</v>
      </c>
      <c r="E20" s="34" t="s">
        <v>1164</v>
      </c>
    </row>
    <row r="21" spans="4:5" x14ac:dyDescent="0.25">
      <c r="D21" s="667"/>
      <c r="E21" s="34" t="s">
        <v>1164</v>
      </c>
    </row>
  </sheetData>
  <mergeCells count="7">
    <mergeCell ref="D20:D21"/>
    <mergeCell ref="D18:D19"/>
    <mergeCell ref="D16:D17"/>
    <mergeCell ref="D7:E7"/>
    <mergeCell ref="D9:D11"/>
    <mergeCell ref="D12:D13"/>
    <mergeCell ref="D14:D15"/>
  </mergeCells>
  <conditionalFormatting sqref="E19">
    <cfRule type="colorScale" priority="2">
      <colorScale>
        <cfvo type="num" val="0"/>
        <cfvo type="num" val="0"/>
        <color rgb="FFFF0000"/>
        <color rgb="FF00B050"/>
      </colorScale>
    </cfRule>
  </conditionalFormatting>
  <conditionalFormatting sqref="D20:E20 E21">
    <cfRule type="colorScale" priority="1">
      <colorScale>
        <cfvo type="num" val="0"/>
        <cfvo type="num" val="0"/>
        <color rgb="FFFF0000"/>
        <color rgb="FF00B050"/>
      </colorScale>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5"/>
  </sheetPr>
  <dimension ref="B1:H211"/>
  <sheetViews>
    <sheetView workbookViewId="0">
      <selection activeCell="B1" sqref="B1:D1"/>
    </sheetView>
  </sheetViews>
  <sheetFormatPr baseColWidth="10" defaultColWidth="8.7109375" defaultRowHeight="15" x14ac:dyDescent="0.25"/>
  <cols>
    <col min="1" max="1" width="8.7109375" style="1" customWidth="1"/>
    <col min="2" max="2" width="18.85546875" style="1" customWidth="1"/>
    <col min="3" max="4" width="8.7109375" style="1"/>
    <col min="5" max="5" width="10.7109375" style="1" bestFit="1" customWidth="1"/>
    <col min="6" max="6" width="8.7109375" style="1"/>
    <col min="7" max="7" width="20.42578125" style="1" bestFit="1" customWidth="1"/>
    <col min="8" max="16384" width="8.7109375" style="1"/>
  </cols>
  <sheetData>
    <row r="1" spans="2:8" x14ac:dyDescent="0.25">
      <c r="B1" s="628" t="s">
        <v>1267</v>
      </c>
      <c r="C1" s="628"/>
      <c r="D1" s="628"/>
    </row>
    <row r="2" spans="2:8" ht="15.75" x14ac:dyDescent="0.25">
      <c r="B2" s="692"/>
      <c r="C2" s="692"/>
      <c r="D2" s="692"/>
      <c r="E2" s="692"/>
      <c r="F2" s="692"/>
      <c r="G2" s="947"/>
      <c r="H2" s="947"/>
    </row>
    <row r="3" spans="2:8" ht="15.75" x14ac:dyDescent="0.25">
      <c r="B3" s="421" t="s">
        <v>195</v>
      </c>
      <c r="C3" s="421"/>
      <c r="D3" s="421"/>
      <c r="E3" s="421"/>
      <c r="F3" s="421"/>
      <c r="G3" s="421"/>
      <c r="H3" s="421"/>
    </row>
    <row r="4" spans="2:8" ht="16.5" thickBot="1" x14ac:dyDescent="0.3">
      <c r="B4" s="475"/>
      <c r="C4" s="475"/>
      <c r="D4" s="475"/>
      <c r="E4" s="476"/>
      <c r="F4" s="476"/>
      <c r="G4" s="946"/>
      <c r="H4" s="946"/>
    </row>
    <row r="5" spans="2:8" ht="16.5" thickBot="1" x14ac:dyDescent="0.3">
      <c r="B5" s="366" t="s">
        <v>196</v>
      </c>
      <c r="C5" s="367"/>
      <c r="D5" s="464"/>
      <c r="E5" s="689" t="s">
        <v>318</v>
      </c>
      <c r="F5" s="690"/>
      <c r="G5" s="690"/>
      <c r="H5" s="691"/>
    </row>
    <row r="6" spans="2:8" ht="16.5" thickBot="1" x14ac:dyDescent="0.3">
      <c r="B6" s="424" t="s">
        <v>197</v>
      </c>
      <c r="C6" s="425"/>
      <c r="D6" s="474"/>
      <c r="E6" s="689" t="s">
        <v>345</v>
      </c>
      <c r="F6" s="690"/>
      <c r="G6" s="690"/>
      <c r="H6" s="691"/>
    </row>
    <row r="7" spans="2:8" ht="16.5" thickBot="1" x14ac:dyDescent="0.3">
      <c r="B7" s="366" t="s">
        <v>199</v>
      </c>
      <c r="C7" s="367"/>
      <c r="D7" s="464"/>
      <c r="E7" s="689" t="s">
        <v>346</v>
      </c>
      <c r="F7" s="690"/>
      <c r="G7" s="690"/>
      <c r="H7" s="691"/>
    </row>
    <row r="8" spans="2:8" ht="16.5" thickBot="1" x14ac:dyDescent="0.3">
      <c r="B8" s="366" t="s">
        <v>201</v>
      </c>
      <c r="C8" s="367"/>
      <c r="D8" s="464"/>
      <c r="E8" s="689" t="s">
        <v>347</v>
      </c>
      <c r="F8" s="690"/>
      <c r="G8" s="690"/>
      <c r="H8" s="691"/>
    </row>
    <row r="9" spans="2:8" ht="16.5" thickBot="1" x14ac:dyDescent="0.3">
      <c r="B9" s="366" t="s">
        <v>203</v>
      </c>
      <c r="C9" s="367"/>
      <c r="D9" s="464"/>
      <c r="E9" s="753" t="s">
        <v>101</v>
      </c>
      <c r="F9" s="945"/>
      <c r="G9" s="945"/>
      <c r="H9" s="754"/>
    </row>
    <row r="10" spans="2:8" ht="16.5" thickBot="1" x14ac:dyDescent="0.3">
      <c r="B10" s="366" t="s">
        <v>204</v>
      </c>
      <c r="C10" s="367"/>
      <c r="D10" s="464"/>
      <c r="E10" s="689" t="s">
        <v>410</v>
      </c>
      <c r="F10" s="690"/>
      <c r="G10" s="690"/>
      <c r="H10" s="691"/>
    </row>
    <row r="11" spans="2:8" ht="16.5" thickBot="1" x14ac:dyDescent="0.3">
      <c r="B11" s="708" t="s">
        <v>206</v>
      </c>
      <c r="C11" s="472"/>
      <c r="D11" s="472"/>
      <c r="E11" s="472"/>
      <c r="F11" s="472"/>
      <c r="G11" s="473"/>
      <c r="H11" s="89"/>
    </row>
    <row r="12" spans="2:8" ht="16.5" thickBot="1" x14ac:dyDescent="0.3">
      <c r="B12" s="710" t="s">
        <v>207</v>
      </c>
      <c r="C12" s="406"/>
      <c r="D12" s="404" t="s">
        <v>208</v>
      </c>
      <c r="E12" s="405"/>
      <c r="F12" s="405"/>
      <c r="G12" s="406"/>
      <c r="H12" s="89"/>
    </row>
    <row r="13" spans="2:8" ht="16.5" thickBot="1" x14ac:dyDescent="0.3">
      <c r="B13" s="752" t="s">
        <v>209</v>
      </c>
      <c r="C13" s="409"/>
      <c r="D13" s="571"/>
      <c r="E13" s="572"/>
      <c r="F13" s="572"/>
      <c r="G13" s="573"/>
      <c r="H13" s="89"/>
    </row>
    <row r="14" spans="2:8" ht="16.5" thickBot="1" x14ac:dyDescent="0.3">
      <c r="B14" s="79" t="s">
        <v>210</v>
      </c>
      <c r="C14" s="404" t="s">
        <v>211</v>
      </c>
      <c r="D14" s="406"/>
      <c r="E14" s="70" t="s">
        <v>212</v>
      </c>
      <c r="F14" s="70" t="s">
        <v>213</v>
      </c>
      <c r="G14" s="70" t="s">
        <v>214</v>
      </c>
      <c r="H14" s="89"/>
    </row>
    <row r="15" spans="2:8" ht="52.5" thickBot="1" x14ac:dyDescent="0.3">
      <c r="B15" s="81" t="s">
        <v>100</v>
      </c>
      <c r="C15" s="410" t="s">
        <v>260</v>
      </c>
      <c r="D15" s="412"/>
      <c r="E15" s="120" t="s">
        <v>246</v>
      </c>
      <c r="F15" s="120">
        <v>2</v>
      </c>
      <c r="G15" s="120" t="s">
        <v>218</v>
      </c>
      <c r="H15" s="89"/>
    </row>
    <row r="16" spans="2:8" ht="15.75" thickBot="1" x14ac:dyDescent="0.3">
      <c r="B16" s="90"/>
      <c r="C16" s="91"/>
      <c r="D16" s="91"/>
      <c r="E16" s="91"/>
      <c r="F16" s="91"/>
      <c r="G16" s="91"/>
      <c r="H16" s="92"/>
    </row>
    <row r="17" spans="2:8" ht="16.5" thickBot="1" x14ac:dyDescent="0.3">
      <c r="B17" s="716" t="s">
        <v>219</v>
      </c>
      <c r="C17" s="717"/>
      <c r="D17" s="717"/>
      <c r="E17" s="717"/>
      <c r="F17" s="717"/>
      <c r="G17" s="717"/>
      <c r="H17" s="718"/>
    </row>
    <row r="18" spans="2:8" ht="58.15" customHeight="1" thickBot="1" x14ac:dyDescent="0.3">
      <c r="B18" s="517" t="s">
        <v>411</v>
      </c>
      <c r="C18" s="518"/>
      <c r="D18" s="518"/>
      <c r="E18" s="518"/>
      <c r="F18" s="518"/>
      <c r="G18" s="518"/>
      <c r="H18" s="519"/>
    </row>
    <row r="19" spans="2:8" ht="16.5" thickBot="1" x14ac:dyDescent="0.3">
      <c r="B19" s="366" t="s">
        <v>220</v>
      </c>
      <c r="C19" s="367"/>
      <c r="D19" s="367"/>
      <c r="E19" s="367"/>
      <c r="F19" s="367"/>
      <c r="G19" s="367"/>
      <c r="H19" s="368"/>
    </row>
    <row r="20" spans="2:8" ht="16.899999999999999" customHeight="1" x14ac:dyDescent="0.25">
      <c r="B20" s="942" t="s">
        <v>915</v>
      </c>
      <c r="C20" s="943"/>
      <c r="D20" s="943"/>
      <c r="E20" s="943"/>
      <c r="F20" s="943"/>
      <c r="G20" s="943"/>
      <c r="H20" s="944"/>
    </row>
    <row r="21" spans="2:8" ht="28.9" customHeight="1" x14ac:dyDescent="0.25">
      <c r="B21" s="433" t="s">
        <v>916</v>
      </c>
      <c r="C21" s="434"/>
      <c r="D21" s="434"/>
      <c r="E21" s="434"/>
      <c r="F21" s="434"/>
      <c r="G21" s="434"/>
      <c r="H21" s="435"/>
    </row>
    <row r="22" spans="2:8" ht="28.9" customHeight="1" x14ac:dyDescent="0.25">
      <c r="B22" s="433" t="s">
        <v>917</v>
      </c>
      <c r="C22" s="434"/>
      <c r="D22" s="434"/>
      <c r="E22" s="434"/>
      <c r="F22" s="434"/>
      <c r="G22" s="434"/>
      <c r="H22" s="435"/>
    </row>
    <row r="23" spans="2:8" ht="14.65" customHeight="1" x14ac:dyDescent="0.25">
      <c r="B23" s="433" t="s">
        <v>918</v>
      </c>
      <c r="C23" s="434"/>
      <c r="D23" s="434"/>
      <c r="E23" s="434"/>
      <c r="F23" s="434"/>
      <c r="G23" s="434"/>
      <c r="H23" s="435"/>
    </row>
    <row r="24" spans="2:8" ht="28.9" customHeight="1" x14ac:dyDescent="0.25">
      <c r="B24" s="433" t="s">
        <v>919</v>
      </c>
      <c r="C24" s="434"/>
      <c r="D24" s="434"/>
      <c r="E24" s="434"/>
      <c r="F24" s="434"/>
      <c r="G24" s="434"/>
      <c r="H24" s="435"/>
    </row>
    <row r="25" spans="2:8" ht="30" customHeight="1" thickBot="1" x14ac:dyDescent="0.3">
      <c r="B25" s="384" t="s">
        <v>920</v>
      </c>
      <c r="C25" s="385"/>
      <c r="D25" s="385"/>
      <c r="E25" s="385"/>
      <c r="F25" s="385"/>
      <c r="G25" s="385"/>
      <c r="H25" s="386"/>
    </row>
    <row r="26" spans="2:8" ht="16.5" thickBot="1" x14ac:dyDescent="0.3">
      <c r="B26" s="366" t="s">
        <v>221</v>
      </c>
      <c r="C26" s="367"/>
      <c r="D26" s="367"/>
      <c r="E26" s="367"/>
      <c r="F26" s="367"/>
      <c r="G26" s="367"/>
      <c r="H26" s="368"/>
    </row>
    <row r="27" spans="2:8" ht="16.5" thickBot="1" x14ac:dyDescent="0.3">
      <c r="B27" s="363" t="s">
        <v>914</v>
      </c>
      <c r="C27" s="364"/>
      <c r="D27" s="364"/>
      <c r="E27" s="364"/>
      <c r="F27" s="364"/>
      <c r="G27" s="364"/>
      <c r="H27" s="445"/>
    </row>
    <row r="28" spans="2:8" ht="16.5" thickBot="1" x14ac:dyDescent="0.3">
      <c r="B28" s="366" t="s">
        <v>222</v>
      </c>
      <c r="C28" s="367"/>
      <c r="D28" s="367"/>
      <c r="E28" s="367"/>
      <c r="F28" s="367"/>
      <c r="G28" s="367"/>
      <c r="H28" s="368"/>
    </row>
    <row r="29" spans="2:8" ht="16.5" thickBot="1" x14ac:dyDescent="0.3">
      <c r="B29" s="363" t="s">
        <v>21</v>
      </c>
      <c r="C29" s="364"/>
      <c r="D29" s="364"/>
      <c r="E29" s="364"/>
      <c r="F29" s="364"/>
      <c r="G29" s="364"/>
      <c r="H29" s="445"/>
    </row>
    <row r="30" spans="2:8" ht="16.5" thickBot="1" x14ac:dyDescent="0.3">
      <c r="B30" s="363" t="s">
        <v>39</v>
      </c>
      <c r="C30" s="364"/>
      <c r="D30" s="364"/>
      <c r="E30" s="364"/>
      <c r="F30" s="364"/>
      <c r="G30" s="364"/>
      <c r="H30" s="445"/>
    </row>
    <row r="31" spans="2:8" ht="16.5" thickBot="1" x14ac:dyDescent="0.3">
      <c r="B31" s="363" t="s">
        <v>41</v>
      </c>
      <c r="C31" s="364"/>
      <c r="D31" s="364"/>
      <c r="E31" s="364"/>
      <c r="F31" s="364"/>
      <c r="G31" s="364"/>
      <c r="H31" s="445"/>
    </row>
    <row r="32" spans="2:8" ht="16.5" thickBot="1" x14ac:dyDescent="0.3">
      <c r="B32" s="363" t="s">
        <v>42</v>
      </c>
      <c r="C32" s="364"/>
      <c r="D32" s="364"/>
      <c r="E32" s="364"/>
      <c r="F32" s="364"/>
      <c r="G32" s="364"/>
      <c r="H32" s="445"/>
    </row>
    <row r="33" spans="2:8" ht="16.5" thickBot="1" x14ac:dyDescent="0.3">
      <c r="B33" s="363" t="s">
        <v>48</v>
      </c>
      <c r="C33" s="364"/>
      <c r="D33" s="364"/>
      <c r="E33" s="364"/>
      <c r="F33" s="364"/>
      <c r="G33" s="364"/>
      <c r="H33" s="445"/>
    </row>
    <row r="34" spans="2:8" ht="16.5" thickBot="1" x14ac:dyDescent="0.3">
      <c r="B34" s="366" t="s">
        <v>226</v>
      </c>
      <c r="C34" s="367"/>
      <c r="D34" s="367"/>
      <c r="E34" s="367"/>
      <c r="F34" s="367"/>
      <c r="G34" s="367"/>
      <c r="H34" s="368"/>
    </row>
    <row r="35" spans="2:8" ht="43.5" customHeight="1" x14ac:dyDescent="0.25">
      <c r="B35" s="520" t="s">
        <v>909</v>
      </c>
      <c r="C35" s="402"/>
      <c r="D35" s="402"/>
      <c r="E35" s="402"/>
      <c r="F35" s="402"/>
      <c r="G35" s="402"/>
      <c r="H35" s="403"/>
    </row>
    <row r="36" spans="2:8" ht="28.9" customHeight="1" x14ac:dyDescent="0.25">
      <c r="B36" s="513" t="s">
        <v>910</v>
      </c>
      <c r="C36" s="393"/>
      <c r="D36" s="393"/>
      <c r="E36" s="393"/>
      <c r="F36" s="393"/>
      <c r="G36" s="393"/>
      <c r="H36" s="394"/>
    </row>
    <row r="37" spans="2:8" ht="43.5" customHeight="1" x14ac:dyDescent="0.25">
      <c r="B37" s="513" t="s">
        <v>911</v>
      </c>
      <c r="C37" s="393"/>
      <c r="D37" s="393"/>
      <c r="E37" s="393"/>
      <c r="F37" s="393"/>
      <c r="G37" s="393"/>
      <c r="H37" s="394"/>
    </row>
    <row r="38" spans="2:8" ht="43.5" customHeight="1" x14ac:dyDescent="0.25">
      <c r="B38" s="513" t="s">
        <v>912</v>
      </c>
      <c r="C38" s="393"/>
      <c r="D38" s="393"/>
      <c r="E38" s="393"/>
      <c r="F38" s="393"/>
      <c r="G38" s="393"/>
      <c r="H38" s="394"/>
    </row>
    <row r="39" spans="2:8" ht="28.9" customHeight="1" thickBot="1" x14ac:dyDescent="0.3">
      <c r="B39" s="427" t="s">
        <v>913</v>
      </c>
      <c r="C39" s="428"/>
      <c r="D39" s="428"/>
      <c r="E39" s="428"/>
      <c r="F39" s="428"/>
      <c r="G39" s="428"/>
      <c r="H39" s="429"/>
    </row>
    <row r="40" spans="2:8" ht="16.5" thickBot="1" x14ac:dyDescent="0.3">
      <c r="B40" s="366" t="s">
        <v>227</v>
      </c>
      <c r="C40" s="367"/>
      <c r="D40" s="367"/>
      <c r="E40" s="367"/>
      <c r="F40" s="367"/>
      <c r="G40" s="367"/>
      <c r="H40" s="368"/>
    </row>
    <row r="41" spans="2:8" ht="16.5" thickBot="1" x14ac:dyDescent="0.3">
      <c r="B41" s="363" t="s">
        <v>245</v>
      </c>
      <c r="C41" s="364"/>
      <c r="D41" s="365"/>
      <c r="E41" s="363" t="s">
        <v>231</v>
      </c>
      <c r="F41" s="364"/>
      <c r="G41" s="364"/>
      <c r="H41" s="365"/>
    </row>
    <row r="42" spans="2:8" ht="16.5" thickBot="1" x14ac:dyDescent="0.3">
      <c r="B42" s="363" t="s">
        <v>247</v>
      </c>
      <c r="C42" s="364"/>
      <c r="D42" s="365"/>
      <c r="E42" s="363" t="s">
        <v>231</v>
      </c>
      <c r="F42" s="364"/>
      <c r="G42" s="364"/>
      <c r="H42" s="365"/>
    </row>
    <row r="43" spans="2:8" ht="16.5" thickBot="1" x14ac:dyDescent="0.3">
      <c r="B43" s="363" t="s">
        <v>309</v>
      </c>
      <c r="C43" s="364"/>
      <c r="D43" s="365"/>
      <c r="E43" s="363"/>
      <c r="F43" s="364"/>
      <c r="G43" s="364"/>
      <c r="H43" s="445"/>
    </row>
    <row r="44" spans="2:8" ht="16.5" thickBot="1" x14ac:dyDescent="0.3">
      <c r="B44" s="363" t="s">
        <v>249</v>
      </c>
      <c r="C44" s="364"/>
      <c r="D44" s="365"/>
      <c r="E44" s="363" t="s">
        <v>231</v>
      </c>
      <c r="F44" s="364"/>
      <c r="G44" s="364"/>
      <c r="H44" s="365"/>
    </row>
    <row r="45" spans="2:8" ht="16.5" thickBot="1" x14ac:dyDescent="0.3">
      <c r="B45" s="363"/>
      <c r="C45" s="364"/>
      <c r="D45" s="365"/>
      <c r="E45" s="363"/>
      <c r="F45" s="364"/>
      <c r="G45" s="364"/>
      <c r="H45" s="365"/>
    </row>
    <row r="46" spans="2:8" ht="16.5" thickBot="1" x14ac:dyDescent="0.3">
      <c r="B46" s="366" t="s">
        <v>232</v>
      </c>
      <c r="C46" s="367"/>
      <c r="D46" s="367"/>
      <c r="E46" s="367"/>
      <c r="F46" s="367"/>
      <c r="G46" s="367"/>
      <c r="H46" s="368"/>
    </row>
    <row r="47" spans="2:8" ht="16.5" thickBot="1" x14ac:dyDescent="0.3">
      <c r="B47" s="363" t="s">
        <v>498</v>
      </c>
      <c r="C47" s="364"/>
      <c r="D47" s="364"/>
      <c r="E47" s="364"/>
      <c r="F47" s="364"/>
      <c r="G47" s="364"/>
      <c r="H47" s="445"/>
    </row>
    <row r="48" spans="2:8" ht="16.5" thickBot="1" x14ac:dyDescent="0.3">
      <c r="B48" s="188" t="s">
        <v>495</v>
      </c>
      <c r="C48" s="197"/>
      <c r="D48" s="197"/>
      <c r="E48" s="197"/>
      <c r="F48" s="197"/>
      <c r="G48" s="197"/>
      <c r="H48" s="198"/>
    </row>
    <row r="49" spans="2:8" ht="16.5" thickBot="1" x14ac:dyDescent="0.3">
      <c r="B49" s="188" t="s">
        <v>504</v>
      </c>
      <c r="C49" s="197"/>
      <c r="D49" s="197"/>
      <c r="E49" s="197"/>
      <c r="F49" s="197"/>
      <c r="G49" s="197"/>
      <c r="H49" s="198"/>
    </row>
    <row r="50" spans="2:8" ht="16.5" thickBot="1" x14ac:dyDescent="0.3">
      <c r="B50" s="678" t="s">
        <v>234</v>
      </c>
      <c r="C50" s="679"/>
      <c r="D50" s="679"/>
      <c r="E50" s="679"/>
      <c r="F50" s="679"/>
      <c r="G50" s="679"/>
      <c r="H50" s="680"/>
    </row>
    <row r="51" spans="2:8" ht="27.4" customHeight="1" x14ac:dyDescent="0.25">
      <c r="B51" s="936" t="s">
        <v>908</v>
      </c>
      <c r="C51" s="937"/>
      <c r="D51" s="937"/>
      <c r="E51" s="937"/>
      <c r="F51" s="937"/>
      <c r="G51" s="937"/>
      <c r="H51" s="938"/>
    </row>
    <row r="52" spans="2:8" ht="28.9" customHeight="1" x14ac:dyDescent="0.25">
      <c r="B52" s="436" t="s">
        <v>412</v>
      </c>
      <c r="C52" s="437"/>
      <c r="D52" s="437"/>
      <c r="E52" s="437"/>
      <c r="F52" s="437"/>
      <c r="G52" s="437"/>
      <c r="H52" s="438"/>
    </row>
    <row r="53" spans="2:8" ht="25.9" customHeight="1" thickBot="1" x14ac:dyDescent="0.3">
      <c r="B53" s="939" t="s">
        <v>413</v>
      </c>
      <c r="C53" s="940"/>
      <c r="D53" s="940"/>
      <c r="E53" s="940"/>
      <c r="F53" s="940"/>
      <c r="G53" s="940"/>
      <c r="H53" s="941"/>
    </row>
    <row r="54" spans="2:8" ht="15.75" x14ac:dyDescent="0.25">
      <c r="B54" s="933"/>
      <c r="C54" s="933"/>
      <c r="D54" s="933"/>
      <c r="E54" s="933"/>
      <c r="F54" s="934"/>
      <c r="G54" s="934"/>
      <c r="H54" s="934"/>
    </row>
    <row r="55" spans="2:8" x14ac:dyDescent="0.25">
      <c r="H55" s="93"/>
    </row>
    <row r="56" spans="2:8" ht="15.75" x14ac:dyDescent="0.25">
      <c r="B56" s="935"/>
      <c r="C56" s="935"/>
      <c r="D56" s="935"/>
      <c r="E56" s="935"/>
      <c r="F56" s="94"/>
      <c r="G56" s="93"/>
    </row>
    <row r="72" ht="43.5" customHeight="1" x14ac:dyDescent="0.25"/>
    <row r="74" ht="14.65" customHeight="1" x14ac:dyDescent="0.25"/>
    <row r="75" ht="28.9" customHeight="1" x14ac:dyDescent="0.25"/>
    <row r="76" ht="14.65" customHeight="1" x14ac:dyDescent="0.25"/>
    <row r="77" ht="28.9" customHeight="1" x14ac:dyDescent="0.25"/>
    <row r="78" ht="28.9" customHeight="1" x14ac:dyDescent="0.25"/>
    <row r="94" ht="28.9" customHeight="1" x14ac:dyDescent="0.25"/>
    <row r="95" ht="14.65" customHeight="1" x14ac:dyDescent="0.25"/>
    <row r="96" ht="14.65" customHeight="1" x14ac:dyDescent="0.25"/>
    <row r="97" ht="28.9" customHeight="1" x14ac:dyDescent="0.25"/>
    <row r="113" spans="2:7" ht="27.4" customHeight="1" x14ac:dyDescent="0.25"/>
    <row r="114" spans="2:7" ht="40.5" customHeight="1" x14ac:dyDescent="0.25"/>
    <row r="117" spans="2:7" x14ac:dyDescent="0.25">
      <c r="B117" s="75"/>
    </row>
    <row r="119" spans="2:7" x14ac:dyDescent="0.25">
      <c r="B119" s="75"/>
    </row>
    <row r="120" spans="2:7" ht="15.75" x14ac:dyDescent="0.25">
      <c r="B120" s="935"/>
      <c r="C120" s="935"/>
      <c r="D120" s="935"/>
      <c r="E120" s="935"/>
      <c r="F120" s="94"/>
      <c r="G120" s="93"/>
    </row>
    <row r="136" ht="87" customHeight="1" x14ac:dyDescent="0.25"/>
    <row r="138" ht="28.9" customHeight="1" x14ac:dyDescent="0.25"/>
    <row r="139" ht="28.9" customHeight="1" x14ac:dyDescent="0.25"/>
    <row r="140" ht="28.9" customHeight="1" x14ac:dyDescent="0.25"/>
    <row r="141" ht="28.9" customHeight="1" x14ac:dyDescent="0.25"/>
    <row r="142" ht="14.65" customHeight="1" x14ac:dyDescent="0.25"/>
    <row r="143" ht="28.9" customHeight="1" x14ac:dyDescent="0.25"/>
    <row r="144" ht="44.65" customHeight="1" x14ac:dyDescent="0.25"/>
    <row r="159" ht="87" customHeight="1" x14ac:dyDescent="0.25"/>
    <row r="160" ht="58.15" customHeight="1" x14ac:dyDescent="0.25"/>
    <row r="161" ht="58.15" customHeight="1" x14ac:dyDescent="0.25"/>
    <row r="162" ht="14.65" customHeight="1" x14ac:dyDescent="0.25"/>
    <row r="163" ht="58.15" customHeight="1" x14ac:dyDescent="0.25"/>
    <row r="164" ht="28.9" customHeight="1" x14ac:dyDescent="0.25"/>
    <row r="165" ht="43.5" customHeight="1" x14ac:dyDescent="0.25"/>
    <row r="166" ht="43.5" customHeight="1" x14ac:dyDescent="0.25"/>
    <row r="167" ht="28.9" customHeight="1" x14ac:dyDescent="0.25"/>
    <row r="168" ht="14.65" customHeight="1" x14ac:dyDescent="0.25"/>
    <row r="169" ht="31.5" customHeight="1" x14ac:dyDescent="0.25"/>
    <row r="170" ht="16.899999999999999" customHeight="1" x14ac:dyDescent="0.25"/>
    <row r="171" ht="28.9" customHeight="1" x14ac:dyDescent="0.25"/>
    <row r="172" ht="28.9" customHeight="1" x14ac:dyDescent="0.25"/>
    <row r="173" ht="28.9" customHeight="1" x14ac:dyDescent="0.25"/>
    <row r="174" ht="28.9" customHeight="1" x14ac:dyDescent="0.25"/>
    <row r="175" ht="14.65" customHeight="1" x14ac:dyDescent="0.25"/>
    <row r="176" ht="28.9" customHeight="1" x14ac:dyDescent="0.25"/>
    <row r="177" ht="28.9" customHeight="1" x14ac:dyDescent="0.25"/>
    <row r="178" ht="14.65" customHeight="1" x14ac:dyDescent="0.25"/>
    <row r="179" ht="14.65" customHeight="1" x14ac:dyDescent="0.25"/>
    <row r="180" ht="28.9" customHeight="1" x14ac:dyDescent="0.25"/>
    <row r="181" ht="14.65" customHeight="1" x14ac:dyDescent="0.25"/>
    <row r="182" ht="28.9" customHeight="1" x14ac:dyDescent="0.25"/>
    <row r="183" ht="14.65" customHeight="1" x14ac:dyDescent="0.25"/>
    <row r="184" ht="28.9" customHeight="1" x14ac:dyDescent="0.25"/>
    <row r="185" ht="16.899999999999999" customHeight="1" x14ac:dyDescent="0.25"/>
    <row r="186" ht="14.65" customHeight="1" x14ac:dyDescent="0.25"/>
    <row r="188" ht="28.9" customHeight="1" x14ac:dyDescent="0.25"/>
    <row r="189" ht="28.9" customHeight="1" x14ac:dyDescent="0.25"/>
    <row r="190" ht="14.65" customHeight="1" x14ac:dyDescent="0.25"/>
    <row r="191" ht="28.9" customHeight="1" x14ac:dyDescent="0.25"/>
    <row r="211" spans="2:2" x14ac:dyDescent="0.25">
      <c r="B211" s="75"/>
    </row>
  </sheetData>
  <mergeCells count="72">
    <mergeCell ref="B1:D1"/>
    <mergeCell ref="B2:D2"/>
    <mergeCell ref="E2:F2"/>
    <mergeCell ref="G2:H2"/>
    <mergeCell ref="B3:H3"/>
    <mergeCell ref="B4:D4"/>
    <mergeCell ref="E4:F4"/>
    <mergeCell ref="G4:H4"/>
    <mergeCell ref="B5:D5"/>
    <mergeCell ref="E5:H5"/>
    <mergeCell ref="B6:D6"/>
    <mergeCell ref="E6:H6"/>
    <mergeCell ref="B7:D7"/>
    <mergeCell ref="E7:H7"/>
    <mergeCell ref="C14:D14"/>
    <mergeCell ref="B8:D8"/>
    <mergeCell ref="E8:H8"/>
    <mergeCell ref="B9:D9"/>
    <mergeCell ref="E9:H9"/>
    <mergeCell ref="B10:D10"/>
    <mergeCell ref="E10:H10"/>
    <mergeCell ref="B11:G11"/>
    <mergeCell ref="B12:C12"/>
    <mergeCell ref="D12:G12"/>
    <mergeCell ref="B13:C13"/>
    <mergeCell ref="D13:G13"/>
    <mergeCell ref="B27:H27"/>
    <mergeCell ref="C15:D15"/>
    <mergeCell ref="B17:H17"/>
    <mergeCell ref="B18:H18"/>
    <mergeCell ref="B19:H19"/>
    <mergeCell ref="B20:H20"/>
    <mergeCell ref="B21:H21"/>
    <mergeCell ref="B22:H22"/>
    <mergeCell ref="B23:H23"/>
    <mergeCell ref="B24:H24"/>
    <mergeCell ref="B25:H25"/>
    <mergeCell ref="B26:H26"/>
    <mergeCell ref="B40:H40"/>
    <mergeCell ref="B28:H28"/>
    <mergeCell ref="B34:H34"/>
    <mergeCell ref="B35:H35"/>
    <mergeCell ref="B36:H36"/>
    <mergeCell ref="B37:H37"/>
    <mergeCell ref="B38:H38"/>
    <mergeCell ref="B39:H39"/>
    <mergeCell ref="B33:H33"/>
    <mergeCell ref="B29:H29"/>
    <mergeCell ref="B30:H30"/>
    <mergeCell ref="B31:H31"/>
    <mergeCell ref="B32:H32"/>
    <mergeCell ref="B41:D41"/>
    <mergeCell ref="E41:H41"/>
    <mergeCell ref="B42:D42"/>
    <mergeCell ref="E42:H42"/>
    <mergeCell ref="B43:D43"/>
    <mergeCell ref="E43:H43"/>
    <mergeCell ref="B44:D44"/>
    <mergeCell ref="E44:H44"/>
    <mergeCell ref="B45:D45"/>
    <mergeCell ref="E45:H45"/>
    <mergeCell ref="B46:H46"/>
    <mergeCell ref="B47:H47"/>
    <mergeCell ref="B50:H50"/>
    <mergeCell ref="B51:H51"/>
    <mergeCell ref="B52:H52"/>
    <mergeCell ref="B53:H53"/>
    <mergeCell ref="B54:C54"/>
    <mergeCell ref="D54:E54"/>
    <mergeCell ref="F54:H54"/>
    <mergeCell ref="B56:E56"/>
    <mergeCell ref="B120:E120"/>
  </mergeCells>
  <hyperlinks>
    <hyperlink ref="B1:D1" location="'Schéma d''enseignement'!G34" display="Schéma d'enseignement"/>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theme="5"/>
  </sheetPr>
  <dimension ref="B1:G65"/>
  <sheetViews>
    <sheetView workbookViewId="0">
      <selection activeCell="B1" sqref="B1:D1"/>
    </sheetView>
  </sheetViews>
  <sheetFormatPr baseColWidth="10" defaultColWidth="8.7109375" defaultRowHeight="15" x14ac:dyDescent="0.25"/>
  <cols>
    <col min="1" max="1" width="8.7109375" style="1"/>
    <col min="2" max="2" width="18.28515625" style="1" bestFit="1" customWidth="1"/>
    <col min="3" max="4" width="7.28515625" style="1" customWidth="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6"/>
      <c r="E3" s="476"/>
      <c r="F3" s="946"/>
      <c r="G3" s="946"/>
    </row>
    <row r="4" spans="2:7" ht="16.5" thickBot="1" x14ac:dyDescent="0.3">
      <c r="B4" s="366" t="s">
        <v>196</v>
      </c>
      <c r="C4" s="464"/>
      <c r="D4" s="689" t="s">
        <v>318</v>
      </c>
      <c r="E4" s="690"/>
      <c r="F4" s="690"/>
      <c r="G4" s="691"/>
    </row>
    <row r="5" spans="2:7" ht="16.5" thickBot="1" x14ac:dyDescent="0.3">
      <c r="B5" s="424" t="s">
        <v>197</v>
      </c>
      <c r="C5" s="474"/>
      <c r="D5" s="689" t="s">
        <v>345</v>
      </c>
      <c r="E5" s="690"/>
      <c r="F5" s="690"/>
      <c r="G5" s="691"/>
    </row>
    <row r="6" spans="2:7" ht="16.5" thickBot="1" x14ac:dyDescent="0.3">
      <c r="B6" s="366" t="s">
        <v>199</v>
      </c>
      <c r="C6" s="464"/>
      <c r="D6" s="689" t="s">
        <v>346</v>
      </c>
      <c r="E6" s="690"/>
      <c r="F6" s="690"/>
      <c r="G6" s="691"/>
    </row>
    <row r="7" spans="2:7" ht="16.5" thickBot="1" x14ac:dyDescent="0.3">
      <c r="B7" s="366" t="s">
        <v>201</v>
      </c>
      <c r="C7" s="464"/>
      <c r="D7" s="689" t="s">
        <v>347</v>
      </c>
      <c r="E7" s="690"/>
      <c r="F7" s="690"/>
      <c r="G7" s="691"/>
    </row>
    <row r="8" spans="2:7" ht="16.5" thickBot="1" x14ac:dyDescent="0.3">
      <c r="B8" s="366" t="s">
        <v>203</v>
      </c>
      <c r="C8" s="464"/>
      <c r="D8" s="753" t="s">
        <v>101</v>
      </c>
      <c r="E8" s="945"/>
      <c r="F8" s="945"/>
      <c r="G8" s="754"/>
    </row>
    <row r="9" spans="2:7" ht="16.5" thickBot="1" x14ac:dyDescent="0.3">
      <c r="B9" s="366" t="s">
        <v>204</v>
      </c>
      <c r="C9" s="464"/>
      <c r="D9" s="689" t="s">
        <v>410</v>
      </c>
      <c r="E9" s="690"/>
      <c r="F9" s="690"/>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35.25" thickBot="1" x14ac:dyDescent="0.3">
      <c r="B14" s="81" t="s">
        <v>102</v>
      </c>
      <c r="C14" s="410" t="s">
        <v>260</v>
      </c>
      <c r="D14" s="412"/>
      <c r="E14" s="120" t="s">
        <v>246</v>
      </c>
      <c r="F14" s="120">
        <v>2</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52.5" customHeight="1" thickBot="1" x14ac:dyDescent="0.3">
      <c r="B17" s="517" t="s">
        <v>414</v>
      </c>
      <c r="C17" s="518"/>
      <c r="D17" s="518"/>
      <c r="E17" s="518"/>
      <c r="F17" s="518"/>
      <c r="G17" s="519"/>
    </row>
    <row r="18" spans="2:7" ht="16.5" thickBot="1" x14ac:dyDescent="0.3">
      <c r="B18" s="366" t="s">
        <v>220</v>
      </c>
      <c r="C18" s="367"/>
      <c r="D18" s="367"/>
      <c r="E18" s="367"/>
      <c r="F18" s="367"/>
      <c r="G18" s="368"/>
    </row>
    <row r="19" spans="2:7" x14ac:dyDescent="0.25">
      <c r="B19" s="520" t="s">
        <v>921</v>
      </c>
      <c r="C19" s="402"/>
      <c r="D19" s="402"/>
      <c r="E19" s="402"/>
      <c r="F19" s="402"/>
      <c r="G19" s="403"/>
    </row>
    <row r="20" spans="2:7" x14ac:dyDescent="0.25">
      <c r="B20" s="513" t="s">
        <v>922</v>
      </c>
      <c r="C20" s="393"/>
      <c r="D20" s="393"/>
      <c r="E20" s="393"/>
      <c r="F20" s="393"/>
      <c r="G20" s="394"/>
    </row>
    <row r="21" spans="2:7" x14ac:dyDescent="0.25">
      <c r="B21" s="513" t="s">
        <v>923</v>
      </c>
      <c r="C21" s="393"/>
      <c r="D21" s="393"/>
      <c r="E21" s="393"/>
      <c r="F21" s="393"/>
      <c r="G21" s="394"/>
    </row>
    <row r="22" spans="2:7" x14ac:dyDescent="0.25">
      <c r="B22" s="513" t="s">
        <v>924</v>
      </c>
      <c r="C22" s="393"/>
      <c r="D22" s="393"/>
      <c r="E22" s="393"/>
      <c r="F22" s="393"/>
      <c r="G22" s="394"/>
    </row>
    <row r="23" spans="2:7" x14ac:dyDescent="0.25">
      <c r="B23" s="513" t="s">
        <v>925</v>
      </c>
      <c r="C23" s="393"/>
      <c r="D23" s="393"/>
      <c r="E23" s="393"/>
      <c r="F23" s="393"/>
      <c r="G23" s="394"/>
    </row>
    <row r="24" spans="2:7" ht="16.5" thickBot="1" x14ac:dyDescent="0.3">
      <c r="B24" s="384" t="s">
        <v>926</v>
      </c>
      <c r="C24" s="385"/>
      <c r="D24" s="385"/>
      <c r="E24" s="385"/>
      <c r="F24" s="385"/>
      <c r="G24" s="386"/>
    </row>
    <row r="25" spans="2:7" ht="16.5" thickBot="1" x14ac:dyDescent="0.3">
      <c r="B25" s="366" t="s">
        <v>221</v>
      </c>
      <c r="C25" s="367"/>
      <c r="D25" s="367"/>
      <c r="E25" s="367"/>
      <c r="F25" s="367"/>
      <c r="G25" s="368"/>
    </row>
    <row r="26" spans="2:7" ht="36" customHeight="1" thickBot="1" x14ac:dyDescent="0.3">
      <c r="B26" s="398" t="s">
        <v>927</v>
      </c>
      <c r="C26" s="399"/>
      <c r="D26" s="399"/>
      <c r="E26" s="399"/>
      <c r="F26" s="399"/>
      <c r="G26" s="400"/>
    </row>
    <row r="27" spans="2:7" ht="16.5" thickBot="1" x14ac:dyDescent="0.3">
      <c r="B27" s="366" t="s">
        <v>222</v>
      </c>
      <c r="C27" s="367"/>
      <c r="D27" s="367"/>
      <c r="E27" s="367"/>
      <c r="F27" s="367"/>
      <c r="G27" s="368"/>
    </row>
    <row r="28" spans="2:7" ht="16.5" thickBot="1" x14ac:dyDescent="0.3">
      <c r="B28" s="363" t="s">
        <v>255</v>
      </c>
      <c r="C28" s="364"/>
      <c r="D28" s="364"/>
      <c r="E28" s="364"/>
      <c r="F28" s="364"/>
      <c r="G28" s="445"/>
    </row>
    <row r="29" spans="2:7" ht="16.5" thickBot="1" x14ac:dyDescent="0.3">
      <c r="B29" s="363" t="s">
        <v>240</v>
      </c>
      <c r="C29" s="364"/>
      <c r="D29" s="364"/>
      <c r="E29" s="364"/>
      <c r="F29" s="364"/>
      <c r="G29" s="445"/>
    </row>
    <row r="30" spans="2:7" ht="16.5" thickBot="1" x14ac:dyDescent="0.3">
      <c r="B30" s="363" t="s">
        <v>42</v>
      </c>
      <c r="C30" s="364"/>
      <c r="D30" s="364"/>
      <c r="E30" s="364"/>
      <c r="F30" s="364"/>
      <c r="G30" s="445"/>
    </row>
    <row r="31" spans="2:7" ht="16.5" thickBot="1" x14ac:dyDescent="0.3">
      <c r="B31" s="363" t="s">
        <v>45</v>
      </c>
      <c r="C31" s="364"/>
      <c r="D31" s="364"/>
      <c r="E31" s="364"/>
      <c r="F31" s="364"/>
      <c r="G31" s="445"/>
    </row>
    <row r="32" spans="2:7" s="257" customFormat="1" ht="16.5" thickBot="1" x14ac:dyDescent="0.3">
      <c r="B32" s="363" t="s">
        <v>48</v>
      </c>
      <c r="C32" s="364"/>
      <c r="D32" s="364"/>
      <c r="E32" s="364"/>
      <c r="F32" s="364"/>
      <c r="G32" s="445"/>
    </row>
    <row r="33" spans="2:7" s="257" customFormat="1" ht="16.5" thickBot="1" x14ac:dyDescent="0.3">
      <c r="B33" s="363" t="s">
        <v>18</v>
      </c>
      <c r="C33" s="364"/>
      <c r="D33" s="364"/>
      <c r="E33" s="364"/>
      <c r="F33" s="364"/>
      <c r="G33" s="445"/>
    </row>
    <row r="34" spans="2:7" ht="16.5" thickBot="1" x14ac:dyDescent="0.3">
      <c r="B34" s="366" t="s">
        <v>226</v>
      </c>
      <c r="C34" s="367"/>
      <c r="D34" s="367"/>
      <c r="E34" s="367"/>
      <c r="F34" s="367"/>
      <c r="G34" s="368"/>
    </row>
    <row r="35" spans="2:7" x14ac:dyDescent="0.25">
      <c r="B35" s="520" t="s">
        <v>928</v>
      </c>
      <c r="C35" s="402"/>
      <c r="D35" s="402"/>
      <c r="E35" s="402"/>
      <c r="F35" s="402"/>
      <c r="G35" s="403"/>
    </row>
    <row r="36" spans="2:7" x14ac:dyDescent="0.25">
      <c r="B36" s="513" t="s">
        <v>929</v>
      </c>
      <c r="C36" s="393"/>
      <c r="D36" s="393"/>
      <c r="E36" s="393"/>
      <c r="F36" s="393"/>
      <c r="G36" s="394"/>
    </row>
    <row r="37" spans="2:7" x14ac:dyDescent="0.25">
      <c r="B37" s="513" t="s">
        <v>930</v>
      </c>
      <c r="C37" s="393"/>
      <c r="D37" s="393"/>
      <c r="E37" s="393"/>
      <c r="F37" s="393"/>
      <c r="G37" s="394"/>
    </row>
    <row r="38" spans="2:7" x14ac:dyDescent="0.25">
      <c r="B38" s="513" t="s">
        <v>931</v>
      </c>
      <c r="C38" s="393"/>
      <c r="D38" s="393"/>
      <c r="E38" s="393"/>
      <c r="F38" s="393"/>
      <c r="G38" s="394"/>
    </row>
    <row r="39" spans="2:7" x14ac:dyDescent="0.25">
      <c r="B39" s="513" t="s">
        <v>932</v>
      </c>
      <c r="C39" s="393"/>
      <c r="D39" s="393"/>
      <c r="E39" s="393"/>
      <c r="F39" s="393"/>
      <c r="G39" s="394"/>
    </row>
    <row r="40" spans="2:7" x14ac:dyDescent="0.25">
      <c r="B40" s="513" t="s">
        <v>933</v>
      </c>
      <c r="C40" s="393"/>
      <c r="D40" s="393"/>
      <c r="E40" s="393"/>
      <c r="F40" s="393"/>
      <c r="G40" s="394"/>
    </row>
    <row r="41" spans="2:7" x14ac:dyDescent="0.25">
      <c r="B41" s="433" t="s">
        <v>934</v>
      </c>
      <c r="C41" s="434"/>
      <c r="D41" s="434"/>
      <c r="E41" s="434"/>
      <c r="F41" s="434"/>
      <c r="G41" s="435"/>
    </row>
    <row r="42" spans="2:7" x14ac:dyDescent="0.25">
      <c r="B42" s="513" t="s">
        <v>935</v>
      </c>
      <c r="C42" s="393"/>
      <c r="D42" s="393"/>
      <c r="E42" s="393"/>
      <c r="F42" s="393"/>
      <c r="G42" s="394"/>
    </row>
    <row r="43" spans="2:7" x14ac:dyDescent="0.25">
      <c r="B43" s="513" t="s">
        <v>936</v>
      </c>
      <c r="C43" s="393"/>
      <c r="D43" s="393"/>
      <c r="E43" s="393"/>
      <c r="F43" s="393"/>
      <c r="G43" s="394"/>
    </row>
    <row r="44" spans="2:7" ht="15.75" thickBot="1" x14ac:dyDescent="0.3">
      <c r="B44" s="427" t="s">
        <v>937</v>
      </c>
      <c r="C44" s="428"/>
      <c r="D44" s="428"/>
      <c r="E44" s="428"/>
      <c r="F44" s="428"/>
      <c r="G44" s="429"/>
    </row>
    <row r="45" spans="2:7" ht="16.5" thickBot="1" x14ac:dyDescent="0.3">
      <c r="B45" s="366" t="s">
        <v>227</v>
      </c>
      <c r="C45" s="367"/>
      <c r="D45" s="367"/>
      <c r="E45" s="367"/>
      <c r="F45" s="367"/>
      <c r="G45" s="368"/>
    </row>
    <row r="46" spans="2:7" ht="16.5" thickBot="1" x14ac:dyDescent="0.3">
      <c r="B46" s="363" t="s">
        <v>245</v>
      </c>
      <c r="C46" s="365"/>
      <c r="D46" s="363" t="s">
        <v>231</v>
      </c>
      <c r="E46" s="364"/>
      <c r="F46" s="364"/>
      <c r="G46" s="365"/>
    </row>
    <row r="47" spans="2:7" ht="16.5" thickBot="1" x14ac:dyDescent="0.3">
      <c r="B47" s="363" t="s">
        <v>247</v>
      </c>
      <c r="C47" s="365"/>
      <c r="D47" s="363" t="s">
        <v>231</v>
      </c>
      <c r="E47" s="364"/>
      <c r="F47" s="364"/>
      <c r="G47" s="365"/>
    </row>
    <row r="48" spans="2:7" ht="16.5" thickBot="1" x14ac:dyDescent="0.3">
      <c r="B48" s="363" t="s">
        <v>309</v>
      </c>
      <c r="C48" s="365"/>
      <c r="D48" s="363"/>
      <c r="E48" s="364"/>
      <c r="F48" s="364"/>
      <c r="G48" s="445"/>
    </row>
    <row r="49" spans="2:7" ht="16.5" thickBot="1" x14ac:dyDescent="0.3">
      <c r="B49" s="363" t="s">
        <v>249</v>
      </c>
      <c r="C49" s="365"/>
      <c r="D49" s="363" t="s">
        <v>231</v>
      </c>
      <c r="E49" s="364"/>
      <c r="F49" s="364"/>
      <c r="G49" s="365"/>
    </row>
    <row r="50" spans="2:7" ht="16.5" thickBot="1" x14ac:dyDescent="0.3">
      <c r="B50" s="363"/>
      <c r="C50" s="365"/>
      <c r="D50" s="363"/>
      <c r="E50" s="364"/>
      <c r="F50" s="364"/>
      <c r="G50" s="365"/>
    </row>
    <row r="51" spans="2:7" ht="16.5" thickBot="1" x14ac:dyDescent="0.3">
      <c r="B51" s="366" t="s">
        <v>232</v>
      </c>
      <c r="C51" s="367"/>
      <c r="D51" s="367"/>
      <c r="E51" s="367"/>
      <c r="F51" s="367"/>
      <c r="G51" s="368"/>
    </row>
    <row r="52" spans="2:7" ht="16.5" thickBot="1" x14ac:dyDescent="0.3">
      <c r="B52" s="363" t="s">
        <v>498</v>
      </c>
      <c r="C52" s="364"/>
      <c r="D52" s="364"/>
      <c r="E52" s="364"/>
      <c r="F52" s="364"/>
      <c r="G52" s="445"/>
    </row>
    <row r="53" spans="2:7" ht="16.5" thickBot="1" x14ac:dyDescent="0.3">
      <c r="B53" s="188" t="s">
        <v>506</v>
      </c>
      <c r="C53" s="195"/>
      <c r="D53" s="195"/>
      <c r="E53" s="195"/>
      <c r="F53" s="195"/>
      <c r="G53" s="196"/>
    </row>
    <row r="54" spans="2:7" ht="16.5" thickBot="1" x14ac:dyDescent="0.3">
      <c r="B54" s="188" t="s">
        <v>505</v>
      </c>
      <c r="C54" s="195"/>
      <c r="D54" s="195"/>
      <c r="E54" s="195"/>
      <c r="F54" s="195"/>
      <c r="G54" s="196"/>
    </row>
    <row r="55" spans="2:7" ht="16.5" thickBot="1" x14ac:dyDescent="0.3">
      <c r="B55" s="678" t="s">
        <v>234</v>
      </c>
      <c r="C55" s="679"/>
      <c r="D55" s="679"/>
      <c r="E55" s="679"/>
      <c r="F55" s="679"/>
      <c r="G55" s="680"/>
    </row>
    <row r="56" spans="2:7" ht="46.15" customHeight="1" x14ac:dyDescent="0.25">
      <c r="B56" s="727" t="s">
        <v>415</v>
      </c>
      <c r="C56" s="728"/>
      <c r="D56" s="728"/>
      <c r="E56" s="728"/>
      <c r="F56" s="728"/>
      <c r="G56" s="729"/>
    </row>
    <row r="57" spans="2:7" x14ac:dyDescent="0.25">
      <c r="B57" s="721" t="s">
        <v>416</v>
      </c>
      <c r="C57" s="722"/>
      <c r="D57" s="722"/>
      <c r="E57" s="722"/>
      <c r="F57" s="722"/>
      <c r="G57" s="723"/>
    </row>
    <row r="58" spans="2:7" x14ac:dyDescent="0.25">
      <c r="B58" s="721" t="s">
        <v>417</v>
      </c>
      <c r="C58" s="722"/>
      <c r="D58" s="722"/>
      <c r="E58" s="722"/>
      <c r="F58" s="722"/>
      <c r="G58" s="723"/>
    </row>
    <row r="59" spans="2:7" x14ac:dyDescent="0.25">
      <c r="B59" s="721" t="s">
        <v>418</v>
      </c>
      <c r="C59" s="722"/>
      <c r="D59" s="722"/>
      <c r="E59" s="722"/>
      <c r="F59" s="722"/>
      <c r="G59" s="723"/>
    </row>
    <row r="60" spans="2:7" x14ac:dyDescent="0.25">
      <c r="B60" s="721" t="s">
        <v>419</v>
      </c>
      <c r="C60" s="722"/>
      <c r="D60" s="722"/>
      <c r="E60" s="722"/>
      <c r="F60" s="722"/>
      <c r="G60" s="723"/>
    </row>
    <row r="61" spans="2:7" ht="31.15" customHeight="1" x14ac:dyDescent="0.25">
      <c r="B61" s="948" t="s">
        <v>938</v>
      </c>
      <c r="C61" s="722"/>
      <c r="D61" s="722"/>
      <c r="E61" s="722"/>
      <c r="F61" s="722"/>
      <c r="G61" s="723"/>
    </row>
    <row r="62" spans="2:7" x14ac:dyDescent="0.25">
      <c r="B62" s="721" t="s">
        <v>420</v>
      </c>
      <c r="C62" s="722"/>
      <c r="D62" s="722"/>
      <c r="E62" s="722"/>
      <c r="F62" s="722"/>
      <c r="G62" s="723"/>
    </row>
    <row r="63" spans="2:7" x14ac:dyDescent="0.25">
      <c r="B63" s="730" t="s">
        <v>421</v>
      </c>
      <c r="C63" s="731"/>
      <c r="D63" s="731"/>
      <c r="E63" s="731"/>
      <c r="F63" s="731"/>
      <c r="G63" s="732"/>
    </row>
    <row r="64" spans="2:7" ht="49.9" customHeight="1" x14ac:dyDescent="0.25">
      <c r="B64" s="721" t="s">
        <v>422</v>
      </c>
      <c r="C64" s="722"/>
      <c r="D64" s="722"/>
      <c r="E64" s="722"/>
      <c r="F64" s="722"/>
      <c r="G64" s="723"/>
    </row>
    <row r="65" spans="2:7" ht="15.75" thickBot="1" x14ac:dyDescent="0.3">
      <c r="B65" s="724"/>
      <c r="C65" s="725"/>
      <c r="D65" s="725"/>
      <c r="E65" s="725"/>
      <c r="F65" s="725"/>
      <c r="G65" s="726"/>
    </row>
  </sheetData>
  <mergeCells count="77">
    <mergeCell ref="B1:D1"/>
    <mergeCell ref="B2:G2"/>
    <mergeCell ref="B3:C3"/>
    <mergeCell ref="D3:E3"/>
    <mergeCell ref="F3:G3"/>
    <mergeCell ref="B4:C4"/>
    <mergeCell ref="D4:G4"/>
    <mergeCell ref="B5:C5"/>
    <mergeCell ref="D5:G5"/>
    <mergeCell ref="B6:C6"/>
    <mergeCell ref="D6:G6"/>
    <mergeCell ref="B7:C7"/>
    <mergeCell ref="D7:G7"/>
    <mergeCell ref="B17:G17"/>
    <mergeCell ref="B8:C8"/>
    <mergeCell ref="D8:G8"/>
    <mergeCell ref="B9:C9"/>
    <mergeCell ref="D9:G9"/>
    <mergeCell ref="B10:G10"/>
    <mergeCell ref="B11:C11"/>
    <mergeCell ref="D11:G11"/>
    <mergeCell ref="B12:C12"/>
    <mergeCell ref="D12:G12"/>
    <mergeCell ref="C13:D13"/>
    <mergeCell ref="C14:D14"/>
    <mergeCell ref="B16:G16"/>
    <mergeCell ref="B18:G18"/>
    <mergeCell ref="B19:G19"/>
    <mergeCell ref="B20:G20"/>
    <mergeCell ref="B21:G21"/>
    <mergeCell ref="B22:G22"/>
    <mergeCell ref="B23:G23"/>
    <mergeCell ref="B24:G24"/>
    <mergeCell ref="B25:G25"/>
    <mergeCell ref="B26:G26"/>
    <mergeCell ref="B27:G27"/>
    <mergeCell ref="B28:G28"/>
    <mergeCell ref="B29:G29"/>
    <mergeCell ref="B43:G43"/>
    <mergeCell ref="B34:G34"/>
    <mergeCell ref="B35:G35"/>
    <mergeCell ref="B36:G36"/>
    <mergeCell ref="B37:G37"/>
    <mergeCell ref="B38:G38"/>
    <mergeCell ref="B39:G39"/>
    <mergeCell ref="B40:G40"/>
    <mergeCell ref="B41:G41"/>
    <mergeCell ref="B42:G42"/>
    <mergeCell ref="B30:G30"/>
    <mergeCell ref="B31:G31"/>
    <mergeCell ref="B32:G32"/>
    <mergeCell ref="B33:G33"/>
    <mergeCell ref="B44:G44"/>
    <mergeCell ref="B45:G45"/>
    <mergeCell ref="B46:C46"/>
    <mergeCell ref="D46:G46"/>
    <mergeCell ref="B47:C47"/>
    <mergeCell ref="D47:G47"/>
    <mergeCell ref="B58:G58"/>
    <mergeCell ref="B48:C48"/>
    <mergeCell ref="D48:G48"/>
    <mergeCell ref="B49:C49"/>
    <mergeCell ref="D49:G49"/>
    <mergeCell ref="B50:C50"/>
    <mergeCell ref="D50:G50"/>
    <mergeCell ref="B51:G51"/>
    <mergeCell ref="B52:G52"/>
    <mergeCell ref="B55:G55"/>
    <mergeCell ref="B56:G56"/>
    <mergeCell ref="B57:G57"/>
    <mergeCell ref="B65:G65"/>
    <mergeCell ref="B59:G59"/>
    <mergeCell ref="B60:G60"/>
    <mergeCell ref="B61:G61"/>
    <mergeCell ref="B62:G62"/>
    <mergeCell ref="B63:G63"/>
    <mergeCell ref="B64:G64"/>
  </mergeCells>
  <hyperlinks>
    <hyperlink ref="B1:D1" location="'Schéma d''enseignement'!G35" display="Schéma d'enseignement"/>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5"/>
  </sheetPr>
  <dimension ref="B1:G64"/>
  <sheetViews>
    <sheetView zoomScale="115" zoomScaleNormal="115" workbookViewId="0">
      <selection activeCell="B1" sqref="B1:D1"/>
    </sheetView>
  </sheetViews>
  <sheetFormatPr baseColWidth="10" defaultColWidth="8.7109375" defaultRowHeight="15" x14ac:dyDescent="0.25"/>
  <cols>
    <col min="1" max="1" width="8.7109375" style="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392</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101</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52.5" thickBot="1" x14ac:dyDescent="0.3">
      <c r="B14" s="97" t="s">
        <v>423</v>
      </c>
      <c r="C14" s="410" t="s">
        <v>260</v>
      </c>
      <c r="D14" s="412"/>
      <c r="E14" s="120" t="s">
        <v>246</v>
      </c>
      <c r="F14" s="120">
        <v>2</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15.75" thickBot="1" x14ac:dyDescent="0.3">
      <c r="B17" s="517" t="s">
        <v>424</v>
      </c>
      <c r="C17" s="518"/>
      <c r="D17" s="518"/>
      <c r="E17" s="518"/>
      <c r="F17" s="518"/>
      <c r="G17" s="519"/>
    </row>
    <row r="18" spans="2:7" ht="16.5" thickBot="1" x14ac:dyDescent="0.3">
      <c r="B18" s="366" t="s">
        <v>220</v>
      </c>
      <c r="C18" s="367"/>
      <c r="D18" s="367"/>
      <c r="E18" s="367"/>
      <c r="F18" s="367"/>
      <c r="G18" s="368"/>
    </row>
    <row r="19" spans="2:7" x14ac:dyDescent="0.25">
      <c r="B19" s="747" t="s">
        <v>425</v>
      </c>
      <c r="C19" s="748"/>
      <c r="D19" s="748"/>
      <c r="E19" s="748"/>
      <c r="F19" s="748"/>
      <c r="G19" s="749"/>
    </row>
    <row r="20" spans="2:7" x14ac:dyDescent="0.25">
      <c r="B20" s="744" t="s">
        <v>426</v>
      </c>
      <c r="C20" s="745"/>
      <c r="D20" s="745"/>
      <c r="E20" s="745"/>
      <c r="F20" s="745"/>
      <c r="G20" s="746"/>
    </row>
    <row r="21" spans="2:7" x14ac:dyDescent="0.25">
      <c r="B21" s="744" t="s">
        <v>427</v>
      </c>
      <c r="C21" s="745"/>
      <c r="D21" s="745"/>
      <c r="E21" s="745"/>
      <c r="F21" s="745"/>
      <c r="G21" s="746"/>
    </row>
    <row r="22" spans="2:7" x14ac:dyDescent="0.25">
      <c r="B22" s="744" t="s">
        <v>428</v>
      </c>
      <c r="C22" s="745"/>
      <c r="D22" s="745"/>
      <c r="E22" s="745"/>
      <c r="F22" s="745"/>
      <c r="G22" s="746"/>
    </row>
    <row r="23" spans="2:7" x14ac:dyDescent="0.25">
      <c r="B23" s="744" t="s">
        <v>429</v>
      </c>
      <c r="C23" s="745"/>
      <c r="D23" s="745"/>
      <c r="E23" s="745"/>
      <c r="F23" s="745"/>
      <c r="G23" s="746"/>
    </row>
    <row r="24" spans="2:7" x14ac:dyDescent="0.25">
      <c r="B24" s="744" t="s">
        <v>430</v>
      </c>
      <c r="C24" s="745"/>
      <c r="D24" s="745"/>
      <c r="E24" s="745"/>
      <c r="F24" s="745"/>
      <c r="G24" s="746"/>
    </row>
    <row r="25" spans="2:7" ht="15.75" thickBot="1" x14ac:dyDescent="0.3">
      <c r="B25" s="541" t="s">
        <v>431</v>
      </c>
      <c r="C25" s="542"/>
      <c r="D25" s="542"/>
      <c r="E25" s="542"/>
      <c r="F25" s="542"/>
      <c r="G25" s="543"/>
    </row>
    <row r="26" spans="2:7" ht="16.5" thickBot="1" x14ac:dyDescent="0.3">
      <c r="B26" s="366" t="s">
        <v>221</v>
      </c>
      <c r="C26" s="367"/>
      <c r="D26" s="367"/>
      <c r="E26" s="367"/>
      <c r="F26" s="367"/>
      <c r="G26" s="368"/>
    </row>
    <row r="27" spans="2:7" ht="16.5" thickBot="1" x14ac:dyDescent="0.3">
      <c r="B27" s="363" t="s">
        <v>956</v>
      </c>
      <c r="C27" s="364"/>
      <c r="D27" s="364"/>
      <c r="E27" s="364"/>
      <c r="F27" s="364"/>
      <c r="G27" s="445"/>
    </row>
    <row r="28" spans="2:7" ht="16.5" thickBot="1" x14ac:dyDescent="0.3">
      <c r="B28" s="366" t="s">
        <v>222</v>
      </c>
      <c r="C28" s="367"/>
      <c r="D28" s="367"/>
      <c r="E28" s="367"/>
      <c r="F28" s="367"/>
      <c r="G28" s="368"/>
    </row>
    <row r="29" spans="2:7" ht="16.5" thickBot="1" x14ac:dyDescent="0.3">
      <c r="B29" s="363" t="s">
        <v>21</v>
      </c>
      <c r="C29" s="364"/>
      <c r="D29" s="364"/>
      <c r="E29" s="364"/>
      <c r="F29" s="364"/>
      <c r="G29" s="445"/>
    </row>
    <row r="30" spans="2:7" ht="16.5" thickBot="1" x14ac:dyDescent="0.3">
      <c r="B30" s="363" t="s">
        <v>23</v>
      </c>
      <c r="C30" s="364"/>
      <c r="D30" s="364"/>
      <c r="E30" s="364"/>
      <c r="F30" s="364"/>
      <c r="G30" s="445"/>
    </row>
    <row r="31" spans="2:7" ht="16.5" thickBot="1" x14ac:dyDescent="0.3">
      <c r="B31" s="363" t="s">
        <v>46</v>
      </c>
      <c r="C31" s="364"/>
      <c r="D31" s="364"/>
      <c r="E31" s="364"/>
      <c r="F31" s="364"/>
      <c r="G31" s="445"/>
    </row>
    <row r="32" spans="2:7" ht="16.5" thickBot="1" x14ac:dyDescent="0.3">
      <c r="B32" s="363"/>
      <c r="C32" s="364"/>
      <c r="D32" s="364"/>
      <c r="E32" s="364"/>
      <c r="F32" s="364"/>
      <c r="G32" s="445"/>
    </row>
    <row r="33" spans="2:7" ht="16.5" thickBot="1" x14ac:dyDescent="0.3">
      <c r="B33" s="366" t="s">
        <v>226</v>
      </c>
      <c r="C33" s="367"/>
      <c r="D33" s="367"/>
      <c r="E33" s="367"/>
      <c r="F33" s="367"/>
      <c r="G33" s="368"/>
    </row>
    <row r="34" spans="2:7" x14ac:dyDescent="0.25">
      <c r="B34" s="733" t="s">
        <v>948</v>
      </c>
      <c r="C34" s="734"/>
      <c r="D34" s="734"/>
      <c r="E34" s="734"/>
      <c r="F34" s="734"/>
      <c r="G34" s="735"/>
    </row>
    <row r="35" spans="2:7" x14ac:dyDescent="0.25">
      <c r="B35" s="736" t="s">
        <v>949</v>
      </c>
      <c r="C35" s="482"/>
      <c r="D35" s="482"/>
      <c r="E35" s="482"/>
      <c r="F35" s="482"/>
      <c r="G35" s="737"/>
    </row>
    <row r="36" spans="2:7" x14ac:dyDescent="0.25">
      <c r="B36" s="736" t="s">
        <v>950</v>
      </c>
      <c r="C36" s="482"/>
      <c r="D36" s="482"/>
      <c r="E36" s="482"/>
      <c r="F36" s="482"/>
      <c r="G36" s="737"/>
    </row>
    <row r="37" spans="2:7" x14ac:dyDescent="0.25">
      <c r="B37" s="736" t="s">
        <v>951</v>
      </c>
      <c r="C37" s="482"/>
      <c r="D37" s="482"/>
      <c r="E37" s="482"/>
      <c r="F37" s="482"/>
      <c r="G37" s="737"/>
    </row>
    <row r="38" spans="2:7" x14ac:dyDescent="0.25">
      <c r="B38" s="736" t="s">
        <v>952</v>
      </c>
      <c r="C38" s="482"/>
      <c r="D38" s="482"/>
      <c r="E38" s="482"/>
      <c r="F38" s="482"/>
      <c r="G38" s="737"/>
    </row>
    <row r="39" spans="2:7" x14ac:dyDescent="0.25">
      <c r="B39" s="736" t="s">
        <v>953</v>
      </c>
      <c r="C39" s="482"/>
      <c r="D39" s="482"/>
      <c r="E39" s="482"/>
      <c r="F39" s="482"/>
      <c r="G39" s="737"/>
    </row>
    <row r="40" spans="2:7" x14ac:dyDescent="0.25">
      <c r="B40" s="736" t="s">
        <v>954</v>
      </c>
      <c r="C40" s="482"/>
      <c r="D40" s="482"/>
      <c r="E40" s="482"/>
      <c r="F40" s="482"/>
      <c r="G40" s="737"/>
    </row>
    <row r="41" spans="2:7" ht="16.5" thickBot="1" x14ac:dyDescent="0.3">
      <c r="B41" s="952" t="s">
        <v>955</v>
      </c>
      <c r="C41" s="396"/>
      <c r="D41" s="396"/>
      <c r="E41" s="396"/>
      <c r="F41" s="396"/>
      <c r="G41" s="397"/>
    </row>
    <row r="42" spans="2:7" ht="16.5" thickBot="1" x14ac:dyDescent="0.3">
      <c r="B42" s="366" t="s">
        <v>227</v>
      </c>
      <c r="C42" s="367"/>
      <c r="D42" s="367"/>
      <c r="E42" s="367"/>
      <c r="F42" s="367"/>
      <c r="G42" s="368"/>
    </row>
    <row r="43" spans="2:7" ht="16.5" thickBot="1" x14ac:dyDescent="0.3">
      <c r="B43" s="363" t="s">
        <v>245</v>
      </c>
      <c r="C43" s="364"/>
      <c r="D43" s="364"/>
      <c r="E43" s="365"/>
      <c r="F43" s="363"/>
      <c r="G43" s="365"/>
    </row>
    <row r="44" spans="2:7" ht="16.5" thickBot="1" x14ac:dyDescent="0.3">
      <c r="B44" s="363" t="s">
        <v>247</v>
      </c>
      <c r="C44" s="364"/>
      <c r="D44" s="364"/>
      <c r="E44" s="365"/>
      <c r="F44" s="363"/>
      <c r="G44" s="365"/>
    </row>
    <row r="45" spans="2:7" ht="16.5" thickBot="1" x14ac:dyDescent="0.3">
      <c r="B45" s="363" t="s">
        <v>309</v>
      </c>
      <c r="C45" s="364"/>
      <c r="D45" s="364"/>
      <c r="E45" s="365"/>
      <c r="F45" s="363" t="s">
        <v>329</v>
      </c>
      <c r="G45" s="445"/>
    </row>
    <row r="46" spans="2:7" ht="16.5" thickBot="1" x14ac:dyDescent="0.3">
      <c r="B46" s="363" t="s">
        <v>230</v>
      </c>
      <c r="C46" s="364"/>
      <c r="D46" s="364"/>
      <c r="E46" s="365"/>
      <c r="F46" s="363" t="s">
        <v>231</v>
      </c>
      <c r="G46" s="365"/>
    </row>
    <row r="47" spans="2:7" ht="16.5" thickBot="1" x14ac:dyDescent="0.3">
      <c r="B47" s="363"/>
      <c r="C47" s="364"/>
      <c r="D47" s="364"/>
      <c r="E47" s="365"/>
      <c r="F47" s="363"/>
      <c r="G47" s="365"/>
    </row>
    <row r="48" spans="2:7" ht="16.5" thickBot="1" x14ac:dyDescent="0.3">
      <c r="B48" s="949" t="s">
        <v>232</v>
      </c>
      <c r="C48" s="950"/>
      <c r="D48" s="950"/>
      <c r="E48" s="950"/>
      <c r="F48" s="950"/>
      <c r="G48" s="951"/>
    </row>
    <row r="49" spans="2:7" ht="16.5" thickBot="1" x14ac:dyDescent="0.3">
      <c r="B49" s="363" t="s">
        <v>498</v>
      </c>
      <c r="C49" s="364"/>
      <c r="D49" s="364"/>
      <c r="E49" s="364"/>
      <c r="F49" s="364"/>
      <c r="G49" s="445"/>
    </row>
    <row r="50" spans="2:7" ht="16.5" thickBot="1" x14ac:dyDescent="0.3">
      <c r="B50" s="188" t="s">
        <v>507</v>
      </c>
      <c r="C50" s="197"/>
      <c r="D50" s="197"/>
      <c r="E50" s="197"/>
      <c r="F50" s="197"/>
      <c r="G50" s="198"/>
    </row>
    <row r="51" spans="2:7" ht="16.5" thickBot="1" x14ac:dyDescent="0.3">
      <c r="B51" s="188" t="s">
        <v>194</v>
      </c>
      <c r="C51" s="197"/>
      <c r="D51" s="197"/>
      <c r="E51" s="197"/>
      <c r="F51" s="197"/>
      <c r="G51" s="198"/>
    </row>
    <row r="52" spans="2:7" ht="16.5" thickBot="1" x14ac:dyDescent="0.3">
      <c r="B52" s="678" t="s">
        <v>234</v>
      </c>
      <c r="C52" s="679"/>
      <c r="D52" s="679"/>
      <c r="E52" s="679"/>
      <c r="F52" s="679"/>
      <c r="G52" s="680"/>
    </row>
    <row r="53" spans="2:7" x14ac:dyDescent="0.25">
      <c r="B53" s="727" t="s">
        <v>939</v>
      </c>
      <c r="C53" s="728"/>
      <c r="D53" s="728"/>
      <c r="E53" s="728"/>
      <c r="F53" s="728"/>
      <c r="G53" s="729"/>
    </row>
    <row r="54" spans="2:7" x14ac:dyDescent="0.25">
      <c r="B54" s="721" t="s">
        <v>940</v>
      </c>
      <c r="C54" s="722"/>
      <c r="D54" s="722"/>
      <c r="E54" s="722"/>
      <c r="F54" s="722"/>
      <c r="G54" s="723"/>
    </row>
    <row r="55" spans="2:7" x14ac:dyDescent="0.25">
      <c r="B55" s="721" t="s">
        <v>941</v>
      </c>
      <c r="C55" s="722"/>
      <c r="D55" s="722"/>
      <c r="E55" s="722"/>
      <c r="F55" s="722"/>
      <c r="G55" s="723"/>
    </row>
    <row r="56" spans="2:7" x14ac:dyDescent="0.25">
      <c r="B56" s="721" t="s">
        <v>942</v>
      </c>
      <c r="C56" s="722"/>
      <c r="D56" s="722"/>
      <c r="E56" s="722"/>
      <c r="F56" s="722"/>
      <c r="G56" s="723"/>
    </row>
    <row r="57" spans="2:7" x14ac:dyDescent="0.25">
      <c r="B57" s="721" t="s">
        <v>943</v>
      </c>
      <c r="C57" s="722"/>
      <c r="D57" s="722"/>
      <c r="E57" s="722"/>
      <c r="F57" s="722"/>
      <c r="G57" s="723"/>
    </row>
    <row r="58" spans="2:7" x14ac:dyDescent="0.25">
      <c r="B58" s="721" t="s">
        <v>944</v>
      </c>
      <c r="C58" s="722"/>
      <c r="D58" s="722"/>
      <c r="E58" s="722"/>
      <c r="F58" s="722"/>
      <c r="G58" s="723"/>
    </row>
    <row r="59" spans="2:7" x14ac:dyDescent="0.25">
      <c r="B59" s="721" t="s">
        <v>945</v>
      </c>
      <c r="C59" s="722"/>
      <c r="D59" s="722"/>
      <c r="E59" s="722"/>
      <c r="F59" s="722"/>
      <c r="G59" s="723"/>
    </row>
    <row r="60" spans="2:7" x14ac:dyDescent="0.25">
      <c r="B60" s="730" t="s">
        <v>421</v>
      </c>
      <c r="C60" s="731"/>
      <c r="D60" s="731"/>
      <c r="E60" s="731"/>
      <c r="F60" s="731"/>
      <c r="G60" s="732"/>
    </row>
    <row r="61" spans="2:7" x14ac:dyDescent="0.25">
      <c r="B61" s="721" t="s">
        <v>946</v>
      </c>
      <c r="C61" s="722"/>
      <c r="D61" s="722"/>
      <c r="E61" s="722"/>
      <c r="F61" s="722"/>
      <c r="G61" s="723"/>
    </row>
    <row r="62" spans="2:7" x14ac:dyDescent="0.25">
      <c r="B62" s="721" t="s">
        <v>947</v>
      </c>
      <c r="C62" s="722"/>
      <c r="D62" s="722"/>
      <c r="E62" s="722"/>
      <c r="F62" s="722"/>
      <c r="G62" s="723"/>
    </row>
    <row r="63" spans="2:7" x14ac:dyDescent="0.25">
      <c r="B63" s="669" t="s">
        <v>432</v>
      </c>
      <c r="C63" s="670"/>
      <c r="D63" s="670"/>
      <c r="E63" s="670"/>
      <c r="F63" s="670"/>
      <c r="G63" s="671"/>
    </row>
    <row r="64" spans="2:7" ht="15.75" thickBot="1" x14ac:dyDescent="0.3">
      <c r="B64" s="758" t="s">
        <v>433</v>
      </c>
      <c r="C64" s="759"/>
      <c r="D64" s="759"/>
      <c r="E64" s="759"/>
      <c r="F64" s="759"/>
      <c r="G64" s="760"/>
    </row>
  </sheetData>
  <mergeCells count="74">
    <mergeCell ref="B1:D1"/>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25:G25"/>
    <mergeCell ref="B26:G26"/>
    <mergeCell ref="B27:G27"/>
    <mergeCell ref="B28:G28"/>
    <mergeCell ref="B31:G31"/>
    <mergeCell ref="B29:G29"/>
    <mergeCell ref="B30:G30"/>
    <mergeCell ref="B43:E43"/>
    <mergeCell ref="F43:G43"/>
    <mergeCell ref="B32:G32"/>
    <mergeCell ref="B33:G33"/>
    <mergeCell ref="B34:G34"/>
    <mergeCell ref="B35:G35"/>
    <mergeCell ref="B36:G36"/>
    <mergeCell ref="B37:G37"/>
    <mergeCell ref="B38:G38"/>
    <mergeCell ref="B39:G39"/>
    <mergeCell ref="B40:G40"/>
    <mergeCell ref="B41:G41"/>
    <mergeCell ref="B42:G42"/>
    <mergeCell ref="B44:E44"/>
    <mergeCell ref="F44:G44"/>
    <mergeCell ref="B45:E45"/>
    <mergeCell ref="F45:G45"/>
    <mergeCell ref="B46:E46"/>
    <mergeCell ref="F46:G46"/>
    <mergeCell ref="B59:G59"/>
    <mergeCell ref="B47:E47"/>
    <mergeCell ref="F47:G47"/>
    <mergeCell ref="B48:G48"/>
    <mergeCell ref="B49:G49"/>
    <mergeCell ref="B52:G52"/>
    <mergeCell ref="B53:G53"/>
    <mergeCell ref="B54:G54"/>
    <mergeCell ref="B55:G55"/>
    <mergeCell ref="B56:G56"/>
    <mergeCell ref="B57:G57"/>
    <mergeCell ref="B58:G58"/>
    <mergeCell ref="B60:G60"/>
    <mergeCell ref="B61:G61"/>
    <mergeCell ref="B62:G62"/>
    <mergeCell ref="B63:G63"/>
    <mergeCell ref="B64:G64"/>
  </mergeCells>
  <hyperlinks>
    <hyperlink ref="B63" r:id="rId1" display="https://www.netacad.com/"/>
    <hyperlink ref="B1:D1" location="'Schéma d''enseignement'!G36" display="Schéma d'enseignement"/>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theme="5"/>
  </sheetPr>
  <dimension ref="B1:G75"/>
  <sheetViews>
    <sheetView workbookViewId="0">
      <selection activeCell="B1" sqref="B1:D1"/>
    </sheetView>
  </sheetViews>
  <sheetFormatPr baseColWidth="10" defaultColWidth="8.7109375" defaultRowHeight="15" x14ac:dyDescent="0.25"/>
  <cols>
    <col min="1" max="1" width="8.7109375" style="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434</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52.5" thickBot="1" x14ac:dyDescent="0.3">
      <c r="B14" s="81" t="s">
        <v>434</v>
      </c>
      <c r="C14" s="410" t="s">
        <v>260</v>
      </c>
      <c r="D14" s="412"/>
      <c r="E14" s="120" t="s">
        <v>246</v>
      </c>
      <c r="F14" s="120">
        <v>2</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48.4" customHeight="1" thickBot="1" x14ac:dyDescent="0.3">
      <c r="B17" s="517" t="s">
        <v>435</v>
      </c>
      <c r="C17" s="518"/>
      <c r="D17" s="518"/>
      <c r="E17" s="518"/>
      <c r="F17" s="518"/>
      <c r="G17" s="519"/>
    </row>
    <row r="18" spans="2:7" ht="16.5" thickBot="1" x14ac:dyDescent="0.3">
      <c r="B18" s="366" t="s">
        <v>220</v>
      </c>
      <c r="C18" s="367"/>
      <c r="D18" s="367"/>
      <c r="E18" s="367"/>
      <c r="F18" s="367"/>
      <c r="G18" s="368"/>
    </row>
    <row r="19" spans="2:7" x14ac:dyDescent="0.25">
      <c r="B19" s="747" t="s">
        <v>436</v>
      </c>
      <c r="C19" s="748"/>
      <c r="D19" s="748"/>
      <c r="E19" s="748"/>
      <c r="F19" s="748"/>
      <c r="G19" s="749"/>
    </row>
    <row r="20" spans="2:7" x14ac:dyDescent="0.25">
      <c r="B20" s="744" t="s">
        <v>437</v>
      </c>
      <c r="C20" s="745"/>
      <c r="D20" s="745"/>
      <c r="E20" s="745"/>
      <c r="F20" s="745"/>
      <c r="G20" s="746"/>
    </row>
    <row r="21" spans="2:7" x14ac:dyDescent="0.25">
      <c r="B21" s="744" t="s">
        <v>438</v>
      </c>
      <c r="C21" s="745"/>
      <c r="D21" s="745"/>
      <c r="E21" s="745"/>
      <c r="F21" s="745"/>
      <c r="G21" s="746"/>
    </row>
    <row r="22" spans="2:7" ht="16.5" thickBot="1" x14ac:dyDescent="0.3">
      <c r="B22" s="384" t="s">
        <v>987</v>
      </c>
      <c r="C22" s="385"/>
      <c r="D22" s="385"/>
      <c r="E22" s="385"/>
      <c r="F22" s="385"/>
      <c r="G22" s="386"/>
    </row>
    <row r="23" spans="2:7" ht="16.5" thickBot="1" x14ac:dyDescent="0.3">
      <c r="B23" s="366" t="s">
        <v>221</v>
      </c>
      <c r="C23" s="367"/>
      <c r="D23" s="367"/>
      <c r="E23" s="367"/>
      <c r="F23" s="367"/>
      <c r="G23" s="368"/>
    </row>
    <row r="24" spans="2:7" ht="16.5" thickBot="1" x14ac:dyDescent="0.3">
      <c r="B24" s="972" t="s">
        <v>439</v>
      </c>
      <c r="C24" s="973"/>
      <c r="D24" s="973"/>
      <c r="E24" s="973"/>
      <c r="F24" s="973"/>
      <c r="G24" s="974"/>
    </row>
    <row r="25" spans="2:7" ht="16.5" thickBot="1" x14ac:dyDescent="0.3">
      <c r="B25" s="366" t="s">
        <v>222</v>
      </c>
      <c r="C25" s="367"/>
      <c r="D25" s="367"/>
      <c r="E25" s="367"/>
      <c r="F25" s="367"/>
      <c r="G25" s="368"/>
    </row>
    <row r="26" spans="2:7" ht="16.5" thickBot="1" x14ac:dyDescent="0.3">
      <c r="B26" s="363" t="s">
        <v>29</v>
      </c>
      <c r="C26" s="364"/>
      <c r="D26" s="364"/>
      <c r="E26" s="364"/>
      <c r="F26" s="364"/>
      <c r="G26" s="445"/>
    </row>
    <row r="27" spans="2:7" ht="16.5" thickBot="1" x14ac:dyDescent="0.3">
      <c r="B27" s="363" t="s">
        <v>33</v>
      </c>
      <c r="C27" s="364"/>
      <c r="D27" s="364"/>
      <c r="E27" s="364"/>
      <c r="F27" s="364"/>
      <c r="G27" s="445"/>
    </row>
    <row r="28" spans="2:7" ht="16.5" thickBot="1" x14ac:dyDescent="0.3">
      <c r="B28" s="363" t="s">
        <v>35</v>
      </c>
      <c r="C28" s="364"/>
      <c r="D28" s="364"/>
      <c r="E28" s="364"/>
      <c r="F28" s="364"/>
      <c r="G28" s="445"/>
    </row>
    <row r="29" spans="2:7" ht="16.5" thickBot="1" x14ac:dyDescent="0.3">
      <c r="B29" s="363" t="s">
        <v>46</v>
      </c>
      <c r="C29" s="364"/>
      <c r="D29" s="364"/>
      <c r="E29" s="364"/>
      <c r="F29" s="364"/>
      <c r="G29" s="445"/>
    </row>
    <row r="30" spans="2:7" ht="16.5" thickBot="1" x14ac:dyDescent="0.3">
      <c r="B30" s="363" t="s">
        <v>47</v>
      </c>
      <c r="C30" s="364"/>
      <c r="D30" s="364"/>
      <c r="E30" s="364"/>
      <c r="F30" s="364"/>
      <c r="G30" s="445"/>
    </row>
    <row r="31" spans="2:7" ht="16.5" thickBot="1" x14ac:dyDescent="0.3">
      <c r="B31" s="366" t="s">
        <v>226</v>
      </c>
      <c r="C31" s="367"/>
      <c r="D31" s="367"/>
      <c r="E31" s="367"/>
      <c r="F31" s="367"/>
      <c r="G31" s="368"/>
    </row>
    <row r="32" spans="2:7" x14ac:dyDescent="0.25">
      <c r="B32" s="520" t="s">
        <v>970</v>
      </c>
      <c r="C32" s="402"/>
      <c r="D32" s="402"/>
      <c r="E32" s="402"/>
      <c r="F32" s="402"/>
      <c r="G32" s="403"/>
    </row>
    <row r="33" spans="2:7" x14ac:dyDescent="0.25">
      <c r="B33" s="513" t="s">
        <v>971</v>
      </c>
      <c r="C33" s="393"/>
      <c r="D33" s="393"/>
      <c r="E33" s="393"/>
      <c r="F33" s="393"/>
      <c r="G33" s="394"/>
    </row>
    <row r="34" spans="2:7" x14ac:dyDescent="0.25">
      <c r="B34" s="513" t="s">
        <v>972</v>
      </c>
      <c r="C34" s="393"/>
      <c r="D34" s="393"/>
      <c r="E34" s="393"/>
      <c r="F34" s="393"/>
      <c r="G34" s="394"/>
    </row>
    <row r="35" spans="2:7" x14ac:dyDescent="0.25">
      <c r="B35" s="513" t="s">
        <v>973</v>
      </c>
      <c r="C35" s="393"/>
      <c r="D35" s="393"/>
      <c r="E35" s="393"/>
      <c r="F35" s="393"/>
      <c r="G35" s="394"/>
    </row>
    <row r="36" spans="2:7" x14ac:dyDescent="0.25">
      <c r="B36" s="513" t="s">
        <v>974</v>
      </c>
      <c r="C36" s="393"/>
      <c r="D36" s="393"/>
      <c r="E36" s="393"/>
      <c r="F36" s="393"/>
      <c r="G36" s="394"/>
    </row>
    <row r="37" spans="2:7" x14ac:dyDescent="0.25">
      <c r="B37" s="513" t="s">
        <v>975</v>
      </c>
      <c r="C37" s="393"/>
      <c r="D37" s="393"/>
      <c r="E37" s="393"/>
      <c r="F37" s="393"/>
      <c r="G37" s="394"/>
    </row>
    <row r="38" spans="2:7" x14ac:dyDescent="0.25">
      <c r="B38" s="513" t="s">
        <v>976</v>
      </c>
      <c r="C38" s="393"/>
      <c r="D38" s="393"/>
      <c r="E38" s="393"/>
      <c r="F38" s="393"/>
      <c r="G38" s="394"/>
    </row>
    <row r="39" spans="2:7" x14ac:dyDescent="0.25">
      <c r="B39" s="433"/>
      <c r="C39" s="434"/>
      <c r="D39" s="434"/>
      <c r="E39" s="434"/>
      <c r="F39" s="434"/>
      <c r="G39" s="435"/>
    </row>
    <row r="40" spans="2:7" x14ac:dyDescent="0.25">
      <c r="B40" s="513" t="s">
        <v>977</v>
      </c>
      <c r="C40" s="393"/>
      <c r="D40" s="393"/>
      <c r="E40" s="393"/>
      <c r="F40" s="393"/>
      <c r="G40" s="394"/>
    </row>
    <row r="41" spans="2:7" x14ac:dyDescent="0.25">
      <c r="B41" s="513" t="s">
        <v>978</v>
      </c>
      <c r="C41" s="393"/>
      <c r="D41" s="393"/>
      <c r="E41" s="393"/>
      <c r="F41" s="393"/>
      <c r="G41" s="394"/>
    </row>
    <row r="42" spans="2:7" x14ac:dyDescent="0.25">
      <c r="B42" s="513" t="s">
        <v>979</v>
      </c>
      <c r="C42" s="393"/>
      <c r="D42" s="393"/>
      <c r="E42" s="393"/>
      <c r="F42" s="393"/>
      <c r="G42" s="394"/>
    </row>
    <row r="43" spans="2:7" x14ac:dyDescent="0.25">
      <c r="B43" s="513" t="s">
        <v>980</v>
      </c>
      <c r="C43" s="393"/>
      <c r="D43" s="393"/>
      <c r="E43" s="393"/>
      <c r="F43" s="393"/>
      <c r="G43" s="394"/>
    </row>
    <row r="44" spans="2:7" x14ac:dyDescent="0.25">
      <c r="B44" s="966" t="s">
        <v>981</v>
      </c>
      <c r="C44" s="967"/>
      <c r="D44" s="967"/>
      <c r="E44" s="967"/>
      <c r="F44" s="967"/>
      <c r="G44" s="968"/>
    </row>
    <row r="45" spans="2:7" x14ac:dyDescent="0.25">
      <c r="B45" s="966" t="s">
        <v>982</v>
      </c>
      <c r="C45" s="967"/>
      <c r="D45" s="967"/>
      <c r="E45" s="967"/>
      <c r="F45" s="967"/>
      <c r="G45" s="968"/>
    </row>
    <row r="46" spans="2:7" x14ac:dyDescent="0.25">
      <c r="B46" s="966" t="s">
        <v>983</v>
      </c>
      <c r="C46" s="967"/>
      <c r="D46" s="967"/>
      <c r="E46" s="967"/>
      <c r="F46" s="967"/>
      <c r="G46" s="968"/>
    </row>
    <row r="47" spans="2:7" x14ac:dyDescent="0.25">
      <c r="B47" s="513" t="s">
        <v>984</v>
      </c>
      <c r="C47" s="393"/>
      <c r="D47" s="393"/>
      <c r="E47" s="393"/>
      <c r="F47" s="393"/>
      <c r="G47" s="394"/>
    </row>
    <row r="48" spans="2:7" ht="61.5" customHeight="1" x14ac:dyDescent="0.25">
      <c r="B48" s="721" t="s">
        <v>985</v>
      </c>
      <c r="C48" s="722"/>
      <c r="D48" s="722"/>
      <c r="E48" s="722"/>
      <c r="F48" s="722"/>
      <c r="G48" s="723"/>
    </row>
    <row r="49" spans="2:7" ht="41.65" customHeight="1" thickBot="1" x14ac:dyDescent="0.3">
      <c r="B49" s="969" t="s">
        <v>986</v>
      </c>
      <c r="C49" s="970"/>
      <c r="D49" s="970"/>
      <c r="E49" s="970"/>
      <c r="F49" s="970"/>
      <c r="G49" s="971"/>
    </row>
    <row r="50" spans="2:7" ht="16.5" thickBot="1" x14ac:dyDescent="0.3">
      <c r="B50" s="366" t="s">
        <v>227</v>
      </c>
      <c r="C50" s="367"/>
      <c r="D50" s="367"/>
      <c r="E50" s="367"/>
      <c r="F50" s="367"/>
      <c r="G50" s="368"/>
    </row>
    <row r="51" spans="2:7" ht="16.5" thickBot="1" x14ac:dyDescent="0.3">
      <c r="B51" s="363" t="s">
        <v>245</v>
      </c>
      <c r="C51" s="364"/>
      <c r="D51" s="364"/>
      <c r="E51" s="365"/>
      <c r="F51" s="363" t="s">
        <v>248</v>
      </c>
      <c r="G51" s="365"/>
    </row>
    <row r="52" spans="2:7" ht="16.5" thickBot="1" x14ac:dyDescent="0.3">
      <c r="B52" s="363" t="s">
        <v>247</v>
      </c>
      <c r="C52" s="364"/>
      <c r="D52" s="364"/>
      <c r="E52" s="365"/>
      <c r="F52" s="363" t="s">
        <v>265</v>
      </c>
      <c r="G52" s="365"/>
    </row>
    <row r="53" spans="2:7" ht="16.5" thickBot="1" x14ac:dyDescent="0.3">
      <c r="B53" s="363" t="s">
        <v>309</v>
      </c>
      <c r="C53" s="364"/>
      <c r="D53" s="364"/>
      <c r="E53" s="365"/>
      <c r="F53" s="363"/>
      <c r="G53" s="445"/>
    </row>
    <row r="54" spans="2:7" ht="16.5" thickBot="1" x14ac:dyDescent="0.3">
      <c r="B54" s="363" t="s">
        <v>440</v>
      </c>
      <c r="C54" s="364"/>
      <c r="D54" s="364"/>
      <c r="E54" s="365"/>
      <c r="F54" s="363" t="s">
        <v>231</v>
      </c>
      <c r="G54" s="365"/>
    </row>
    <row r="55" spans="2:7" ht="16.5" thickBot="1" x14ac:dyDescent="0.3">
      <c r="B55" s="363" t="s">
        <v>249</v>
      </c>
      <c r="C55" s="364"/>
      <c r="D55" s="364"/>
      <c r="E55" s="365"/>
      <c r="F55" s="363" t="s">
        <v>250</v>
      </c>
      <c r="G55" s="365"/>
    </row>
    <row r="56" spans="2:7" ht="16.5" thickBot="1" x14ac:dyDescent="0.3">
      <c r="B56" s="366" t="s">
        <v>232</v>
      </c>
      <c r="C56" s="367"/>
      <c r="D56" s="367"/>
      <c r="E56" s="367"/>
      <c r="F56" s="367"/>
      <c r="G56" s="368"/>
    </row>
    <row r="57" spans="2:7" ht="16.5" thickBot="1" x14ac:dyDescent="0.3">
      <c r="B57" s="861" t="s">
        <v>441</v>
      </c>
      <c r="C57" s="862"/>
      <c r="D57" s="862"/>
      <c r="E57" s="862"/>
      <c r="F57" s="862"/>
      <c r="G57" s="959"/>
    </row>
    <row r="58" spans="2:7" ht="16.5" thickBot="1" x14ac:dyDescent="0.3">
      <c r="B58" s="188" t="s">
        <v>507</v>
      </c>
      <c r="C58" s="98"/>
      <c r="D58" s="98"/>
      <c r="E58" s="98"/>
      <c r="F58" s="98"/>
      <c r="G58" s="99"/>
    </row>
    <row r="59" spans="2:7" ht="16.5" thickBot="1" x14ac:dyDescent="0.3">
      <c r="B59" s="188" t="s">
        <v>194</v>
      </c>
      <c r="C59" s="98"/>
      <c r="D59" s="98"/>
      <c r="E59" s="98"/>
      <c r="F59" s="98"/>
      <c r="G59" s="99"/>
    </row>
    <row r="60" spans="2:7" ht="16.5" thickBot="1" x14ac:dyDescent="0.3">
      <c r="B60" s="678" t="s">
        <v>234</v>
      </c>
      <c r="C60" s="679"/>
      <c r="D60" s="679"/>
      <c r="E60" s="679"/>
      <c r="F60" s="679"/>
      <c r="G60" s="680"/>
    </row>
    <row r="61" spans="2:7" x14ac:dyDescent="0.25">
      <c r="B61" s="960" t="s">
        <v>957</v>
      </c>
      <c r="C61" s="961"/>
      <c r="D61" s="961"/>
      <c r="E61" s="961"/>
      <c r="F61" s="961"/>
      <c r="G61" s="962"/>
    </row>
    <row r="62" spans="2:7" x14ac:dyDescent="0.25">
      <c r="B62" s="963" t="s">
        <v>442</v>
      </c>
      <c r="C62" s="964"/>
      <c r="D62" s="964"/>
      <c r="E62" s="964"/>
      <c r="F62" s="964"/>
      <c r="G62" s="965"/>
    </row>
    <row r="63" spans="2:7" x14ac:dyDescent="0.25">
      <c r="B63" s="963" t="s">
        <v>443</v>
      </c>
      <c r="C63" s="964"/>
      <c r="D63" s="964"/>
      <c r="E63" s="964"/>
      <c r="F63" s="964"/>
      <c r="G63" s="965"/>
    </row>
    <row r="64" spans="2:7" x14ac:dyDescent="0.25">
      <c r="B64" s="580" t="s">
        <v>958</v>
      </c>
      <c r="C64" s="581"/>
      <c r="D64" s="581"/>
      <c r="E64" s="581"/>
      <c r="F64" s="581"/>
      <c r="G64" s="582"/>
    </row>
    <row r="65" spans="2:7" x14ac:dyDescent="0.25">
      <c r="B65" s="580" t="s">
        <v>959</v>
      </c>
      <c r="C65" s="581"/>
      <c r="D65" s="581"/>
      <c r="E65" s="581"/>
      <c r="F65" s="581"/>
      <c r="G65" s="582"/>
    </row>
    <row r="66" spans="2:7" x14ac:dyDescent="0.25">
      <c r="B66" s="580" t="s">
        <v>960</v>
      </c>
      <c r="C66" s="581"/>
      <c r="D66" s="581"/>
      <c r="E66" s="581"/>
      <c r="F66" s="581"/>
      <c r="G66" s="582"/>
    </row>
    <row r="67" spans="2:7" x14ac:dyDescent="0.25">
      <c r="B67" s="580" t="s">
        <v>961</v>
      </c>
      <c r="C67" s="581"/>
      <c r="D67" s="581"/>
      <c r="E67" s="581"/>
      <c r="F67" s="581"/>
      <c r="G67" s="582"/>
    </row>
    <row r="68" spans="2:7" x14ac:dyDescent="0.25">
      <c r="B68" s="580" t="s">
        <v>962</v>
      </c>
      <c r="C68" s="581"/>
      <c r="D68" s="581"/>
      <c r="E68" s="581"/>
      <c r="F68" s="581"/>
      <c r="G68" s="582"/>
    </row>
    <row r="69" spans="2:7" x14ac:dyDescent="0.25">
      <c r="B69" s="580" t="s">
        <v>963</v>
      </c>
      <c r="C69" s="581"/>
      <c r="D69" s="581"/>
      <c r="E69" s="581"/>
      <c r="F69" s="581"/>
      <c r="G69" s="582"/>
    </row>
    <row r="70" spans="2:7" x14ac:dyDescent="0.25">
      <c r="B70" s="580" t="s">
        <v>964</v>
      </c>
      <c r="C70" s="581"/>
      <c r="D70" s="581"/>
      <c r="E70" s="581"/>
      <c r="F70" s="581"/>
      <c r="G70" s="582"/>
    </row>
    <row r="71" spans="2:7" x14ac:dyDescent="0.25">
      <c r="B71" s="580" t="s">
        <v>965</v>
      </c>
      <c r="C71" s="581"/>
      <c r="D71" s="581"/>
      <c r="E71" s="581"/>
      <c r="F71" s="581"/>
      <c r="G71" s="582"/>
    </row>
    <row r="72" spans="2:7" x14ac:dyDescent="0.25">
      <c r="B72" s="953" t="s">
        <v>966</v>
      </c>
      <c r="C72" s="954"/>
      <c r="D72" s="954"/>
      <c r="E72" s="954"/>
      <c r="F72" s="954"/>
      <c r="G72" s="955"/>
    </row>
    <row r="73" spans="2:7" x14ac:dyDescent="0.25">
      <c r="B73" s="953" t="s">
        <v>967</v>
      </c>
      <c r="C73" s="954"/>
      <c r="D73" s="954"/>
      <c r="E73" s="954"/>
      <c r="F73" s="954"/>
      <c r="G73" s="955"/>
    </row>
    <row r="74" spans="2:7" x14ac:dyDescent="0.25">
      <c r="B74" s="953" t="s">
        <v>968</v>
      </c>
      <c r="C74" s="954"/>
      <c r="D74" s="954"/>
      <c r="E74" s="954"/>
      <c r="F74" s="954"/>
      <c r="G74" s="955"/>
    </row>
    <row r="75" spans="2:7" ht="15.75" thickBot="1" x14ac:dyDescent="0.3">
      <c r="B75" s="956" t="s">
        <v>969</v>
      </c>
      <c r="C75" s="957"/>
      <c r="D75" s="957"/>
      <c r="E75" s="957"/>
      <c r="F75" s="957"/>
      <c r="G75" s="958"/>
    </row>
  </sheetData>
  <mergeCells count="85">
    <mergeCell ref="C13:D13"/>
    <mergeCell ref="C14:D14"/>
    <mergeCell ref="B1:D1"/>
    <mergeCell ref="B10:G10"/>
    <mergeCell ref="B11:C11"/>
    <mergeCell ref="D11:G11"/>
    <mergeCell ref="B12:C12"/>
    <mergeCell ref="D12:G12"/>
    <mergeCell ref="B9:E9"/>
    <mergeCell ref="F9:G9"/>
    <mergeCell ref="B6:E6"/>
    <mergeCell ref="F6:G6"/>
    <mergeCell ref="B7:E7"/>
    <mergeCell ref="F7:G7"/>
    <mergeCell ref="B8:E8"/>
    <mergeCell ref="F8:G8"/>
    <mergeCell ref="B2:G2"/>
    <mergeCell ref="B3:E3"/>
    <mergeCell ref="B4:E4"/>
    <mergeCell ref="F4:G4"/>
    <mergeCell ref="B5:E5"/>
    <mergeCell ref="F5:G5"/>
    <mergeCell ref="B16:G16"/>
    <mergeCell ref="B17:G17"/>
    <mergeCell ref="B18:G18"/>
    <mergeCell ref="B31:G31"/>
    <mergeCell ref="B20:G20"/>
    <mergeCell ref="B21:G21"/>
    <mergeCell ref="B22:G22"/>
    <mergeCell ref="B23:G23"/>
    <mergeCell ref="B24:G24"/>
    <mergeCell ref="B25:G25"/>
    <mergeCell ref="B26:G26"/>
    <mergeCell ref="B27:G27"/>
    <mergeCell ref="B28:G28"/>
    <mergeCell ref="B29:G29"/>
    <mergeCell ref="B30:G30"/>
    <mergeCell ref="B19:G19"/>
    <mergeCell ref="B43:G43"/>
    <mergeCell ref="B32:G32"/>
    <mergeCell ref="B33:G33"/>
    <mergeCell ref="B34:G34"/>
    <mergeCell ref="B35:G35"/>
    <mergeCell ref="B36:G36"/>
    <mergeCell ref="B37:G37"/>
    <mergeCell ref="B38:G38"/>
    <mergeCell ref="B39:G39"/>
    <mergeCell ref="B40:G40"/>
    <mergeCell ref="B41:G41"/>
    <mergeCell ref="B42:G42"/>
    <mergeCell ref="B53:E53"/>
    <mergeCell ref="F53:G53"/>
    <mergeCell ref="B44:G44"/>
    <mergeCell ref="B45:G45"/>
    <mergeCell ref="B46:G46"/>
    <mergeCell ref="B47:G47"/>
    <mergeCell ref="B48:G48"/>
    <mergeCell ref="B49:G49"/>
    <mergeCell ref="B50:G50"/>
    <mergeCell ref="B51:E51"/>
    <mergeCell ref="F51:G51"/>
    <mergeCell ref="B52:E52"/>
    <mergeCell ref="F52:G52"/>
    <mergeCell ref="B65:G65"/>
    <mergeCell ref="B54:E54"/>
    <mergeCell ref="F54:G54"/>
    <mergeCell ref="B55:E55"/>
    <mergeCell ref="F55:G55"/>
    <mergeCell ref="B56:G56"/>
    <mergeCell ref="B57:G57"/>
    <mergeCell ref="B60:G60"/>
    <mergeCell ref="B61:G61"/>
    <mergeCell ref="B62:G62"/>
    <mergeCell ref="B63:G63"/>
    <mergeCell ref="B64:G64"/>
    <mergeCell ref="B72:G72"/>
    <mergeCell ref="B73:G73"/>
    <mergeCell ref="B74:G74"/>
    <mergeCell ref="B75:G75"/>
    <mergeCell ref="B66:G66"/>
    <mergeCell ref="B67:G67"/>
    <mergeCell ref="B68:G68"/>
    <mergeCell ref="B69:G69"/>
    <mergeCell ref="B70:G70"/>
    <mergeCell ref="B71:G71"/>
  </mergeCells>
  <hyperlinks>
    <hyperlink ref="B62" r:id="rId1" display="http://csrc.nist.gov/publications/PubsSPs.html"/>
    <hyperlink ref="B63" r:id="rId2" display="https://www.owasp.org/"/>
    <hyperlink ref="B1:D1" location="'Schéma d''enseignement'!G37" display="Schéma d'enseignement"/>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5"/>
  </sheetPr>
  <dimension ref="B1:G70"/>
  <sheetViews>
    <sheetView workbookViewId="0">
      <selection activeCell="B1" sqref="B1:D1"/>
    </sheetView>
  </sheetViews>
  <sheetFormatPr baseColWidth="10" defaultColWidth="8.7109375" defaultRowHeight="15" x14ac:dyDescent="0.25"/>
  <cols>
    <col min="1" max="1" width="2"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434</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69.75" thickBot="1" x14ac:dyDescent="0.3">
      <c r="B14" s="81" t="s">
        <v>444</v>
      </c>
      <c r="C14" s="410">
        <v>42</v>
      </c>
      <c r="D14" s="412"/>
      <c r="E14" s="120" t="s">
        <v>217</v>
      </c>
      <c r="F14" s="120">
        <v>3</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15.75" thickBot="1" x14ac:dyDescent="0.3">
      <c r="B17" s="517" t="s">
        <v>435</v>
      </c>
      <c r="C17" s="518"/>
      <c r="D17" s="518"/>
      <c r="E17" s="518"/>
      <c r="F17" s="518"/>
      <c r="G17" s="519"/>
    </row>
    <row r="18" spans="2:7" ht="16.5" thickBot="1" x14ac:dyDescent="0.3">
      <c r="B18" s="366" t="s">
        <v>220</v>
      </c>
      <c r="C18" s="367"/>
      <c r="D18" s="367"/>
      <c r="E18" s="367"/>
      <c r="F18" s="367"/>
      <c r="G18" s="368"/>
    </row>
    <row r="19" spans="2:7" x14ac:dyDescent="0.25">
      <c r="B19" s="747" t="s">
        <v>436</v>
      </c>
      <c r="C19" s="748"/>
      <c r="D19" s="748"/>
      <c r="E19" s="748"/>
      <c r="F19" s="748"/>
      <c r="G19" s="749"/>
    </row>
    <row r="20" spans="2:7" x14ac:dyDescent="0.25">
      <c r="B20" s="744" t="s">
        <v>437</v>
      </c>
      <c r="C20" s="745"/>
      <c r="D20" s="745"/>
      <c r="E20" s="745"/>
      <c r="F20" s="745"/>
      <c r="G20" s="746"/>
    </row>
    <row r="21" spans="2:7" x14ac:dyDescent="0.25">
      <c r="B21" s="744" t="s">
        <v>438</v>
      </c>
      <c r="C21" s="745"/>
      <c r="D21" s="745"/>
      <c r="E21" s="745"/>
      <c r="F21" s="745"/>
      <c r="G21" s="746"/>
    </row>
    <row r="22" spans="2:7" ht="16.5" thickBot="1" x14ac:dyDescent="0.3">
      <c r="B22" s="384" t="s">
        <v>988</v>
      </c>
      <c r="C22" s="385"/>
      <c r="D22" s="385"/>
      <c r="E22" s="385"/>
      <c r="F22" s="385"/>
      <c r="G22" s="386"/>
    </row>
    <row r="23" spans="2:7" ht="16.5" thickBot="1" x14ac:dyDescent="0.3">
      <c r="B23" s="366" t="s">
        <v>221</v>
      </c>
      <c r="C23" s="367"/>
      <c r="D23" s="367"/>
      <c r="E23" s="367"/>
      <c r="F23" s="367"/>
      <c r="G23" s="368"/>
    </row>
    <row r="24" spans="2:7" ht="55.9" customHeight="1" thickBot="1" x14ac:dyDescent="0.3">
      <c r="B24" s="398" t="s">
        <v>989</v>
      </c>
      <c r="C24" s="399"/>
      <c r="D24" s="399"/>
      <c r="E24" s="399"/>
      <c r="F24" s="399"/>
      <c r="G24" s="400"/>
    </row>
    <row r="25" spans="2:7" ht="16.5" thickBot="1" x14ac:dyDescent="0.3">
      <c r="B25" s="366" t="s">
        <v>222</v>
      </c>
      <c r="C25" s="367"/>
      <c r="D25" s="367"/>
      <c r="E25" s="367"/>
      <c r="F25" s="367"/>
      <c r="G25" s="368"/>
    </row>
    <row r="26" spans="2:7" ht="16.5" thickBot="1" x14ac:dyDescent="0.3">
      <c r="B26" s="363" t="s">
        <v>29</v>
      </c>
      <c r="C26" s="364"/>
      <c r="D26" s="364"/>
      <c r="E26" s="364"/>
      <c r="F26" s="364"/>
      <c r="G26" s="445"/>
    </row>
    <row r="27" spans="2:7" ht="16.5" thickBot="1" x14ac:dyDescent="0.3">
      <c r="B27" s="363" t="s">
        <v>33</v>
      </c>
      <c r="C27" s="364"/>
      <c r="D27" s="364"/>
      <c r="E27" s="364"/>
      <c r="F27" s="364"/>
      <c r="G27" s="445"/>
    </row>
    <row r="28" spans="2:7" ht="16.5" thickBot="1" x14ac:dyDescent="0.3">
      <c r="B28" s="363" t="s">
        <v>35</v>
      </c>
      <c r="C28" s="364"/>
      <c r="D28" s="364"/>
      <c r="E28" s="364"/>
      <c r="F28" s="364"/>
      <c r="G28" s="445"/>
    </row>
    <row r="29" spans="2:7" ht="16.5" thickBot="1" x14ac:dyDescent="0.3">
      <c r="B29" s="363" t="s">
        <v>46</v>
      </c>
      <c r="C29" s="364"/>
      <c r="D29" s="364"/>
      <c r="E29" s="364"/>
      <c r="F29" s="364"/>
      <c r="G29" s="445"/>
    </row>
    <row r="30" spans="2:7" s="258" customFormat="1" ht="16.5" thickBot="1" x14ac:dyDescent="0.3">
      <c r="B30" s="363" t="s">
        <v>47</v>
      </c>
      <c r="C30" s="364"/>
      <c r="D30" s="364"/>
      <c r="E30" s="364"/>
      <c r="F30" s="364"/>
      <c r="G30" s="445"/>
    </row>
    <row r="31" spans="2:7" ht="16.5" thickBot="1" x14ac:dyDescent="0.3">
      <c r="B31" s="366" t="s">
        <v>226</v>
      </c>
      <c r="C31" s="367"/>
      <c r="D31" s="367"/>
      <c r="E31" s="367"/>
      <c r="F31" s="367"/>
      <c r="G31" s="368"/>
    </row>
    <row r="32" spans="2:7" ht="15.75" x14ac:dyDescent="0.25">
      <c r="B32" s="796" t="s">
        <v>990</v>
      </c>
      <c r="C32" s="797"/>
      <c r="D32" s="797"/>
      <c r="E32" s="797"/>
      <c r="F32" s="797"/>
      <c r="G32" s="798"/>
    </row>
    <row r="33" spans="2:7" x14ac:dyDescent="0.25">
      <c r="B33" s="513" t="s">
        <v>991</v>
      </c>
      <c r="C33" s="393"/>
      <c r="D33" s="393"/>
      <c r="E33" s="393"/>
      <c r="F33" s="393"/>
      <c r="G33" s="394"/>
    </row>
    <row r="34" spans="2:7" x14ac:dyDescent="0.25">
      <c r="B34" s="513" t="s">
        <v>992</v>
      </c>
      <c r="C34" s="393"/>
      <c r="D34" s="393"/>
      <c r="E34" s="393"/>
      <c r="F34" s="393"/>
      <c r="G34" s="394"/>
    </row>
    <row r="35" spans="2:7" x14ac:dyDescent="0.25">
      <c r="B35" s="513" t="s">
        <v>993</v>
      </c>
      <c r="C35" s="393"/>
      <c r="D35" s="393"/>
      <c r="E35" s="393"/>
      <c r="F35" s="393"/>
      <c r="G35" s="394"/>
    </row>
    <row r="36" spans="2:7" x14ac:dyDescent="0.25">
      <c r="B36" s="513" t="s">
        <v>994</v>
      </c>
      <c r="C36" s="393"/>
      <c r="D36" s="393"/>
      <c r="E36" s="393"/>
      <c r="F36" s="393"/>
      <c r="G36" s="394"/>
    </row>
    <row r="37" spans="2:7" x14ac:dyDescent="0.25">
      <c r="B37" s="513" t="s">
        <v>995</v>
      </c>
      <c r="C37" s="393"/>
      <c r="D37" s="393"/>
      <c r="E37" s="393"/>
      <c r="F37" s="393"/>
      <c r="G37" s="394"/>
    </row>
    <row r="38" spans="2:7" x14ac:dyDescent="0.25">
      <c r="B38" s="513" t="s">
        <v>996</v>
      </c>
      <c r="C38" s="393"/>
      <c r="D38" s="393"/>
      <c r="E38" s="393"/>
      <c r="F38" s="393"/>
      <c r="G38" s="394"/>
    </row>
    <row r="39" spans="2:7" x14ac:dyDescent="0.25">
      <c r="B39" s="513" t="s">
        <v>997</v>
      </c>
      <c r="C39" s="393"/>
      <c r="D39" s="393"/>
      <c r="E39" s="393"/>
      <c r="F39" s="393"/>
      <c r="G39" s="394"/>
    </row>
    <row r="40" spans="2:7" x14ac:dyDescent="0.25">
      <c r="B40" s="513" t="s">
        <v>998</v>
      </c>
      <c r="C40" s="393"/>
      <c r="D40" s="393"/>
      <c r="E40" s="393"/>
      <c r="F40" s="393"/>
      <c r="G40" s="394"/>
    </row>
    <row r="41" spans="2:7" x14ac:dyDescent="0.25">
      <c r="B41" s="513" t="s">
        <v>999</v>
      </c>
      <c r="C41" s="393"/>
      <c r="D41" s="393"/>
      <c r="E41" s="393"/>
      <c r="F41" s="393"/>
      <c r="G41" s="394"/>
    </row>
    <row r="42" spans="2:7" x14ac:dyDescent="0.25">
      <c r="B42" s="513" t="s">
        <v>1000</v>
      </c>
      <c r="C42" s="393"/>
      <c r="D42" s="393"/>
      <c r="E42" s="393"/>
      <c r="F42" s="393"/>
      <c r="G42" s="394"/>
    </row>
    <row r="43" spans="2:7" x14ac:dyDescent="0.25">
      <c r="B43" s="513" t="s">
        <v>1001</v>
      </c>
      <c r="C43" s="393"/>
      <c r="D43" s="393"/>
      <c r="E43" s="393"/>
      <c r="F43" s="393"/>
      <c r="G43" s="394"/>
    </row>
    <row r="44" spans="2:7" ht="15.75" thickBot="1" x14ac:dyDescent="0.3">
      <c r="B44" s="427" t="s">
        <v>1002</v>
      </c>
      <c r="C44" s="428"/>
      <c r="D44" s="428"/>
      <c r="E44" s="428"/>
      <c r="F44" s="428"/>
      <c r="G44" s="429"/>
    </row>
    <row r="45" spans="2:7" ht="16.5" thickBot="1" x14ac:dyDescent="0.3">
      <c r="B45" s="366" t="s">
        <v>227</v>
      </c>
      <c r="C45" s="367"/>
      <c r="D45" s="367"/>
      <c r="E45" s="367"/>
      <c r="F45" s="367"/>
      <c r="G45" s="368"/>
    </row>
    <row r="46" spans="2:7" ht="16.5" thickBot="1" x14ac:dyDescent="0.3">
      <c r="B46" s="363" t="s">
        <v>245</v>
      </c>
      <c r="C46" s="364"/>
      <c r="D46" s="364"/>
      <c r="E46" s="365"/>
      <c r="F46" s="363"/>
      <c r="G46" s="365"/>
    </row>
    <row r="47" spans="2:7" ht="16.5" thickBot="1" x14ac:dyDescent="0.3">
      <c r="B47" s="363" t="s">
        <v>247</v>
      </c>
      <c r="C47" s="364"/>
      <c r="D47" s="364"/>
      <c r="E47" s="365"/>
      <c r="F47" s="363"/>
      <c r="G47" s="365"/>
    </row>
    <row r="48" spans="2:7" ht="16.5" thickBot="1" x14ac:dyDescent="0.3">
      <c r="B48" s="363" t="s">
        <v>309</v>
      </c>
      <c r="C48" s="364"/>
      <c r="D48" s="364"/>
      <c r="E48" s="365"/>
      <c r="F48" s="363" t="s">
        <v>231</v>
      </c>
      <c r="G48" s="445"/>
    </row>
    <row r="49" spans="2:7" ht="16.5" thickBot="1" x14ac:dyDescent="0.3">
      <c r="B49" s="363" t="s">
        <v>249</v>
      </c>
      <c r="C49" s="364"/>
      <c r="D49" s="364"/>
      <c r="E49" s="365"/>
      <c r="F49" s="363" t="s">
        <v>231</v>
      </c>
      <c r="G49" s="365"/>
    </row>
    <row r="50" spans="2:7" ht="16.5" thickBot="1" x14ac:dyDescent="0.3">
      <c r="B50" s="363"/>
      <c r="C50" s="364"/>
      <c r="D50" s="364"/>
      <c r="E50" s="365"/>
      <c r="F50" s="363"/>
      <c r="G50" s="365"/>
    </row>
    <row r="51" spans="2:7" ht="16.5" thickBot="1" x14ac:dyDescent="0.3">
      <c r="B51" s="366" t="s">
        <v>232</v>
      </c>
      <c r="C51" s="367"/>
      <c r="D51" s="367"/>
      <c r="E51" s="367"/>
      <c r="F51" s="367"/>
      <c r="G51" s="368"/>
    </row>
    <row r="52" spans="2:7" ht="43.9" customHeight="1" thickBot="1" x14ac:dyDescent="0.3">
      <c r="B52" s="398" t="s">
        <v>1003</v>
      </c>
      <c r="C52" s="399"/>
      <c r="D52" s="399"/>
      <c r="E52" s="399"/>
      <c r="F52" s="399"/>
      <c r="G52" s="400"/>
    </row>
    <row r="53" spans="2:7" ht="16.5" thickBot="1" x14ac:dyDescent="0.3">
      <c r="B53" s="188" t="s">
        <v>509</v>
      </c>
      <c r="C53" s="197"/>
      <c r="D53" s="197"/>
      <c r="E53" s="197"/>
      <c r="F53" s="197"/>
      <c r="G53" s="198"/>
    </row>
    <row r="54" spans="2:7" ht="16.5" thickBot="1" x14ac:dyDescent="0.3">
      <c r="B54" s="188" t="s">
        <v>508</v>
      </c>
      <c r="C54" s="197"/>
      <c r="D54" s="197"/>
      <c r="E54" s="197"/>
      <c r="F54" s="197"/>
      <c r="G54" s="198"/>
    </row>
    <row r="55" spans="2:7" ht="16.5" thickBot="1" x14ac:dyDescent="0.3">
      <c r="B55" s="678" t="s">
        <v>234</v>
      </c>
      <c r="C55" s="679"/>
      <c r="D55" s="679"/>
      <c r="E55" s="679"/>
      <c r="F55" s="679"/>
      <c r="G55" s="680"/>
    </row>
    <row r="56" spans="2:7" x14ac:dyDescent="0.25">
      <c r="B56" s="960" t="s">
        <v>957</v>
      </c>
      <c r="C56" s="961"/>
      <c r="D56" s="961"/>
      <c r="E56" s="961"/>
      <c r="F56" s="961"/>
      <c r="G56" s="962"/>
    </row>
    <row r="57" spans="2:7" x14ac:dyDescent="0.25">
      <c r="B57" s="975" t="s">
        <v>442</v>
      </c>
      <c r="C57" s="976"/>
      <c r="D57" s="976"/>
      <c r="E57" s="976"/>
      <c r="F57" s="976"/>
      <c r="G57" s="977"/>
    </row>
    <row r="58" spans="2:7" x14ac:dyDescent="0.25">
      <c r="B58" s="975" t="s">
        <v>443</v>
      </c>
      <c r="C58" s="976"/>
      <c r="D58" s="976"/>
      <c r="E58" s="976"/>
      <c r="F58" s="976"/>
      <c r="G58" s="977"/>
    </row>
    <row r="59" spans="2:7" x14ac:dyDescent="0.25">
      <c r="B59" s="580" t="s">
        <v>958</v>
      </c>
      <c r="C59" s="581"/>
      <c r="D59" s="581"/>
      <c r="E59" s="581"/>
      <c r="F59" s="581"/>
      <c r="G59" s="582"/>
    </row>
    <row r="60" spans="2:7" x14ac:dyDescent="0.25">
      <c r="B60" s="580" t="s">
        <v>959</v>
      </c>
      <c r="C60" s="581"/>
      <c r="D60" s="581"/>
      <c r="E60" s="581"/>
      <c r="F60" s="581"/>
      <c r="G60" s="582"/>
    </row>
    <row r="61" spans="2:7" x14ac:dyDescent="0.25">
      <c r="B61" s="580" t="s">
        <v>960</v>
      </c>
      <c r="C61" s="581"/>
      <c r="D61" s="581"/>
      <c r="E61" s="581"/>
      <c r="F61" s="581"/>
      <c r="G61" s="582"/>
    </row>
    <row r="62" spans="2:7" x14ac:dyDescent="0.25">
      <c r="B62" s="580" t="s">
        <v>961</v>
      </c>
      <c r="C62" s="581"/>
      <c r="D62" s="581"/>
      <c r="E62" s="581"/>
      <c r="F62" s="581"/>
      <c r="G62" s="582"/>
    </row>
    <row r="63" spans="2:7" x14ac:dyDescent="0.25">
      <c r="B63" s="580" t="s">
        <v>962</v>
      </c>
      <c r="C63" s="581"/>
      <c r="D63" s="581"/>
      <c r="E63" s="581"/>
      <c r="F63" s="581"/>
      <c r="G63" s="582"/>
    </row>
    <row r="64" spans="2:7" x14ac:dyDescent="0.25">
      <c r="B64" s="580" t="s">
        <v>963</v>
      </c>
      <c r="C64" s="581"/>
      <c r="D64" s="581"/>
      <c r="E64" s="581"/>
      <c r="F64" s="581"/>
      <c r="G64" s="582"/>
    </row>
    <row r="65" spans="2:7" x14ac:dyDescent="0.25">
      <c r="B65" s="580" t="s">
        <v>964</v>
      </c>
      <c r="C65" s="581"/>
      <c r="D65" s="581"/>
      <c r="E65" s="581"/>
      <c r="F65" s="581"/>
      <c r="G65" s="582"/>
    </row>
    <row r="66" spans="2:7" x14ac:dyDescent="0.25">
      <c r="B66" s="580" t="s">
        <v>965</v>
      </c>
      <c r="C66" s="581"/>
      <c r="D66" s="581"/>
      <c r="E66" s="581"/>
      <c r="F66" s="581"/>
      <c r="G66" s="582"/>
    </row>
    <row r="67" spans="2:7" x14ac:dyDescent="0.25">
      <c r="B67" s="953" t="s">
        <v>966</v>
      </c>
      <c r="C67" s="954"/>
      <c r="D67" s="954"/>
      <c r="E67" s="954"/>
      <c r="F67" s="954"/>
      <c r="G67" s="955"/>
    </row>
    <row r="68" spans="2:7" x14ac:dyDescent="0.25">
      <c r="B68" s="953" t="s">
        <v>967</v>
      </c>
      <c r="C68" s="954"/>
      <c r="D68" s="954"/>
      <c r="E68" s="954"/>
      <c r="F68" s="954"/>
      <c r="G68" s="955"/>
    </row>
    <row r="69" spans="2:7" x14ac:dyDescent="0.25">
      <c r="B69" s="953" t="s">
        <v>968</v>
      </c>
      <c r="C69" s="954"/>
      <c r="D69" s="954"/>
      <c r="E69" s="954"/>
      <c r="F69" s="954"/>
      <c r="G69" s="955"/>
    </row>
    <row r="70" spans="2:7" ht="15.75" thickBot="1" x14ac:dyDescent="0.3">
      <c r="B70" s="956" t="s">
        <v>969</v>
      </c>
      <c r="C70" s="957"/>
      <c r="D70" s="957"/>
      <c r="E70" s="957"/>
      <c r="F70" s="957"/>
      <c r="G70" s="958"/>
    </row>
  </sheetData>
  <mergeCells count="80">
    <mergeCell ref="B1:D1"/>
    <mergeCell ref="B30:G30"/>
    <mergeCell ref="B2:G2"/>
    <mergeCell ref="B3:E3"/>
    <mergeCell ref="B4:E4"/>
    <mergeCell ref="F4:G4"/>
    <mergeCell ref="B5:E5"/>
    <mergeCell ref="F5:G5"/>
    <mergeCell ref="B12:C12"/>
    <mergeCell ref="D12:G12"/>
    <mergeCell ref="B6:E6"/>
    <mergeCell ref="F6:G6"/>
    <mergeCell ref="B7:E7"/>
    <mergeCell ref="F7:G7"/>
    <mergeCell ref="B8:E8"/>
    <mergeCell ref="F8:G8"/>
    <mergeCell ref="B9:E9"/>
    <mergeCell ref="F9:G9"/>
    <mergeCell ref="B10:G10"/>
    <mergeCell ref="B11:C11"/>
    <mergeCell ref="D11:G11"/>
    <mergeCell ref="B25:G25"/>
    <mergeCell ref="C13:D13"/>
    <mergeCell ref="C14:D14"/>
    <mergeCell ref="B16:G16"/>
    <mergeCell ref="B17:G17"/>
    <mergeCell ref="B18:G18"/>
    <mergeCell ref="B19:G19"/>
    <mergeCell ref="B20:G20"/>
    <mergeCell ref="B21:G21"/>
    <mergeCell ref="B22:G22"/>
    <mergeCell ref="B23:G23"/>
    <mergeCell ref="B24:G24"/>
    <mergeCell ref="B38:G38"/>
    <mergeCell ref="B31:G31"/>
    <mergeCell ref="B32:G32"/>
    <mergeCell ref="B33:G33"/>
    <mergeCell ref="B34:G34"/>
    <mergeCell ref="B35:G35"/>
    <mergeCell ref="B36:G36"/>
    <mergeCell ref="B37:G37"/>
    <mergeCell ref="B26:G26"/>
    <mergeCell ref="B27:G27"/>
    <mergeCell ref="B28:G28"/>
    <mergeCell ref="B29:G29"/>
    <mergeCell ref="B48:E48"/>
    <mergeCell ref="F48:G48"/>
    <mergeCell ref="B39:G39"/>
    <mergeCell ref="B40:G40"/>
    <mergeCell ref="B41:G41"/>
    <mergeCell ref="B42:G42"/>
    <mergeCell ref="B43:G43"/>
    <mergeCell ref="B44:G44"/>
    <mergeCell ref="B45:G45"/>
    <mergeCell ref="B46:E46"/>
    <mergeCell ref="F46:G46"/>
    <mergeCell ref="B47:E47"/>
    <mergeCell ref="F47:G47"/>
    <mergeCell ref="B60:G60"/>
    <mergeCell ref="B49:E49"/>
    <mergeCell ref="F49:G49"/>
    <mergeCell ref="B50:E50"/>
    <mergeCell ref="F50:G50"/>
    <mergeCell ref="B51:G51"/>
    <mergeCell ref="B52:G52"/>
    <mergeCell ref="B55:G55"/>
    <mergeCell ref="B56:G56"/>
    <mergeCell ref="B57:G57"/>
    <mergeCell ref="B58:G58"/>
    <mergeCell ref="B59:G59"/>
    <mergeCell ref="B67:G67"/>
    <mergeCell ref="B68:G68"/>
    <mergeCell ref="B69:G69"/>
    <mergeCell ref="B70:G70"/>
    <mergeCell ref="B61:G61"/>
    <mergeCell ref="B62:G62"/>
    <mergeCell ref="B63:G63"/>
    <mergeCell ref="B64:G64"/>
    <mergeCell ref="B65:G65"/>
    <mergeCell ref="B66:G66"/>
  </mergeCells>
  <hyperlinks>
    <hyperlink ref="B57" r:id="rId1" display="http://csrc.nist.gov/publications/PubsSPs.html"/>
    <hyperlink ref="B58" r:id="rId2" display="https://www.owasp.org/"/>
    <hyperlink ref="B1:D1" location="'Schéma d''enseignement'!G38" display="Schéma d'enseignement"/>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theme="5"/>
  </sheetPr>
  <dimension ref="B1:G107"/>
  <sheetViews>
    <sheetView workbookViewId="0">
      <selection activeCell="B1" sqref="B1:D1"/>
    </sheetView>
  </sheetViews>
  <sheetFormatPr baseColWidth="10" defaultColWidth="8.7109375" defaultRowHeight="15" x14ac:dyDescent="0.25"/>
  <cols>
    <col min="1" max="1" width="2.7109375"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107</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35.25" thickBot="1" x14ac:dyDescent="0.3">
      <c r="B14" s="81" t="s">
        <v>106</v>
      </c>
      <c r="C14" s="410" t="s">
        <v>260</v>
      </c>
      <c r="D14" s="412"/>
      <c r="E14" s="120" t="s">
        <v>246</v>
      </c>
      <c r="F14" s="120">
        <v>2</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48" customHeight="1" thickBot="1" x14ac:dyDescent="0.3">
      <c r="B17" s="517" t="s">
        <v>445</v>
      </c>
      <c r="C17" s="518"/>
      <c r="D17" s="518"/>
      <c r="E17" s="518"/>
      <c r="F17" s="518"/>
      <c r="G17" s="519"/>
    </row>
    <row r="18" spans="2:7" ht="16.5" thickBot="1" x14ac:dyDescent="0.3">
      <c r="B18" s="366" t="s">
        <v>220</v>
      </c>
      <c r="C18" s="367"/>
      <c r="D18" s="367"/>
      <c r="E18" s="367"/>
      <c r="F18" s="367"/>
      <c r="G18" s="368"/>
    </row>
    <row r="19" spans="2:7" x14ac:dyDescent="0.25">
      <c r="B19" s="747" t="s">
        <v>446</v>
      </c>
      <c r="C19" s="748"/>
      <c r="D19" s="748"/>
      <c r="E19" s="748"/>
      <c r="F19" s="748"/>
      <c r="G19" s="749"/>
    </row>
    <row r="20" spans="2:7" x14ac:dyDescent="0.25">
      <c r="B20" s="744" t="s">
        <v>447</v>
      </c>
      <c r="C20" s="745"/>
      <c r="D20" s="745"/>
      <c r="E20" s="745"/>
      <c r="F20" s="745"/>
      <c r="G20" s="746"/>
    </row>
    <row r="21" spans="2:7" x14ac:dyDescent="0.25">
      <c r="B21" s="744" t="s">
        <v>448</v>
      </c>
      <c r="C21" s="745"/>
      <c r="D21" s="745"/>
      <c r="E21" s="745"/>
      <c r="F21" s="745"/>
      <c r="G21" s="746"/>
    </row>
    <row r="22" spans="2:7" x14ac:dyDescent="0.25">
      <c r="B22" s="744" t="s">
        <v>449</v>
      </c>
      <c r="C22" s="745"/>
      <c r="D22" s="745"/>
      <c r="E22" s="745"/>
      <c r="F22" s="745"/>
      <c r="G22" s="746"/>
    </row>
    <row r="23" spans="2:7" x14ac:dyDescent="0.25">
      <c r="B23" s="744" t="s">
        <v>450</v>
      </c>
      <c r="C23" s="745"/>
      <c r="D23" s="745"/>
      <c r="E23" s="745"/>
      <c r="F23" s="745"/>
      <c r="G23" s="746"/>
    </row>
    <row r="24" spans="2:7" x14ac:dyDescent="0.25">
      <c r="B24" s="744" t="s">
        <v>451</v>
      </c>
      <c r="C24" s="745"/>
      <c r="D24" s="745"/>
      <c r="E24" s="745"/>
      <c r="F24" s="745"/>
      <c r="G24" s="746"/>
    </row>
    <row r="25" spans="2:7" x14ac:dyDescent="0.25">
      <c r="B25" s="744" t="s">
        <v>452</v>
      </c>
      <c r="C25" s="745"/>
      <c r="D25" s="745"/>
      <c r="E25" s="745"/>
      <c r="F25" s="745"/>
      <c r="G25" s="746"/>
    </row>
    <row r="26" spans="2:7" ht="46.9" customHeight="1" thickBot="1" x14ac:dyDescent="0.3">
      <c r="B26" s="384" t="s">
        <v>1060</v>
      </c>
      <c r="C26" s="385"/>
      <c r="D26" s="385"/>
      <c r="E26" s="385"/>
      <c r="F26" s="385"/>
      <c r="G26" s="386"/>
    </row>
    <row r="27" spans="2:7" ht="16.5" thickBot="1" x14ac:dyDescent="0.3">
      <c r="B27" s="366" t="s">
        <v>221</v>
      </c>
      <c r="C27" s="367"/>
      <c r="D27" s="367"/>
      <c r="E27" s="367"/>
      <c r="F27" s="367"/>
      <c r="G27" s="368"/>
    </row>
    <row r="28" spans="2:7" ht="16.5" thickBot="1" x14ac:dyDescent="0.3">
      <c r="B28" s="363" t="s">
        <v>1059</v>
      </c>
      <c r="C28" s="364"/>
      <c r="D28" s="364"/>
      <c r="E28" s="364"/>
      <c r="F28" s="364"/>
      <c r="G28" s="445"/>
    </row>
    <row r="29" spans="2:7" ht="16.5" thickBot="1" x14ac:dyDescent="0.3">
      <c r="B29" s="366" t="s">
        <v>222</v>
      </c>
      <c r="C29" s="367"/>
      <c r="D29" s="367"/>
      <c r="E29" s="367"/>
      <c r="F29" s="367"/>
      <c r="G29" s="368"/>
    </row>
    <row r="30" spans="2:7" ht="16.5" thickBot="1" x14ac:dyDescent="0.3">
      <c r="B30" s="363" t="s">
        <v>21</v>
      </c>
      <c r="C30" s="364"/>
      <c r="D30" s="364"/>
      <c r="E30" s="364"/>
      <c r="F30" s="364"/>
      <c r="G30" s="445"/>
    </row>
    <row r="31" spans="2:7" ht="16.5" thickBot="1" x14ac:dyDescent="0.3">
      <c r="B31" s="363" t="s">
        <v>25</v>
      </c>
      <c r="C31" s="364"/>
      <c r="D31" s="364"/>
      <c r="E31" s="364"/>
      <c r="F31" s="364"/>
      <c r="G31" s="445"/>
    </row>
    <row r="32" spans="2:7" ht="16.5" thickBot="1" x14ac:dyDescent="0.3">
      <c r="B32" s="363" t="s">
        <v>30</v>
      </c>
      <c r="C32" s="364"/>
      <c r="D32" s="364"/>
      <c r="E32" s="364"/>
      <c r="F32" s="364"/>
      <c r="G32" s="445"/>
    </row>
    <row r="33" spans="2:7" ht="16.5" thickBot="1" x14ac:dyDescent="0.3">
      <c r="B33" s="363" t="s">
        <v>32</v>
      </c>
      <c r="C33" s="364"/>
      <c r="D33" s="364"/>
      <c r="E33" s="364"/>
      <c r="F33" s="364"/>
      <c r="G33" s="445"/>
    </row>
    <row r="34" spans="2:7" s="259" customFormat="1" ht="16.5" thickBot="1" x14ac:dyDescent="0.3">
      <c r="B34" s="363" t="s">
        <v>39</v>
      </c>
      <c r="C34" s="364"/>
      <c r="D34" s="364"/>
      <c r="E34" s="364"/>
      <c r="F34" s="364"/>
      <c r="G34" s="445"/>
    </row>
    <row r="35" spans="2:7" s="259" customFormat="1" ht="16.5" thickBot="1" x14ac:dyDescent="0.3">
      <c r="B35" s="208" t="s">
        <v>40</v>
      </c>
      <c r="C35" s="209"/>
      <c r="D35" s="209"/>
      <c r="E35" s="209"/>
      <c r="F35" s="209"/>
      <c r="G35" s="210"/>
    </row>
    <row r="36" spans="2:7" s="259" customFormat="1" ht="16.5" thickBot="1" x14ac:dyDescent="0.3">
      <c r="B36" s="208" t="s">
        <v>42</v>
      </c>
      <c r="C36" s="209"/>
      <c r="D36" s="209"/>
      <c r="E36" s="209"/>
      <c r="F36" s="209"/>
      <c r="G36" s="210"/>
    </row>
    <row r="37" spans="2:7" s="259" customFormat="1" ht="16.5" thickBot="1" x14ac:dyDescent="0.3">
      <c r="B37" s="208" t="s">
        <v>44</v>
      </c>
      <c r="C37" s="209"/>
      <c r="D37" s="209"/>
      <c r="E37" s="209"/>
      <c r="F37" s="209"/>
      <c r="G37" s="210"/>
    </row>
    <row r="38" spans="2:7" s="259" customFormat="1" ht="16.5" thickBot="1" x14ac:dyDescent="0.3">
      <c r="B38" s="208" t="s">
        <v>45</v>
      </c>
      <c r="C38" s="209"/>
      <c r="D38" s="209"/>
      <c r="E38" s="209"/>
      <c r="F38" s="209"/>
      <c r="G38" s="210"/>
    </row>
    <row r="39" spans="2:7" s="259" customFormat="1" ht="16.5" thickBot="1" x14ac:dyDescent="0.3">
      <c r="B39" s="208" t="s">
        <v>48</v>
      </c>
      <c r="C39" s="209"/>
      <c r="D39" s="209"/>
      <c r="E39" s="209"/>
      <c r="F39" s="209"/>
      <c r="G39" s="210"/>
    </row>
    <row r="40" spans="2:7" ht="16.5" thickBot="1" x14ac:dyDescent="0.3">
      <c r="B40" s="366" t="s">
        <v>226</v>
      </c>
      <c r="C40" s="367"/>
      <c r="D40" s="367"/>
      <c r="E40" s="367"/>
      <c r="F40" s="367"/>
      <c r="G40" s="368"/>
    </row>
    <row r="41" spans="2:7" x14ac:dyDescent="0.25">
      <c r="B41" s="999" t="s">
        <v>1008</v>
      </c>
      <c r="C41" s="1000"/>
      <c r="D41" s="1000"/>
      <c r="E41" s="1000"/>
      <c r="F41" s="1000"/>
      <c r="G41" s="1001"/>
    </row>
    <row r="42" spans="2:7" x14ac:dyDescent="0.25">
      <c r="B42" s="513" t="s">
        <v>1009</v>
      </c>
      <c r="C42" s="393"/>
      <c r="D42" s="393"/>
      <c r="E42" s="393"/>
      <c r="F42" s="393"/>
      <c r="G42" s="394"/>
    </row>
    <row r="43" spans="2:7" x14ac:dyDescent="0.25">
      <c r="B43" s="513" t="s">
        <v>1010</v>
      </c>
      <c r="C43" s="393"/>
      <c r="D43" s="393"/>
      <c r="E43" s="393"/>
      <c r="F43" s="393"/>
      <c r="G43" s="394"/>
    </row>
    <row r="44" spans="2:7" x14ac:dyDescent="0.25">
      <c r="B44" s="987" t="s">
        <v>1011</v>
      </c>
      <c r="C44" s="988"/>
      <c r="D44" s="988"/>
      <c r="E44" s="988"/>
      <c r="F44" s="988"/>
      <c r="G44" s="989"/>
    </row>
    <row r="45" spans="2:7" x14ac:dyDescent="0.25">
      <c r="B45" s="987" t="s">
        <v>1012</v>
      </c>
      <c r="C45" s="988"/>
      <c r="D45" s="988"/>
      <c r="E45" s="988"/>
      <c r="F45" s="988"/>
      <c r="G45" s="989"/>
    </row>
    <row r="46" spans="2:7" x14ac:dyDescent="0.25">
      <c r="B46" s="987" t="s">
        <v>1013</v>
      </c>
      <c r="C46" s="988"/>
      <c r="D46" s="988"/>
      <c r="E46" s="988"/>
      <c r="F46" s="988"/>
      <c r="G46" s="989"/>
    </row>
    <row r="47" spans="2:7" x14ac:dyDescent="0.25">
      <c r="B47" s="987" t="s">
        <v>1014</v>
      </c>
      <c r="C47" s="988"/>
      <c r="D47" s="988"/>
      <c r="E47" s="988"/>
      <c r="F47" s="988"/>
      <c r="G47" s="989"/>
    </row>
    <row r="48" spans="2:7" x14ac:dyDescent="0.25">
      <c r="B48" s="987" t="s">
        <v>1015</v>
      </c>
      <c r="C48" s="988"/>
      <c r="D48" s="988"/>
      <c r="E48" s="988"/>
      <c r="F48" s="988"/>
      <c r="G48" s="989"/>
    </row>
    <row r="49" spans="2:7" ht="15.75" x14ac:dyDescent="0.25">
      <c r="B49" s="799" t="s">
        <v>1016</v>
      </c>
      <c r="C49" s="800"/>
      <c r="D49" s="800"/>
      <c r="E49" s="800"/>
      <c r="F49" s="800"/>
      <c r="G49" s="801"/>
    </row>
    <row r="50" spans="2:7" x14ac:dyDescent="0.25">
      <c r="B50" s="698" t="s">
        <v>1017</v>
      </c>
      <c r="C50" s="699"/>
      <c r="D50" s="699"/>
      <c r="E50" s="699"/>
      <c r="F50" s="699"/>
      <c r="G50" s="700"/>
    </row>
    <row r="51" spans="2:7" x14ac:dyDescent="0.25">
      <c r="B51" s="987" t="s">
        <v>1018</v>
      </c>
      <c r="C51" s="988"/>
      <c r="D51" s="988"/>
      <c r="E51" s="988"/>
      <c r="F51" s="988"/>
      <c r="G51" s="989"/>
    </row>
    <row r="52" spans="2:7" x14ac:dyDescent="0.25">
      <c r="B52" s="987" t="s">
        <v>1019</v>
      </c>
      <c r="C52" s="988"/>
      <c r="D52" s="988"/>
      <c r="E52" s="988"/>
      <c r="F52" s="988"/>
      <c r="G52" s="989"/>
    </row>
    <row r="53" spans="2:7" x14ac:dyDescent="0.25">
      <c r="B53" s="987" t="s">
        <v>1020</v>
      </c>
      <c r="C53" s="988"/>
      <c r="D53" s="988"/>
      <c r="E53" s="988"/>
      <c r="F53" s="988"/>
      <c r="G53" s="989"/>
    </row>
    <row r="54" spans="2:7" x14ac:dyDescent="0.25">
      <c r="B54" s="987" t="s">
        <v>1021</v>
      </c>
      <c r="C54" s="988"/>
      <c r="D54" s="988"/>
      <c r="E54" s="988"/>
      <c r="F54" s="988"/>
      <c r="G54" s="989"/>
    </row>
    <row r="55" spans="2:7" x14ac:dyDescent="0.25">
      <c r="B55" s="987" t="s">
        <v>1022</v>
      </c>
      <c r="C55" s="988"/>
      <c r="D55" s="988"/>
      <c r="E55" s="988"/>
      <c r="F55" s="988"/>
      <c r="G55" s="989"/>
    </row>
    <row r="56" spans="2:7" x14ac:dyDescent="0.25">
      <c r="B56" s="987" t="s">
        <v>1023</v>
      </c>
      <c r="C56" s="988"/>
      <c r="D56" s="988"/>
      <c r="E56" s="988"/>
      <c r="F56" s="988"/>
      <c r="G56" s="989"/>
    </row>
    <row r="57" spans="2:7" x14ac:dyDescent="0.25">
      <c r="B57" s="996" t="s">
        <v>1024</v>
      </c>
      <c r="C57" s="997"/>
      <c r="D57" s="997"/>
      <c r="E57" s="997"/>
      <c r="F57" s="997"/>
      <c r="G57" s="998"/>
    </row>
    <row r="58" spans="2:7" x14ac:dyDescent="0.25">
      <c r="B58" s="987" t="s">
        <v>1025</v>
      </c>
      <c r="C58" s="988"/>
      <c r="D58" s="988"/>
      <c r="E58" s="988"/>
      <c r="F58" s="988"/>
      <c r="G58" s="989"/>
    </row>
    <row r="59" spans="2:7" x14ac:dyDescent="0.25">
      <c r="B59" s="987" t="s">
        <v>1026</v>
      </c>
      <c r="C59" s="988"/>
      <c r="D59" s="988"/>
      <c r="E59" s="988"/>
      <c r="F59" s="988"/>
      <c r="G59" s="989"/>
    </row>
    <row r="60" spans="2:7" x14ac:dyDescent="0.25">
      <c r="B60" s="987" t="s">
        <v>1027</v>
      </c>
      <c r="C60" s="988"/>
      <c r="D60" s="988"/>
      <c r="E60" s="988"/>
      <c r="F60" s="988"/>
      <c r="G60" s="989"/>
    </row>
    <row r="61" spans="2:7" x14ac:dyDescent="0.25">
      <c r="B61" s="987" t="s">
        <v>1028</v>
      </c>
      <c r="C61" s="988"/>
      <c r="D61" s="988"/>
      <c r="E61" s="988"/>
      <c r="F61" s="988"/>
      <c r="G61" s="989"/>
    </row>
    <row r="62" spans="2:7" x14ac:dyDescent="0.25">
      <c r="B62" s="987" t="s">
        <v>1029</v>
      </c>
      <c r="C62" s="988"/>
      <c r="D62" s="988"/>
      <c r="E62" s="988"/>
      <c r="F62" s="988"/>
      <c r="G62" s="989"/>
    </row>
    <row r="63" spans="2:7" x14ac:dyDescent="0.25">
      <c r="B63" s="987" t="s">
        <v>1030</v>
      </c>
      <c r="C63" s="988"/>
      <c r="D63" s="988"/>
      <c r="E63" s="988"/>
      <c r="F63" s="988"/>
      <c r="G63" s="989"/>
    </row>
    <row r="64" spans="2:7" x14ac:dyDescent="0.25">
      <c r="B64" s="987" t="s">
        <v>1031</v>
      </c>
      <c r="C64" s="988"/>
      <c r="D64" s="988"/>
      <c r="E64" s="988"/>
      <c r="F64" s="988"/>
      <c r="G64" s="989"/>
    </row>
    <row r="65" spans="2:7" x14ac:dyDescent="0.25">
      <c r="B65" s="987" t="s">
        <v>1032</v>
      </c>
      <c r="C65" s="988"/>
      <c r="D65" s="988"/>
      <c r="E65" s="988"/>
      <c r="F65" s="988"/>
      <c r="G65" s="989"/>
    </row>
    <row r="66" spans="2:7" x14ac:dyDescent="0.25">
      <c r="B66" s="996" t="s">
        <v>1033</v>
      </c>
      <c r="C66" s="997"/>
      <c r="D66" s="997"/>
      <c r="E66" s="997"/>
      <c r="F66" s="997"/>
      <c r="G66" s="998"/>
    </row>
    <row r="67" spans="2:7" x14ac:dyDescent="0.25">
      <c r="B67" s="987" t="s">
        <v>1034</v>
      </c>
      <c r="C67" s="988"/>
      <c r="D67" s="988"/>
      <c r="E67" s="988"/>
      <c r="F67" s="988"/>
      <c r="G67" s="989"/>
    </row>
    <row r="68" spans="2:7" x14ac:dyDescent="0.25">
      <c r="B68" s="987" t="s">
        <v>1035</v>
      </c>
      <c r="C68" s="988"/>
      <c r="D68" s="988"/>
      <c r="E68" s="988"/>
      <c r="F68" s="988"/>
      <c r="G68" s="989"/>
    </row>
    <row r="69" spans="2:7" x14ac:dyDescent="0.25">
      <c r="B69" s="987" t="s">
        <v>1036</v>
      </c>
      <c r="C69" s="988"/>
      <c r="D69" s="988"/>
      <c r="E69" s="988"/>
      <c r="F69" s="988"/>
      <c r="G69" s="989"/>
    </row>
    <row r="70" spans="2:7" x14ac:dyDescent="0.25">
      <c r="B70" s="987" t="s">
        <v>1037</v>
      </c>
      <c r="C70" s="988"/>
      <c r="D70" s="988"/>
      <c r="E70" s="988"/>
      <c r="F70" s="988"/>
      <c r="G70" s="989"/>
    </row>
    <row r="71" spans="2:7" x14ac:dyDescent="0.25">
      <c r="B71" s="996" t="s">
        <v>1038</v>
      </c>
      <c r="C71" s="997"/>
      <c r="D71" s="997"/>
      <c r="E71" s="997"/>
      <c r="F71" s="997"/>
      <c r="G71" s="998"/>
    </row>
    <row r="72" spans="2:7" x14ac:dyDescent="0.25">
      <c r="B72" s="987" t="s">
        <v>1039</v>
      </c>
      <c r="C72" s="988"/>
      <c r="D72" s="988"/>
      <c r="E72" s="988"/>
      <c r="F72" s="988"/>
      <c r="G72" s="989"/>
    </row>
    <row r="73" spans="2:7" x14ac:dyDescent="0.25">
      <c r="B73" s="987" t="s">
        <v>1040</v>
      </c>
      <c r="C73" s="988"/>
      <c r="D73" s="988"/>
      <c r="E73" s="988"/>
      <c r="F73" s="988"/>
      <c r="G73" s="989"/>
    </row>
    <row r="74" spans="2:7" x14ac:dyDescent="0.25">
      <c r="B74" s="987" t="s">
        <v>1041</v>
      </c>
      <c r="C74" s="988"/>
      <c r="D74" s="988"/>
      <c r="E74" s="988"/>
      <c r="F74" s="988"/>
      <c r="G74" s="989"/>
    </row>
    <row r="75" spans="2:7" x14ac:dyDescent="0.25">
      <c r="B75" s="987" t="s">
        <v>1042</v>
      </c>
      <c r="C75" s="988"/>
      <c r="D75" s="988"/>
      <c r="E75" s="988"/>
      <c r="F75" s="988"/>
      <c r="G75" s="989"/>
    </row>
    <row r="76" spans="2:7" x14ac:dyDescent="0.25">
      <c r="B76" s="987" t="s">
        <v>1043</v>
      </c>
      <c r="C76" s="988"/>
      <c r="D76" s="988"/>
      <c r="E76" s="988"/>
      <c r="F76" s="988"/>
      <c r="G76" s="989"/>
    </row>
    <row r="77" spans="2:7" x14ac:dyDescent="0.25">
      <c r="B77" s="993" t="s">
        <v>1044</v>
      </c>
      <c r="C77" s="994"/>
      <c r="D77" s="994"/>
      <c r="E77" s="994"/>
      <c r="F77" s="994"/>
      <c r="G77" s="995"/>
    </row>
    <row r="78" spans="2:7" x14ac:dyDescent="0.25">
      <c r="B78" s="987" t="s">
        <v>1045</v>
      </c>
      <c r="C78" s="988"/>
      <c r="D78" s="988"/>
      <c r="E78" s="988"/>
      <c r="F78" s="988"/>
      <c r="G78" s="989"/>
    </row>
    <row r="79" spans="2:7" x14ac:dyDescent="0.25">
      <c r="B79" s="984" t="s">
        <v>1046</v>
      </c>
      <c r="C79" s="985"/>
      <c r="D79" s="985"/>
      <c r="E79" s="985"/>
      <c r="F79" s="985"/>
      <c r="G79" s="986"/>
    </row>
    <row r="80" spans="2:7" x14ac:dyDescent="0.25">
      <c r="B80" s="984" t="s">
        <v>1047</v>
      </c>
      <c r="C80" s="985"/>
      <c r="D80" s="985"/>
      <c r="E80" s="985"/>
      <c r="F80" s="985"/>
      <c r="G80" s="986"/>
    </row>
    <row r="81" spans="2:7" x14ac:dyDescent="0.25">
      <c r="B81" s="984" t="s">
        <v>1048</v>
      </c>
      <c r="C81" s="985"/>
      <c r="D81" s="985"/>
      <c r="E81" s="985"/>
      <c r="F81" s="985"/>
      <c r="G81" s="986"/>
    </row>
    <row r="82" spans="2:7" x14ac:dyDescent="0.25">
      <c r="B82" s="984" t="s">
        <v>1049</v>
      </c>
      <c r="C82" s="985"/>
      <c r="D82" s="985"/>
      <c r="E82" s="985"/>
      <c r="F82" s="985"/>
      <c r="G82" s="986"/>
    </row>
    <row r="83" spans="2:7" x14ac:dyDescent="0.25">
      <c r="B83" s="987" t="s">
        <v>1050</v>
      </c>
      <c r="C83" s="988"/>
      <c r="D83" s="988"/>
      <c r="E83" s="988"/>
      <c r="F83" s="988"/>
      <c r="G83" s="989"/>
    </row>
    <row r="84" spans="2:7" x14ac:dyDescent="0.25">
      <c r="B84" s="984" t="s">
        <v>1051</v>
      </c>
      <c r="C84" s="985"/>
      <c r="D84" s="985"/>
      <c r="E84" s="985"/>
      <c r="F84" s="985"/>
      <c r="G84" s="986"/>
    </row>
    <row r="85" spans="2:7" x14ac:dyDescent="0.25">
      <c r="B85" s="984" t="s">
        <v>1052</v>
      </c>
      <c r="C85" s="985"/>
      <c r="D85" s="985"/>
      <c r="E85" s="985"/>
      <c r="F85" s="985"/>
      <c r="G85" s="986"/>
    </row>
    <row r="86" spans="2:7" x14ac:dyDescent="0.25">
      <c r="B86" s="984" t="s">
        <v>1053</v>
      </c>
      <c r="C86" s="985"/>
      <c r="D86" s="985"/>
      <c r="E86" s="985"/>
      <c r="F86" s="985"/>
      <c r="G86" s="986"/>
    </row>
    <row r="87" spans="2:7" x14ac:dyDescent="0.25">
      <c r="B87" s="987" t="s">
        <v>1054</v>
      </c>
      <c r="C87" s="988"/>
      <c r="D87" s="988"/>
      <c r="E87" s="988"/>
      <c r="F87" s="988"/>
      <c r="G87" s="989"/>
    </row>
    <row r="88" spans="2:7" x14ac:dyDescent="0.25">
      <c r="B88" s="984" t="s">
        <v>1055</v>
      </c>
      <c r="C88" s="985"/>
      <c r="D88" s="985"/>
      <c r="E88" s="985"/>
      <c r="F88" s="985"/>
      <c r="G88" s="986"/>
    </row>
    <row r="89" spans="2:7" x14ac:dyDescent="0.25">
      <c r="B89" s="984" t="s">
        <v>1056</v>
      </c>
      <c r="C89" s="985"/>
      <c r="D89" s="985"/>
      <c r="E89" s="985"/>
      <c r="F89" s="985"/>
      <c r="G89" s="986"/>
    </row>
    <row r="90" spans="2:7" x14ac:dyDescent="0.25">
      <c r="B90" s="987" t="s">
        <v>1057</v>
      </c>
      <c r="C90" s="988"/>
      <c r="D90" s="988"/>
      <c r="E90" s="988"/>
      <c r="F90" s="988"/>
      <c r="G90" s="989"/>
    </row>
    <row r="91" spans="2:7" ht="15.75" thickBot="1" x14ac:dyDescent="0.3">
      <c r="B91" s="990" t="s">
        <v>1058</v>
      </c>
      <c r="C91" s="991"/>
      <c r="D91" s="991"/>
      <c r="E91" s="991"/>
      <c r="F91" s="991"/>
      <c r="G91" s="992"/>
    </row>
    <row r="92" spans="2:7" ht="16.5" thickBot="1" x14ac:dyDescent="0.3">
      <c r="B92" s="366" t="s">
        <v>227</v>
      </c>
      <c r="C92" s="367"/>
      <c r="D92" s="367"/>
      <c r="E92" s="367"/>
      <c r="F92" s="367"/>
      <c r="G92" s="368"/>
    </row>
    <row r="93" spans="2:7" ht="16.5" thickBot="1" x14ac:dyDescent="0.3">
      <c r="B93" s="363" t="s">
        <v>245</v>
      </c>
      <c r="C93" s="364"/>
      <c r="D93" s="364"/>
      <c r="E93" s="365"/>
      <c r="F93" s="363" t="s">
        <v>231</v>
      </c>
      <c r="G93" s="365"/>
    </row>
    <row r="94" spans="2:7" ht="16.5" thickBot="1" x14ac:dyDescent="0.3">
      <c r="B94" s="363" t="s">
        <v>247</v>
      </c>
      <c r="C94" s="364"/>
      <c r="D94" s="364"/>
      <c r="E94" s="365"/>
      <c r="F94" s="363" t="s">
        <v>231</v>
      </c>
      <c r="G94" s="365"/>
    </row>
    <row r="95" spans="2:7" ht="16.5" thickBot="1" x14ac:dyDescent="0.3">
      <c r="B95" s="363" t="s">
        <v>309</v>
      </c>
      <c r="C95" s="364"/>
      <c r="D95" s="364"/>
      <c r="E95" s="365"/>
      <c r="F95" s="363"/>
      <c r="G95" s="445"/>
    </row>
    <row r="96" spans="2:7" ht="16.5" thickBot="1" x14ac:dyDescent="0.3">
      <c r="B96" s="363" t="s">
        <v>249</v>
      </c>
      <c r="C96" s="364"/>
      <c r="D96" s="364"/>
      <c r="E96" s="365"/>
      <c r="F96" s="363" t="s">
        <v>231</v>
      </c>
      <c r="G96" s="365"/>
    </row>
    <row r="97" spans="2:7" ht="16.5" thickBot="1" x14ac:dyDescent="0.3">
      <c r="B97" s="363"/>
      <c r="C97" s="364"/>
      <c r="D97" s="364"/>
      <c r="E97" s="365"/>
      <c r="F97" s="363"/>
      <c r="G97" s="365"/>
    </row>
    <row r="98" spans="2:7" ht="16.5" thickBot="1" x14ac:dyDescent="0.3">
      <c r="B98" s="366" t="s">
        <v>232</v>
      </c>
      <c r="C98" s="367"/>
      <c r="D98" s="367"/>
      <c r="E98" s="367"/>
      <c r="F98" s="367"/>
      <c r="G98" s="368"/>
    </row>
    <row r="99" spans="2:7" ht="16.5" thickBot="1" x14ac:dyDescent="0.3">
      <c r="B99" s="363" t="s">
        <v>498</v>
      </c>
      <c r="C99" s="364"/>
      <c r="D99" s="364"/>
      <c r="E99" s="364"/>
      <c r="F99" s="364"/>
      <c r="G99" s="445"/>
    </row>
    <row r="100" spans="2:7" ht="16.5" thickBot="1" x14ac:dyDescent="0.3">
      <c r="B100" s="188" t="s">
        <v>104</v>
      </c>
      <c r="C100" s="197"/>
      <c r="D100" s="197"/>
      <c r="E100" s="197"/>
      <c r="F100" s="197"/>
      <c r="G100" s="198"/>
    </row>
    <row r="101" spans="2:7" ht="16.5" thickBot="1" x14ac:dyDescent="0.3">
      <c r="B101" s="188" t="s">
        <v>194</v>
      </c>
      <c r="C101" s="197"/>
      <c r="D101" s="197"/>
      <c r="E101" s="197"/>
      <c r="F101" s="197"/>
      <c r="G101" s="198"/>
    </row>
    <row r="102" spans="2:7" ht="16.5" thickBot="1" x14ac:dyDescent="0.3">
      <c r="B102" s="188" t="s">
        <v>510</v>
      </c>
      <c r="C102" s="197"/>
      <c r="D102" s="197"/>
      <c r="E102" s="197"/>
      <c r="F102" s="197"/>
      <c r="G102" s="198"/>
    </row>
    <row r="103" spans="2:7" ht="16.5" thickBot="1" x14ac:dyDescent="0.3">
      <c r="B103" s="678" t="s">
        <v>234</v>
      </c>
      <c r="C103" s="679"/>
      <c r="D103" s="679"/>
      <c r="E103" s="679"/>
      <c r="F103" s="679"/>
      <c r="G103" s="680"/>
    </row>
    <row r="104" spans="2:7" ht="15.75" x14ac:dyDescent="0.25">
      <c r="B104" s="978" t="s">
        <v>1004</v>
      </c>
      <c r="C104" s="979"/>
      <c r="D104" s="979"/>
      <c r="E104" s="979"/>
      <c r="F104" s="979"/>
      <c r="G104" s="980"/>
    </row>
    <row r="105" spans="2:7" x14ac:dyDescent="0.25">
      <c r="B105" s="736" t="s">
        <v>1005</v>
      </c>
      <c r="C105" s="482"/>
      <c r="D105" s="482"/>
      <c r="E105" s="482"/>
      <c r="F105" s="482"/>
      <c r="G105" s="737"/>
    </row>
    <row r="106" spans="2:7" x14ac:dyDescent="0.25">
      <c r="B106" s="736" t="s">
        <v>1006</v>
      </c>
      <c r="C106" s="482"/>
      <c r="D106" s="482"/>
      <c r="E106" s="482"/>
      <c r="F106" s="482"/>
      <c r="G106" s="737"/>
    </row>
    <row r="107" spans="2:7" ht="15.75" thickBot="1" x14ac:dyDescent="0.3">
      <c r="B107" s="981" t="s">
        <v>1007</v>
      </c>
      <c r="C107" s="982"/>
      <c r="D107" s="982"/>
      <c r="E107" s="982"/>
      <c r="F107" s="982"/>
      <c r="G107" s="983"/>
    </row>
  </sheetData>
  <mergeCells count="111">
    <mergeCell ref="B1:D1"/>
    <mergeCell ref="B6:E6"/>
    <mergeCell ref="F6:G6"/>
    <mergeCell ref="B7:E7"/>
    <mergeCell ref="F7:G7"/>
    <mergeCell ref="B8:E8"/>
    <mergeCell ref="F8:G8"/>
    <mergeCell ref="B2:G2"/>
    <mergeCell ref="B3:E3"/>
    <mergeCell ref="B4:E4"/>
    <mergeCell ref="F4:G4"/>
    <mergeCell ref="B5:E5"/>
    <mergeCell ref="F5:G5"/>
    <mergeCell ref="C13:D13"/>
    <mergeCell ref="C14:D14"/>
    <mergeCell ref="B16:G16"/>
    <mergeCell ref="B17:G17"/>
    <mergeCell ref="B18:G18"/>
    <mergeCell ref="B19:G19"/>
    <mergeCell ref="B9:E9"/>
    <mergeCell ref="F9:G9"/>
    <mergeCell ref="B10:G10"/>
    <mergeCell ref="B11:C11"/>
    <mergeCell ref="D11:G11"/>
    <mergeCell ref="B12:C12"/>
    <mergeCell ref="D12:G12"/>
    <mergeCell ref="B26:G26"/>
    <mergeCell ref="B27:G27"/>
    <mergeCell ref="B28:G28"/>
    <mergeCell ref="B29:G29"/>
    <mergeCell ref="B20:G20"/>
    <mergeCell ref="B21:G21"/>
    <mergeCell ref="B22:G22"/>
    <mergeCell ref="B23:G23"/>
    <mergeCell ref="B24:G24"/>
    <mergeCell ref="B25:G25"/>
    <mergeCell ref="B30:G30"/>
    <mergeCell ref="B31:G31"/>
    <mergeCell ref="B44:G44"/>
    <mergeCell ref="B45:G45"/>
    <mergeCell ref="B46:G46"/>
    <mergeCell ref="B47:G47"/>
    <mergeCell ref="B48:G48"/>
    <mergeCell ref="B49:G49"/>
    <mergeCell ref="B40:G40"/>
    <mergeCell ref="B41:G41"/>
    <mergeCell ref="B42:G42"/>
    <mergeCell ref="B43:G43"/>
    <mergeCell ref="B32:G32"/>
    <mergeCell ref="B33:G33"/>
    <mergeCell ref="B34:G34"/>
    <mergeCell ref="B56:G56"/>
    <mergeCell ref="B57:G57"/>
    <mergeCell ref="B58:G58"/>
    <mergeCell ref="B59:G59"/>
    <mergeCell ref="B60:G60"/>
    <mergeCell ref="B61:G61"/>
    <mergeCell ref="B50:G50"/>
    <mergeCell ref="B51:G51"/>
    <mergeCell ref="B52:G52"/>
    <mergeCell ref="B53:G53"/>
    <mergeCell ref="B54:G54"/>
    <mergeCell ref="B55:G55"/>
    <mergeCell ref="B68:G68"/>
    <mergeCell ref="B69:G69"/>
    <mergeCell ref="B70:G70"/>
    <mergeCell ref="B71:G71"/>
    <mergeCell ref="B72:G72"/>
    <mergeCell ref="B73:G73"/>
    <mergeCell ref="B62:G62"/>
    <mergeCell ref="B63:G63"/>
    <mergeCell ref="B64:G64"/>
    <mergeCell ref="B65:G65"/>
    <mergeCell ref="B66:G66"/>
    <mergeCell ref="B67:G67"/>
    <mergeCell ref="B80:G80"/>
    <mergeCell ref="B81:G81"/>
    <mergeCell ref="B82:G82"/>
    <mergeCell ref="B83:G83"/>
    <mergeCell ref="B84:G84"/>
    <mergeCell ref="B85:G85"/>
    <mergeCell ref="B74:G74"/>
    <mergeCell ref="B75:G75"/>
    <mergeCell ref="B76:G76"/>
    <mergeCell ref="B77:G77"/>
    <mergeCell ref="B78:G78"/>
    <mergeCell ref="B79:G79"/>
    <mergeCell ref="B92:G92"/>
    <mergeCell ref="B93:E93"/>
    <mergeCell ref="F93:G93"/>
    <mergeCell ref="B94:E94"/>
    <mergeCell ref="F94:G94"/>
    <mergeCell ref="B95:E95"/>
    <mergeCell ref="F95:G95"/>
    <mergeCell ref="B86:G86"/>
    <mergeCell ref="B87:G87"/>
    <mergeCell ref="B88:G88"/>
    <mergeCell ref="B89:G89"/>
    <mergeCell ref="B90:G90"/>
    <mergeCell ref="B91:G91"/>
    <mergeCell ref="B103:G103"/>
    <mergeCell ref="B104:G104"/>
    <mergeCell ref="B105:G105"/>
    <mergeCell ref="B106:G106"/>
    <mergeCell ref="B107:G107"/>
    <mergeCell ref="B96:E96"/>
    <mergeCell ref="F96:G96"/>
    <mergeCell ref="B97:E97"/>
    <mergeCell ref="F97:G97"/>
    <mergeCell ref="B98:G98"/>
    <mergeCell ref="B99:G99"/>
  </mergeCells>
  <hyperlinks>
    <hyperlink ref="B1:D1" location="'Schéma d''enseignement'!G39" display="Schéma d'enseignement"/>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theme="5"/>
  </sheetPr>
  <dimension ref="B1:G52"/>
  <sheetViews>
    <sheetView workbookViewId="0">
      <selection activeCell="B1" sqref="B1:D1"/>
    </sheetView>
  </sheetViews>
  <sheetFormatPr baseColWidth="10" defaultColWidth="8.7109375" defaultRowHeight="15" x14ac:dyDescent="0.25"/>
  <cols>
    <col min="1" max="1" width="2.42578125" style="1" customWidth="1"/>
    <col min="2" max="2" width="18.28515625" style="1" bestFit="1" customWidth="1"/>
    <col min="3"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453</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45.75" thickBot="1" x14ac:dyDescent="0.3">
      <c r="B14" s="87" t="s">
        <v>454</v>
      </c>
      <c r="C14" s="410" t="s">
        <v>260</v>
      </c>
      <c r="D14" s="412"/>
      <c r="E14" s="120">
        <v>3</v>
      </c>
      <c r="F14" s="120">
        <v>3</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51.4" customHeight="1" thickBot="1" x14ac:dyDescent="0.3">
      <c r="B17" s="517" t="s">
        <v>455</v>
      </c>
      <c r="C17" s="518"/>
      <c r="D17" s="518"/>
      <c r="E17" s="518"/>
      <c r="F17" s="518"/>
      <c r="G17" s="519"/>
    </row>
    <row r="18" spans="2:7" ht="16.5" thickBot="1" x14ac:dyDescent="0.3">
      <c r="B18" s="366" t="s">
        <v>220</v>
      </c>
      <c r="C18" s="367"/>
      <c r="D18" s="367"/>
      <c r="E18" s="367"/>
      <c r="F18" s="367"/>
      <c r="G18" s="368"/>
    </row>
    <row r="19" spans="2:7" ht="15.75" x14ac:dyDescent="0.25">
      <c r="B19" s="1005" t="s">
        <v>1061</v>
      </c>
      <c r="C19" s="1006"/>
      <c r="D19" s="1006"/>
      <c r="E19" s="1006"/>
      <c r="F19" s="1006"/>
      <c r="G19" s="1007"/>
    </row>
    <row r="20" spans="2:7" ht="15.75" x14ac:dyDescent="0.25">
      <c r="B20" s="1008" t="s">
        <v>1062</v>
      </c>
      <c r="C20" s="1009"/>
      <c r="D20" s="1009"/>
      <c r="E20" s="1009"/>
      <c r="F20" s="1009"/>
      <c r="G20" s="1010"/>
    </row>
    <row r="21" spans="2:7" ht="15.75" x14ac:dyDescent="0.25">
      <c r="B21" s="1008" t="s">
        <v>1063</v>
      </c>
      <c r="C21" s="1009"/>
      <c r="D21" s="1009"/>
      <c r="E21" s="1009"/>
      <c r="F21" s="1009"/>
      <c r="G21" s="1010"/>
    </row>
    <row r="22" spans="2:7" ht="15.75" x14ac:dyDescent="0.25">
      <c r="B22" s="1008" t="s">
        <v>1064</v>
      </c>
      <c r="C22" s="1009"/>
      <c r="D22" s="1009"/>
      <c r="E22" s="1009"/>
      <c r="F22" s="1009"/>
      <c r="G22" s="1010"/>
    </row>
    <row r="23" spans="2:7" ht="16.5" thickBot="1" x14ac:dyDescent="0.3">
      <c r="B23" s="384" t="s">
        <v>1065</v>
      </c>
      <c r="C23" s="385"/>
      <c r="D23" s="385"/>
      <c r="E23" s="385"/>
      <c r="F23" s="385"/>
      <c r="G23" s="386"/>
    </row>
    <row r="24" spans="2:7" ht="16.5" thickBot="1" x14ac:dyDescent="0.3">
      <c r="B24" s="366" t="s">
        <v>221</v>
      </c>
      <c r="C24" s="367"/>
      <c r="D24" s="367"/>
      <c r="E24" s="367"/>
      <c r="F24" s="367"/>
      <c r="G24" s="368"/>
    </row>
    <row r="25" spans="2:7" ht="16.5" thickBot="1" x14ac:dyDescent="0.3">
      <c r="B25" s="363" t="s">
        <v>1066</v>
      </c>
      <c r="C25" s="364"/>
      <c r="D25" s="364"/>
      <c r="E25" s="364"/>
      <c r="F25" s="364"/>
      <c r="G25" s="445"/>
    </row>
    <row r="26" spans="2:7" ht="16.5" thickBot="1" x14ac:dyDescent="0.3">
      <c r="B26" s="366" t="s">
        <v>222</v>
      </c>
      <c r="C26" s="367"/>
      <c r="D26" s="367"/>
      <c r="E26" s="367"/>
      <c r="F26" s="367"/>
      <c r="G26" s="368"/>
    </row>
    <row r="27" spans="2:7" ht="16.5" thickBot="1" x14ac:dyDescent="0.3">
      <c r="B27" s="363" t="s">
        <v>25</v>
      </c>
      <c r="C27" s="364"/>
      <c r="D27" s="364"/>
      <c r="E27" s="364"/>
      <c r="F27" s="364"/>
      <c r="G27" s="445"/>
    </row>
    <row r="28" spans="2:7" ht="16.5" thickBot="1" x14ac:dyDescent="0.3">
      <c r="B28" s="363" t="s">
        <v>32</v>
      </c>
      <c r="C28" s="364"/>
      <c r="D28" s="364"/>
      <c r="E28" s="364"/>
      <c r="F28" s="364"/>
      <c r="G28" s="445"/>
    </row>
    <row r="29" spans="2:7" ht="16.5" thickBot="1" x14ac:dyDescent="0.3">
      <c r="B29" s="363" t="s">
        <v>39</v>
      </c>
      <c r="C29" s="364"/>
      <c r="D29" s="364"/>
      <c r="E29" s="364"/>
      <c r="F29" s="364"/>
      <c r="G29" s="445"/>
    </row>
    <row r="30" spans="2:7" ht="16.5" thickBot="1" x14ac:dyDescent="0.3">
      <c r="B30" s="208" t="s">
        <v>40</v>
      </c>
      <c r="C30" s="209"/>
      <c r="D30" s="209"/>
      <c r="E30" s="209"/>
      <c r="F30" s="209"/>
      <c r="G30" s="210"/>
    </row>
    <row r="31" spans="2:7" s="260" customFormat="1" ht="16.5" thickBot="1" x14ac:dyDescent="0.3">
      <c r="B31" s="208" t="s">
        <v>41</v>
      </c>
      <c r="C31" s="209"/>
      <c r="D31" s="209"/>
      <c r="E31" s="209"/>
      <c r="F31" s="209"/>
      <c r="G31" s="210"/>
    </row>
    <row r="32" spans="2:7" s="260" customFormat="1" ht="16.5" thickBot="1" x14ac:dyDescent="0.3">
      <c r="B32" s="208" t="s">
        <v>44</v>
      </c>
      <c r="C32" s="209"/>
      <c r="D32" s="209"/>
      <c r="E32" s="209"/>
      <c r="F32" s="209"/>
      <c r="G32" s="210"/>
    </row>
    <row r="33" spans="2:7" ht="16.5" thickBot="1" x14ac:dyDescent="0.3">
      <c r="B33" s="366" t="s">
        <v>226</v>
      </c>
      <c r="C33" s="367"/>
      <c r="D33" s="367"/>
      <c r="E33" s="367"/>
      <c r="F33" s="367"/>
      <c r="G33" s="368"/>
    </row>
    <row r="34" spans="2:7" ht="15.75" x14ac:dyDescent="0.25">
      <c r="B34" s="796" t="s">
        <v>1067</v>
      </c>
      <c r="C34" s="797"/>
      <c r="D34" s="797"/>
      <c r="E34" s="797"/>
      <c r="F34" s="797"/>
      <c r="G34" s="798"/>
    </row>
    <row r="35" spans="2:7" ht="15.75" x14ac:dyDescent="0.25">
      <c r="B35" s="799" t="s">
        <v>1068</v>
      </c>
      <c r="C35" s="800"/>
      <c r="D35" s="800"/>
      <c r="E35" s="800"/>
      <c r="F35" s="800"/>
      <c r="G35" s="801"/>
    </row>
    <row r="36" spans="2:7" ht="15.75" x14ac:dyDescent="0.25">
      <c r="B36" s="799" t="s">
        <v>1069</v>
      </c>
      <c r="C36" s="800"/>
      <c r="D36" s="800"/>
      <c r="E36" s="800"/>
      <c r="F36" s="800"/>
      <c r="G36" s="801"/>
    </row>
    <row r="37" spans="2:7" ht="15.75" x14ac:dyDescent="0.25">
      <c r="B37" s="799" t="s">
        <v>1070</v>
      </c>
      <c r="C37" s="800"/>
      <c r="D37" s="800"/>
      <c r="E37" s="800"/>
      <c r="F37" s="800"/>
      <c r="G37" s="801"/>
    </row>
    <row r="38" spans="2:7" ht="15.75" thickBot="1" x14ac:dyDescent="0.3">
      <c r="B38" s="427" t="s">
        <v>1071</v>
      </c>
      <c r="C38" s="428"/>
      <c r="D38" s="428"/>
      <c r="E38" s="428"/>
      <c r="F38" s="428"/>
      <c r="G38" s="429"/>
    </row>
    <row r="39" spans="2:7" ht="16.5" thickBot="1" x14ac:dyDescent="0.3">
      <c r="B39" s="366" t="s">
        <v>227</v>
      </c>
      <c r="C39" s="367"/>
      <c r="D39" s="367"/>
      <c r="E39" s="367"/>
      <c r="F39" s="367"/>
      <c r="G39" s="368"/>
    </row>
    <row r="40" spans="2:7" ht="16.5" thickBot="1" x14ac:dyDescent="0.3">
      <c r="B40" s="363" t="s">
        <v>245</v>
      </c>
      <c r="C40" s="364"/>
      <c r="D40" s="364"/>
      <c r="E40" s="365"/>
      <c r="F40" s="363"/>
      <c r="G40" s="365"/>
    </row>
    <row r="41" spans="2:7" ht="16.5" thickBot="1" x14ac:dyDescent="0.3">
      <c r="B41" s="363" t="s">
        <v>247</v>
      </c>
      <c r="C41" s="364"/>
      <c r="D41" s="364"/>
      <c r="E41" s="365"/>
      <c r="F41" s="363"/>
      <c r="G41" s="365"/>
    </row>
    <row r="42" spans="2:7" ht="16.5" thickBot="1" x14ac:dyDescent="0.3">
      <c r="B42" s="363" t="s">
        <v>309</v>
      </c>
      <c r="C42" s="364"/>
      <c r="D42" s="364"/>
      <c r="E42" s="365"/>
      <c r="F42" s="363" t="s">
        <v>231</v>
      </c>
      <c r="G42" s="445"/>
    </row>
    <row r="43" spans="2:7" ht="16.5" thickBot="1" x14ac:dyDescent="0.3">
      <c r="B43" s="363" t="s">
        <v>249</v>
      </c>
      <c r="C43" s="364"/>
      <c r="D43" s="364"/>
      <c r="E43" s="365"/>
      <c r="F43" s="363" t="s">
        <v>231</v>
      </c>
      <c r="G43" s="365"/>
    </row>
    <row r="44" spans="2:7" ht="16.5" thickBot="1" x14ac:dyDescent="0.3">
      <c r="B44" s="366" t="s">
        <v>232</v>
      </c>
      <c r="C44" s="367"/>
      <c r="D44" s="367"/>
      <c r="E44" s="367"/>
      <c r="F44" s="367"/>
      <c r="G44" s="368"/>
    </row>
    <row r="45" spans="2:7" ht="16.5" thickBot="1" x14ac:dyDescent="0.3">
      <c r="B45" s="363" t="s">
        <v>511</v>
      </c>
      <c r="C45" s="364"/>
      <c r="D45" s="364"/>
      <c r="E45" s="364"/>
      <c r="F45" s="364"/>
      <c r="G45" s="445"/>
    </row>
    <row r="46" spans="2:7" ht="16.5" thickBot="1" x14ac:dyDescent="0.3">
      <c r="B46" s="188" t="s">
        <v>499</v>
      </c>
      <c r="C46" s="197"/>
      <c r="D46" s="197"/>
      <c r="E46" s="197"/>
      <c r="F46" s="197"/>
      <c r="G46" s="198"/>
    </row>
    <row r="47" spans="2:7" ht="16.5" thickBot="1" x14ac:dyDescent="0.3">
      <c r="B47" s="188" t="s">
        <v>510</v>
      </c>
      <c r="C47" s="197"/>
      <c r="D47" s="197"/>
      <c r="E47" s="197"/>
      <c r="F47" s="197"/>
      <c r="G47" s="198"/>
    </row>
    <row r="48" spans="2:7" ht="16.5" thickBot="1" x14ac:dyDescent="0.3">
      <c r="B48" s="678" t="s">
        <v>234</v>
      </c>
      <c r="C48" s="679"/>
      <c r="D48" s="679"/>
      <c r="E48" s="679"/>
      <c r="F48" s="679"/>
      <c r="G48" s="680"/>
    </row>
    <row r="49" spans="2:7" x14ac:dyDescent="0.25">
      <c r="B49" s="1002" t="s">
        <v>456</v>
      </c>
      <c r="C49" s="1003"/>
      <c r="D49" s="1003"/>
      <c r="E49" s="1003"/>
      <c r="F49" s="1003"/>
      <c r="G49" s="1004"/>
    </row>
    <row r="50" spans="2:7" x14ac:dyDescent="0.25">
      <c r="B50" s="975" t="s">
        <v>457</v>
      </c>
      <c r="C50" s="976"/>
      <c r="D50" s="976"/>
      <c r="E50" s="976"/>
      <c r="F50" s="976"/>
      <c r="G50" s="977"/>
    </row>
    <row r="51" spans="2:7" x14ac:dyDescent="0.25">
      <c r="B51" s="580" t="s">
        <v>1072</v>
      </c>
      <c r="C51" s="581"/>
      <c r="D51" s="581"/>
      <c r="E51" s="581"/>
      <c r="F51" s="581"/>
      <c r="G51" s="582"/>
    </row>
    <row r="52" spans="2:7" ht="15.75" thickBot="1" x14ac:dyDescent="0.3">
      <c r="B52" s="956" t="s">
        <v>1073</v>
      </c>
      <c r="C52" s="957"/>
      <c r="D52" s="957"/>
      <c r="E52" s="957"/>
      <c r="F52" s="957"/>
      <c r="G52" s="958"/>
    </row>
  </sheetData>
  <mergeCells count="58">
    <mergeCell ref="B1:D1"/>
    <mergeCell ref="B2:G2"/>
    <mergeCell ref="B3:E3"/>
    <mergeCell ref="B4:E4"/>
    <mergeCell ref="F4:G4"/>
    <mergeCell ref="B5:E5"/>
    <mergeCell ref="F5:G5"/>
    <mergeCell ref="B12:C12"/>
    <mergeCell ref="D12:G12"/>
    <mergeCell ref="B6:E6"/>
    <mergeCell ref="F6:G6"/>
    <mergeCell ref="B7:E7"/>
    <mergeCell ref="F7:G7"/>
    <mergeCell ref="B8:E8"/>
    <mergeCell ref="F8:G8"/>
    <mergeCell ref="B9:E9"/>
    <mergeCell ref="F9:G9"/>
    <mergeCell ref="B10:G10"/>
    <mergeCell ref="B11:C11"/>
    <mergeCell ref="D11:G11"/>
    <mergeCell ref="B25:G25"/>
    <mergeCell ref="C13:D13"/>
    <mergeCell ref="C14:D14"/>
    <mergeCell ref="B16:G16"/>
    <mergeCell ref="B17:G17"/>
    <mergeCell ref="B18:G18"/>
    <mergeCell ref="B19:G19"/>
    <mergeCell ref="B20:G20"/>
    <mergeCell ref="B21:G21"/>
    <mergeCell ref="B22:G22"/>
    <mergeCell ref="B23:G23"/>
    <mergeCell ref="B24:G24"/>
    <mergeCell ref="B39:G39"/>
    <mergeCell ref="B26:G26"/>
    <mergeCell ref="B33:G33"/>
    <mergeCell ref="B34:G34"/>
    <mergeCell ref="B35:G35"/>
    <mergeCell ref="B36:G36"/>
    <mergeCell ref="B37:G37"/>
    <mergeCell ref="B38:G38"/>
    <mergeCell ref="B27:G27"/>
    <mergeCell ref="B28:G28"/>
    <mergeCell ref="B29:G29"/>
    <mergeCell ref="B40:E40"/>
    <mergeCell ref="F40:G40"/>
    <mergeCell ref="B41:E41"/>
    <mergeCell ref="F41:G41"/>
    <mergeCell ref="B42:E42"/>
    <mergeCell ref="F42:G42"/>
    <mergeCell ref="B50:G50"/>
    <mergeCell ref="B51:G51"/>
    <mergeCell ref="B52:G52"/>
    <mergeCell ref="B43:E43"/>
    <mergeCell ref="F43:G43"/>
    <mergeCell ref="B44:G44"/>
    <mergeCell ref="B45:G45"/>
    <mergeCell ref="B48:G48"/>
    <mergeCell ref="B49:G49"/>
  </mergeCells>
  <hyperlinks>
    <hyperlink ref="B49" r:id="rId1" display="https://kubernetes.io/docs/tutorials/kubernetes-basics/"/>
    <hyperlink ref="B50" r:id="rId2" display="https://pivotal.io/platform/pcf-tutorials/getting-started-with-pivotal-cloud-foundry-dev/introduction"/>
    <hyperlink ref="B1:D1" location="'Schéma d''enseignement'!G40" display="Schéma d'enseignement"/>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theme="5"/>
  </sheetPr>
  <dimension ref="B1:G48"/>
  <sheetViews>
    <sheetView workbookViewId="0">
      <selection activeCell="B1" sqref="B1:D1"/>
    </sheetView>
  </sheetViews>
  <sheetFormatPr baseColWidth="10" defaultColWidth="8.7109375" defaultRowHeight="15" x14ac:dyDescent="0.25"/>
  <cols>
    <col min="1" max="1" width="3.28515625" style="1" customWidth="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458</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571"/>
      <c r="E12" s="572"/>
      <c r="F12" s="572"/>
      <c r="G12" s="713"/>
    </row>
    <row r="13" spans="2:7" ht="16.5" thickBot="1" x14ac:dyDescent="0.3">
      <c r="B13" s="79" t="s">
        <v>210</v>
      </c>
      <c r="C13" s="404" t="s">
        <v>211</v>
      </c>
      <c r="D13" s="406"/>
      <c r="E13" s="70" t="s">
        <v>212</v>
      </c>
      <c r="F13" s="70" t="s">
        <v>213</v>
      </c>
      <c r="G13" s="80" t="s">
        <v>214</v>
      </c>
    </row>
    <row r="14" spans="2:7" ht="69.75" thickBot="1" x14ac:dyDescent="0.3">
      <c r="B14" s="81" t="s">
        <v>459</v>
      </c>
      <c r="C14" s="410" t="s">
        <v>260</v>
      </c>
      <c r="D14" s="412"/>
      <c r="E14" s="120" t="s">
        <v>246</v>
      </c>
      <c r="F14" s="120">
        <v>2</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51.4" customHeight="1" thickBot="1" x14ac:dyDescent="0.3">
      <c r="B17" s="517" t="s">
        <v>460</v>
      </c>
      <c r="C17" s="518"/>
      <c r="D17" s="518"/>
      <c r="E17" s="518"/>
      <c r="F17" s="518"/>
      <c r="G17" s="519"/>
    </row>
    <row r="18" spans="2:7" ht="16.5" thickBot="1" x14ac:dyDescent="0.3">
      <c r="B18" s="366" t="s">
        <v>220</v>
      </c>
      <c r="C18" s="367"/>
      <c r="D18" s="367"/>
      <c r="E18" s="367"/>
      <c r="F18" s="367"/>
      <c r="G18" s="368"/>
    </row>
    <row r="19" spans="2:7" x14ac:dyDescent="0.25">
      <c r="B19" s="747" t="s">
        <v>461</v>
      </c>
      <c r="C19" s="748"/>
      <c r="D19" s="748"/>
      <c r="E19" s="748"/>
      <c r="F19" s="748"/>
      <c r="G19" s="749"/>
    </row>
    <row r="20" spans="2:7" x14ac:dyDescent="0.25">
      <c r="B20" s="1011" t="s">
        <v>462</v>
      </c>
      <c r="C20" s="1012"/>
      <c r="D20" s="1012"/>
      <c r="E20" s="1012"/>
      <c r="F20" s="1012"/>
      <c r="G20" s="1013"/>
    </row>
    <row r="21" spans="2:7" x14ac:dyDescent="0.25">
      <c r="B21" s="1011" t="s">
        <v>463</v>
      </c>
      <c r="C21" s="1012"/>
      <c r="D21" s="1012"/>
      <c r="E21" s="1012"/>
      <c r="F21" s="1012"/>
      <c r="G21" s="1013"/>
    </row>
    <row r="22" spans="2:7" x14ac:dyDescent="0.25">
      <c r="B22" s="1011" t="s">
        <v>464</v>
      </c>
      <c r="C22" s="1012"/>
      <c r="D22" s="1012"/>
      <c r="E22" s="1012"/>
      <c r="F22" s="1012"/>
      <c r="G22" s="1013"/>
    </row>
    <row r="23" spans="2:7" x14ac:dyDescent="0.25">
      <c r="B23" s="1011" t="s">
        <v>465</v>
      </c>
      <c r="C23" s="1012"/>
      <c r="D23" s="1012"/>
      <c r="E23" s="1012"/>
      <c r="F23" s="1012"/>
      <c r="G23" s="1013"/>
    </row>
    <row r="24" spans="2:7" ht="16.5" thickBot="1" x14ac:dyDescent="0.3">
      <c r="B24" s="384" t="s">
        <v>1078</v>
      </c>
      <c r="C24" s="385"/>
      <c r="D24" s="385"/>
      <c r="E24" s="385"/>
      <c r="F24" s="385"/>
      <c r="G24" s="386"/>
    </row>
    <row r="25" spans="2:7" ht="16.5" thickBot="1" x14ac:dyDescent="0.3">
      <c r="B25" s="366" t="s">
        <v>221</v>
      </c>
      <c r="C25" s="367"/>
      <c r="D25" s="367"/>
      <c r="E25" s="367"/>
      <c r="F25" s="367"/>
      <c r="G25" s="368"/>
    </row>
    <row r="26" spans="2:7" ht="58.15" customHeight="1" thickBot="1" x14ac:dyDescent="0.3">
      <c r="B26" s="398" t="s">
        <v>1077</v>
      </c>
      <c r="C26" s="399"/>
      <c r="D26" s="399"/>
      <c r="E26" s="399"/>
      <c r="F26" s="399"/>
      <c r="G26" s="400"/>
    </row>
    <row r="27" spans="2:7" ht="16.5" thickBot="1" x14ac:dyDescent="0.3">
      <c r="B27" s="366" t="s">
        <v>222</v>
      </c>
      <c r="C27" s="367"/>
      <c r="D27" s="367"/>
      <c r="E27" s="367"/>
      <c r="F27" s="367"/>
      <c r="G27" s="368"/>
    </row>
    <row r="28" spans="2:7" ht="16.5" thickBot="1" x14ac:dyDescent="0.3">
      <c r="B28" s="363" t="s">
        <v>20</v>
      </c>
      <c r="C28" s="364"/>
      <c r="D28" s="364"/>
      <c r="E28" s="364"/>
      <c r="F28" s="364"/>
      <c r="G28" s="445"/>
    </row>
    <row r="29" spans="2:7" ht="16.5" thickBot="1" x14ac:dyDescent="0.3">
      <c r="B29" s="208" t="s">
        <v>1212</v>
      </c>
      <c r="C29" s="209"/>
      <c r="D29" s="209"/>
      <c r="E29" s="209"/>
      <c r="F29" s="209"/>
      <c r="G29" s="210"/>
    </row>
    <row r="30" spans="2:7" ht="16.5" thickBot="1" x14ac:dyDescent="0.3">
      <c r="B30" s="208" t="s">
        <v>26</v>
      </c>
      <c r="C30" s="209"/>
      <c r="D30" s="209"/>
      <c r="E30" s="209"/>
      <c r="F30" s="209"/>
      <c r="G30" s="210"/>
    </row>
    <row r="31" spans="2:7" ht="16.5" thickBot="1" x14ac:dyDescent="0.3">
      <c r="B31" s="208" t="s">
        <v>36</v>
      </c>
      <c r="C31" s="209"/>
      <c r="D31" s="209"/>
      <c r="E31" s="209"/>
      <c r="F31" s="209"/>
      <c r="G31" s="210"/>
    </row>
    <row r="32" spans="2:7" s="261" customFormat="1" ht="16.5" thickBot="1" x14ac:dyDescent="0.3">
      <c r="B32" s="363" t="s">
        <v>37</v>
      </c>
      <c r="C32" s="364"/>
      <c r="D32" s="364"/>
      <c r="E32" s="364"/>
      <c r="F32" s="364"/>
      <c r="G32" s="445"/>
    </row>
    <row r="33" spans="2:7" ht="16.5" thickBot="1" x14ac:dyDescent="0.3">
      <c r="B33" s="366" t="s">
        <v>226</v>
      </c>
      <c r="C33" s="367"/>
      <c r="D33" s="367"/>
      <c r="E33" s="367"/>
      <c r="F33" s="367"/>
      <c r="G33" s="368"/>
    </row>
    <row r="34" spans="2:7" x14ac:dyDescent="0.25">
      <c r="B34" s="430" t="s">
        <v>466</v>
      </c>
      <c r="C34" s="431"/>
      <c r="D34" s="431"/>
      <c r="E34" s="431"/>
      <c r="F34" s="431"/>
      <c r="G34" s="432"/>
    </row>
    <row r="35" spans="2:7" x14ac:dyDescent="0.25">
      <c r="B35" s="433" t="s">
        <v>467</v>
      </c>
      <c r="C35" s="434"/>
      <c r="D35" s="434"/>
      <c r="E35" s="434"/>
      <c r="F35" s="434"/>
      <c r="G35" s="435"/>
    </row>
    <row r="36" spans="2:7" x14ac:dyDescent="0.25">
      <c r="B36" s="433" t="s">
        <v>468</v>
      </c>
      <c r="C36" s="434"/>
      <c r="D36" s="434"/>
      <c r="E36" s="434"/>
      <c r="F36" s="434"/>
      <c r="G36" s="435"/>
    </row>
    <row r="37" spans="2:7" x14ac:dyDescent="0.25">
      <c r="B37" s="433" t="s">
        <v>469</v>
      </c>
      <c r="C37" s="434"/>
      <c r="D37" s="434"/>
      <c r="E37" s="434"/>
      <c r="F37" s="434"/>
      <c r="G37" s="435"/>
    </row>
    <row r="38" spans="2:7" ht="15.75" thickBot="1" x14ac:dyDescent="0.3">
      <c r="B38" s="427" t="s">
        <v>470</v>
      </c>
      <c r="C38" s="428"/>
      <c r="D38" s="428"/>
      <c r="E38" s="428"/>
      <c r="F38" s="428"/>
      <c r="G38" s="429"/>
    </row>
    <row r="39" spans="2:7" ht="16.5" thickBot="1" x14ac:dyDescent="0.3">
      <c r="B39" s="366" t="s">
        <v>227</v>
      </c>
      <c r="C39" s="367"/>
      <c r="D39" s="367"/>
      <c r="E39" s="367"/>
      <c r="F39" s="367"/>
      <c r="G39" s="368"/>
    </row>
    <row r="40" spans="2:7" ht="16.5" thickBot="1" x14ac:dyDescent="0.3">
      <c r="B40" s="363" t="s">
        <v>245</v>
      </c>
      <c r="C40" s="364"/>
      <c r="D40" s="364"/>
      <c r="E40" s="365"/>
      <c r="F40" s="363"/>
      <c r="G40" s="365"/>
    </row>
    <row r="41" spans="2:7" ht="16.5" thickBot="1" x14ac:dyDescent="0.3">
      <c r="B41" s="363" t="s">
        <v>247</v>
      </c>
      <c r="C41" s="364"/>
      <c r="D41" s="364"/>
      <c r="E41" s="365"/>
      <c r="F41" s="363"/>
      <c r="G41" s="365"/>
    </row>
    <row r="42" spans="2:7" ht="16.5" thickBot="1" x14ac:dyDescent="0.3">
      <c r="B42" s="363" t="s">
        <v>309</v>
      </c>
      <c r="C42" s="364"/>
      <c r="D42" s="364"/>
      <c r="E42" s="365"/>
      <c r="F42" s="363" t="s">
        <v>231</v>
      </c>
      <c r="G42" s="445"/>
    </row>
    <row r="43" spans="2:7" ht="16.5" thickBot="1" x14ac:dyDescent="0.3">
      <c r="B43" s="363" t="s">
        <v>249</v>
      </c>
      <c r="C43" s="364"/>
      <c r="D43" s="364"/>
      <c r="E43" s="365"/>
      <c r="F43" s="363" t="s">
        <v>231</v>
      </c>
      <c r="G43" s="365"/>
    </row>
    <row r="44" spans="2:7" ht="16.5" thickBot="1" x14ac:dyDescent="0.3">
      <c r="B44" s="366" t="s">
        <v>232</v>
      </c>
      <c r="C44" s="367"/>
      <c r="D44" s="367"/>
      <c r="E44" s="367"/>
      <c r="F44" s="367"/>
      <c r="G44" s="368"/>
    </row>
    <row r="45" spans="2:7" ht="42" customHeight="1" thickBot="1" x14ac:dyDescent="0.3">
      <c r="B45" s="398" t="s">
        <v>1076</v>
      </c>
      <c r="C45" s="399"/>
      <c r="D45" s="399"/>
      <c r="E45" s="399"/>
      <c r="F45" s="399"/>
      <c r="G45" s="400"/>
    </row>
    <row r="46" spans="2:7" ht="16.5" thickBot="1" x14ac:dyDescent="0.3">
      <c r="B46" s="678" t="s">
        <v>234</v>
      </c>
      <c r="C46" s="679"/>
      <c r="D46" s="679"/>
      <c r="E46" s="679"/>
      <c r="F46" s="679"/>
      <c r="G46" s="680"/>
    </row>
    <row r="47" spans="2:7" ht="34.15" customHeight="1" x14ac:dyDescent="0.25">
      <c r="B47" s="960" t="s">
        <v>1074</v>
      </c>
      <c r="C47" s="961"/>
      <c r="D47" s="961"/>
      <c r="E47" s="961"/>
      <c r="F47" s="961"/>
      <c r="G47" s="962"/>
    </row>
    <row r="48" spans="2:7" ht="44.65" customHeight="1" thickBot="1" x14ac:dyDescent="0.3">
      <c r="B48" s="956" t="s">
        <v>1075</v>
      </c>
      <c r="C48" s="957"/>
      <c r="D48" s="957"/>
      <c r="E48" s="957"/>
      <c r="F48" s="957"/>
      <c r="G48" s="958"/>
    </row>
  </sheetData>
  <mergeCells count="56">
    <mergeCell ref="B1:D1"/>
    <mergeCell ref="B32:G32"/>
    <mergeCell ref="B28:G28"/>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25:G25"/>
    <mergeCell ref="B26:G26"/>
    <mergeCell ref="B27:G27"/>
    <mergeCell ref="B42:E42"/>
    <mergeCell ref="F42:G42"/>
    <mergeCell ref="B33:G33"/>
    <mergeCell ref="B34:G34"/>
    <mergeCell ref="B35:G35"/>
    <mergeCell ref="B36:G36"/>
    <mergeCell ref="B37:G37"/>
    <mergeCell ref="B38:G38"/>
    <mergeCell ref="B39:G39"/>
    <mergeCell ref="B40:E40"/>
    <mergeCell ref="F40:G40"/>
    <mergeCell ref="B41:E41"/>
    <mergeCell ref="F41:G41"/>
    <mergeCell ref="B48:G48"/>
    <mergeCell ref="B43:E43"/>
    <mergeCell ref="F43:G43"/>
    <mergeCell ref="B44:G44"/>
    <mergeCell ref="B45:G45"/>
    <mergeCell ref="B46:G46"/>
    <mergeCell ref="B47:G47"/>
  </mergeCells>
  <hyperlinks>
    <hyperlink ref="B1:D1" location="'Schéma d''enseignement'!G41" display="Schéma d'enseignement"/>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theme="5"/>
  </sheetPr>
  <dimension ref="B1:G87"/>
  <sheetViews>
    <sheetView workbookViewId="0">
      <selection activeCell="B1" sqref="B1:D1"/>
    </sheetView>
  </sheetViews>
  <sheetFormatPr baseColWidth="10" defaultColWidth="8.7109375" defaultRowHeight="15" x14ac:dyDescent="0.25"/>
  <cols>
    <col min="1" max="1" width="8.7109375" style="1"/>
    <col min="2" max="2" width="18.28515625" style="1" bestFit="1" customWidth="1"/>
    <col min="3" max="4" width="8.7109375" style="1"/>
    <col min="5" max="5" width="10.7109375" style="1" bestFit="1" customWidth="1"/>
    <col min="6" max="6" width="8.7109375" style="1"/>
    <col min="7" max="7" width="20.42578125" style="1" bestFit="1" customWidth="1"/>
    <col min="8" max="16384" width="8.7109375" style="1"/>
  </cols>
  <sheetData>
    <row r="1" spans="2:7" x14ac:dyDescent="0.25">
      <c r="B1" s="628" t="s">
        <v>1267</v>
      </c>
      <c r="C1" s="628"/>
      <c r="D1" s="628"/>
    </row>
    <row r="2" spans="2:7" ht="15.75" x14ac:dyDescent="0.25">
      <c r="B2" s="421" t="s">
        <v>195</v>
      </c>
      <c r="C2" s="421"/>
      <c r="D2" s="421"/>
      <c r="E2" s="421"/>
      <c r="F2" s="421"/>
      <c r="G2" s="421"/>
    </row>
    <row r="3" spans="2:7" ht="16.5" thickBot="1" x14ac:dyDescent="0.3">
      <c r="B3" s="475"/>
      <c r="C3" s="475"/>
      <c r="D3" s="475"/>
      <c r="E3" s="475"/>
      <c r="F3" s="77"/>
      <c r="G3" s="96"/>
    </row>
    <row r="4" spans="2:7" ht="16.5" thickBot="1" x14ac:dyDescent="0.3">
      <c r="B4" s="366" t="s">
        <v>196</v>
      </c>
      <c r="C4" s="367"/>
      <c r="D4" s="367"/>
      <c r="E4" s="464"/>
      <c r="F4" s="689" t="s">
        <v>318</v>
      </c>
      <c r="G4" s="691"/>
    </row>
    <row r="5" spans="2:7" ht="16.5" thickBot="1" x14ac:dyDescent="0.3">
      <c r="B5" s="424" t="s">
        <v>197</v>
      </c>
      <c r="C5" s="425"/>
      <c r="D5" s="425"/>
      <c r="E5" s="474"/>
      <c r="F5" s="689" t="s">
        <v>345</v>
      </c>
      <c r="G5" s="691"/>
    </row>
    <row r="6" spans="2:7" ht="16.5" thickBot="1" x14ac:dyDescent="0.3">
      <c r="B6" s="366" t="s">
        <v>199</v>
      </c>
      <c r="C6" s="367"/>
      <c r="D6" s="367"/>
      <c r="E6" s="464"/>
      <c r="F6" s="689" t="s">
        <v>346</v>
      </c>
      <c r="G6" s="691"/>
    </row>
    <row r="7" spans="2:7" ht="16.5" thickBot="1" x14ac:dyDescent="0.3">
      <c r="B7" s="366" t="s">
        <v>201</v>
      </c>
      <c r="C7" s="367"/>
      <c r="D7" s="367"/>
      <c r="E7" s="464"/>
      <c r="F7" s="689" t="s">
        <v>347</v>
      </c>
      <c r="G7" s="691"/>
    </row>
    <row r="8" spans="2:7" ht="16.5" thickBot="1" x14ac:dyDescent="0.3">
      <c r="B8" s="366" t="s">
        <v>203</v>
      </c>
      <c r="C8" s="367"/>
      <c r="D8" s="367"/>
      <c r="E8" s="464"/>
      <c r="F8" s="753" t="s">
        <v>458</v>
      </c>
      <c r="G8" s="754"/>
    </row>
    <row r="9" spans="2:7" ht="16.5" thickBot="1" x14ac:dyDescent="0.3">
      <c r="B9" s="366" t="s">
        <v>204</v>
      </c>
      <c r="C9" s="367"/>
      <c r="D9" s="367"/>
      <c r="E9" s="464"/>
      <c r="F9" s="689" t="s">
        <v>410</v>
      </c>
      <c r="G9" s="691"/>
    </row>
    <row r="10" spans="2:7" ht="16.5" thickBot="1" x14ac:dyDescent="0.3">
      <c r="B10" s="708" t="s">
        <v>206</v>
      </c>
      <c r="C10" s="472"/>
      <c r="D10" s="472"/>
      <c r="E10" s="472"/>
      <c r="F10" s="472"/>
      <c r="G10" s="709"/>
    </row>
    <row r="11" spans="2:7" ht="16.5" thickBot="1" x14ac:dyDescent="0.3">
      <c r="B11" s="710" t="s">
        <v>207</v>
      </c>
      <c r="C11" s="406"/>
      <c r="D11" s="404" t="s">
        <v>208</v>
      </c>
      <c r="E11" s="405"/>
      <c r="F11" s="405"/>
      <c r="G11" s="711"/>
    </row>
    <row r="12" spans="2:7" ht="16.5" thickBot="1" x14ac:dyDescent="0.3">
      <c r="B12" s="752" t="s">
        <v>209</v>
      </c>
      <c r="C12" s="409"/>
      <c r="D12" s="407"/>
      <c r="E12" s="408"/>
      <c r="F12" s="408"/>
      <c r="G12" s="802"/>
    </row>
    <row r="13" spans="2:7" ht="16.5" thickBot="1" x14ac:dyDescent="0.3">
      <c r="B13" s="79" t="s">
        <v>210</v>
      </c>
      <c r="C13" s="404" t="s">
        <v>211</v>
      </c>
      <c r="D13" s="406"/>
      <c r="E13" s="70" t="s">
        <v>212</v>
      </c>
      <c r="F13" s="70" t="s">
        <v>213</v>
      </c>
      <c r="G13" s="80" t="s">
        <v>214</v>
      </c>
    </row>
    <row r="14" spans="2:7" ht="87" thickBot="1" x14ac:dyDescent="0.3">
      <c r="B14" s="203" t="s">
        <v>471</v>
      </c>
      <c r="C14" s="410">
        <v>42</v>
      </c>
      <c r="D14" s="412"/>
      <c r="E14" s="120">
        <v>3</v>
      </c>
      <c r="F14" s="120">
        <v>3</v>
      </c>
      <c r="G14" s="191" t="s">
        <v>218</v>
      </c>
    </row>
    <row r="15" spans="2:7" ht="15.75" thickBot="1" x14ac:dyDescent="0.3">
      <c r="B15" s="90"/>
      <c r="C15" s="91"/>
      <c r="D15" s="91"/>
      <c r="E15" s="91"/>
      <c r="F15" s="91"/>
      <c r="G15" s="95"/>
    </row>
    <row r="16" spans="2:7" ht="16.5" thickBot="1" x14ac:dyDescent="0.3">
      <c r="B16" s="716" t="s">
        <v>219</v>
      </c>
      <c r="C16" s="717"/>
      <c r="D16" s="717"/>
      <c r="E16" s="717"/>
      <c r="F16" s="717"/>
      <c r="G16" s="718"/>
    </row>
    <row r="17" spans="2:7" ht="70.900000000000006" customHeight="1" thickBot="1" x14ac:dyDescent="0.3">
      <c r="B17" s="517" t="s">
        <v>472</v>
      </c>
      <c r="C17" s="518"/>
      <c r="D17" s="518"/>
      <c r="E17" s="518"/>
      <c r="F17" s="518"/>
      <c r="G17" s="519"/>
    </row>
    <row r="18" spans="2:7" ht="16.5" thickBot="1" x14ac:dyDescent="0.3">
      <c r="B18" s="366" t="s">
        <v>220</v>
      </c>
      <c r="C18" s="367"/>
      <c r="D18" s="367"/>
      <c r="E18" s="367"/>
      <c r="F18" s="367"/>
      <c r="G18" s="368"/>
    </row>
    <row r="19" spans="2:7" x14ac:dyDescent="0.25">
      <c r="B19" s="747" t="s">
        <v>473</v>
      </c>
      <c r="C19" s="748"/>
      <c r="D19" s="748"/>
      <c r="E19" s="748"/>
      <c r="F19" s="748"/>
      <c r="G19" s="749"/>
    </row>
    <row r="20" spans="2:7" x14ac:dyDescent="0.25">
      <c r="B20" s="744" t="s">
        <v>474</v>
      </c>
      <c r="C20" s="745"/>
      <c r="D20" s="745"/>
      <c r="E20" s="745"/>
      <c r="F20" s="745"/>
      <c r="G20" s="746"/>
    </row>
    <row r="21" spans="2:7" x14ac:dyDescent="0.25">
      <c r="B21" s="744" t="s">
        <v>475</v>
      </c>
      <c r="C21" s="745"/>
      <c r="D21" s="745"/>
      <c r="E21" s="745"/>
      <c r="F21" s="745"/>
      <c r="G21" s="746"/>
    </row>
    <row r="22" spans="2:7" x14ac:dyDescent="0.25">
      <c r="B22" s="744" t="s">
        <v>476</v>
      </c>
      <c r="C22" s="745"/>
      <c r="D22" s="745"/>
      <c r="E22" s="745"/>
      <c r="F22" s="745"/>
      <c r="G22" s="746"/>
    </row>
    <row r="23" spans="2:7" x14ac:dyDescent="0.25">
      <c r="B23" s="744" t="s">
        <v>477</v>
      </c>
      <c r="C23" s="745"/>
      <c r="D23" s="745"/>
      <c r="E23" s="745"/>
      <c r="F23" s="745"/>
      <c r="G23" s="746"/>
    </row>
    <row r="24" spans="2:7" x14ac:dyDescent="0.25">
      <c r="B24" s="744" t="s">
        <v>478</v>
      </c>
      <c r="C24" s="745"/>
      <c r="D24" s="745"/>
      <c r="E24" s="745"/>
      <c r="F24" s="745"/>
      <c r="G24" s="746"/>
    </row>
    <row r="25" spans="2:7" ht="52.15" customHeight="1" thickBot="1" x14ac:dyDescent="0.3">
      <c r="B25" s="384" t="s">
        <v>1105</v>
      </c>
      <c r="C25" s="385"/>
      <c r="D25" s="385"/>
      <c r="E25" s="385"/>
      <c r="F25" s="385"/>
      <c r="G25" s="386"/>
    </row>
    <row r="26" spans="2:7" ht="16.5" thickBot="1" x14ac:dyDescent="0.3">
      <c r="B26" s="366" t="s">
        <v>221</v>
      </c>
      <c r="C26" s="367"/>
      <c r="D26" s="367"/>
      <c r="E26" s="367"/>
      <c r="F26" s="367"/>
      <c r="G26" s="368"/>
    </row>
    <row r="27" spans="2:7" ht="16.5" thickBot="1" x14ac:dyDescent="0.3">
      <c r="B27" s="363" t="s">
        <v>1104</v>
      </c>
      <c r="C27" s="364"/>
      <c r="D27" s="364"/>
      <c r="E27" s="364"/>
      <c r="F27" s="364"/>
      <c r="G27" s="445"/>
    </row>
    <row r="28" spans="2:7" ht="16.5" thickBot="1" x14ac:dyDescent="0.3">
      <c r="B28" s="366" t="s">
        <v>222</v>
      </c>
      <c r="C28" s="367"/>
      <c r="D28" s="367"/>
      <c r="E28" s="367"/>
      <c r="F28" s="367"/>
      <c r="G28" s="368"/>
    </row>
    <row r="29" spans="2:7" ht="16.5" thickBot="1" x14ac:dyDescent="0.3">
      <c r="B29" s="1020" t="s">
        <v>25</v>
      </c>
      <c r="C29" s="1021"/>
      <c r="D29" s="1021"/>
      <c r="E29" s="1021"/>
      <c r="F29" s="1021"/>
      <c r="G29" s="1022"/>
    </row>
    <row r="30" spans="2:7" ht="16.5" thickBot="1" x14ac:dyDescent="0.3">
      <c r="B30" s="1020" t="s">
        <v>26</v>
      </c>
      <c r="C30" s="1021"/>
      <c r="D30" s="1021"/>
      <c r="E30" s="1021"/>
      <c r="F30" s="1021"/>
      <c r="G30" s="1022"/>
    </row>
    <row r="31" spans="2:7" ht="16.5" thickBot="1" x14ac:dyDescent="0.3">
      <c r="B31" s="363" t="s">
        <v>28</v>
      </c>
      <c r="C31" s="364"/>
      <c r="D31" s="364"/>
      <c r="E31" s="364"/>
      <c r="F31" s="364"/>
      <c r="G31" s="445"/>
    </row>
    <row r="32" spans="2:7" ht="16.5" thickBot="1" x14ac:dyDescent="0.3">
      <c r="B32" s="363" t="s">
        <v>36</v>
      </c>
      <c r="C32" s="364"/>
      <c r="D32" s="364"/>
      <c r="E32" s="364"/>
      <c r="F32" s="364"/>
      <c r="G32" s="445"/>
    </row>
    <row r="33" spans="2:7" ht="16.5" thickBot="1" x14ac:dyDescent="0.3">
      <c r="B33" s="363" t="s">
        <v>37</v>
      </c>
      <c r="C33" s="364"/>
      <c r="D33" s="364"/>
      <c r="E33" s="364"/>
      <c r="F33" s="364"/>
      <c r="G33" s="445"/>
    </row>
    <row r="34" spans="2:7" ht="16.5" thickBot="1" x14ac:dyDescent="0.3">
      <c r="B34" s="861"/>
      <c r="C34" s="862"/>
      <c r="D34" s="862"/>
      <c r="E34" s="862"/>
      <c r="F34" s="862"/>
      <c r="G34" s="959"/>
    </row>
    <row r="35" spans="2:7" ht="16.5" thickBot="1" x14ac:dyDescent="0.3">
      <c r="B35" s="571"/>
      <c r="C35" s="572"/>
      <c r="D35" s="572"/>
      <c r="E35" s="572"/>
      <c r="F35" s="572"/>
      <c r="G35" s="1023"/>
    </row>
    <row r="36" spans="2:7" ht="16.5" thickBot="1" x14ac:dyDescent="0.3">
      <c r="B36" s="571"/>
      <c r="C36" s="572"/>
      <c r="D36" s="572"/>
      <c r="E36" s="572"/>
      <c r="F36" s="572"/>
      <c r="G36" s="1023"/>
    </row>
    <row r="37" spans="2:7" ht="16.5" thickBot="1" x14ac:dyDescent="0.3">
      <c r="B37" s="390"/>
      <c r="C37" s="390"/>
      <c r="D37" s="390"/>
      <c r="E37" s="390"/>
      <c r="F37" s="77"/>
      <c r="G37" s="96"/>
    </row>
    <row r="38" spans="2:7" ht="16.5" thickBot="1" x14ac:dyDescent="0.3">
      <c r="B38" s="366" t="s">
        <v>226</v>
      </c>
      <c r="C38" s="367"/>
      <c r="D38" s="367"/>
      <c r="E38" s="367"/>
      <c r="F38" s="367"/>
      <c r="G38" s="368"/>
    </row>
    <row r="39" spans="2:7" x14ac:dyDescent="0.25">
      <c r="B39" s="430" t="s">
        <v>1079</v>
      </c>
      <c r="C39" s="431"/>
      <c r="D39" s="431"/>
      <c r="E39" s="431"/>
      <c r="F39" s="431"/>
      <c r="G39" s="432"/>
    </row>
    <row r="40" spans="2:7" x14ac:dyDescent="0.25">
      <c r="B40" s="433" t="s">
        <v>1080</v>
      </c>
      <c r="C40" s="434"/>
      <c r="D40" s="434"/>
      <c r="E40" s="434"/>
      <c r="F40" s="434"/>
      <c r="G40" s="435"/>
    </row>
    <row r="41" spans="2:7" x14ac:dyDescent="0.25">
      <c r="B41" s="433" t="s">
        <v>1081</v>
      </c>
      <c r="C41" s="434"/>
      <c r="D41" s="434"/>
      <c r="E41" s="434"/>
      <c r="F41" s="434"/>
      <c r="G41" s="435"/>
    </row>
    <row r="42" spans="2:7" x14ac:dyDescent="0.25">
      <c r="B42" s="433" t="s">
        <v>1082</v>
      </c>
      <c r="C42" s="434"/>
      <c r="D42" s="434"/>
      <c r="E42" s="434"/>
      <c r="F42" s="434"/>
      <c r="G42" s="435"/>
    </row>
    <row r="43" spans="2:7" x14ac:dyDescent="0.25">
      <c r="B43" s="433" t="s">
        <v>1083</v>
      </c>
      <c r="C43" s="434"/>
      <c r="D43" s="434"/>
      <c r="E43" s="434"/>
      <c r="F43" s="434"/>
      <c r="G43" s="435"/>
    </row>
    <row r="44" spans="2:7" x14ac:dyDescent="0.25">
      <c r="B44" s="433" t="s">
        <v>479</v>
      </c>
      <c r="C44" s="434"/>
      <c r="D44" s="434"/>
      <c r="E44" s="434"/>
      <c r="F44" s="434"/>
      <c r="G44" s="435"/>
    </row>
    <row r="45" spans="2:7" x14ac:dyDescent="0.25">
      <c r="B45" s="433" t="s">
        <v>480</v>
      </c>
      <c r="C45" s="434"/>
      <c r="D45" s="434"/>
      <c r="E45" s="434"/>
      <c r="F45" s="434"/>
      <c r="G45" s="435"/>
    </row>
    <row r="46" spans="2:7" x14ac:dyDescent="0.25">
      <c r="B46" s="433" t="s">
        <v>481</v>
      </c>
      <c r="C46" s="434"/>
      <c r="D46" s="434"/>
      <c r="E46" s="434"/>
      <c r="F46" s="434"/>
      <c r="G46" s="435"/>
    </row>
    <row r="47" spans="2:7" x14ac:dyDescent="0.25">
      <c r="B47" s="433" t="s">
        <v>482</v>
      </c>
      <c r="C47" s="434"/>
      <c r="D47" s="434"/>
      <c r="E47" s="434"/>
      <c r="F47" s="434"/>
      <c r="G47" s="435"/>
    </row>
    <row r="48" spans="2:7" x14ac:dyDescent="0.25">
      <c r="B48" s="433" t="s">
        <v>483</v>
      </c>
      <c r="C48" s="434"/>
      <c r="D48" s="434"/>
      <c r="E48" s="434"/>
      <c r="F48" s="434"/>
      <c r="G48" s="435"/>
    </row>
    <row r="49" spans="2:7" ht="17.25" x14ac:dyDescent="0.25">
      <c r="B49" s="1017" t="s">
        <v>1084</v>
      </c>
      <c r="C49" s="1018"/>
      <c r="D49" s="1018"/>
      <c r="E49" s="1018"/>
      <c r="F49" s="1018"/>
      <c r="G49" s="1019"/>
    </row>
    <row r="50" spans="2:7" ht="17.25" x14ac:dyDescent="0.25">
      <c r="B50" s="1017" t="s">
        <v>379</v>
      </c>
      <c r="C50" s="1018"/>
      <c r="D50" s="1018"/>
      <c r="E50" s="1018"/>
      <c r="F50" s="1018"/>
      <c r="G50" s="1019"/>
    </row>
    <row r="51" spans="2:7" x14ac:dyDescent="0.25">
      <c r="B51" s="433" t="s">
        <v>1085</v>
      </c>
      <c r="C51" s="434"/>
      <c r="D51" s="434"/>
      <c r="E51" s="434"/>
      <c r="F51" s="434"/>
      <c r="G51" s="435"/>
    </row>
    <row r="52" spans="2:7" x14ac:dyDescent="0.25">
      <c r="B52" s="433" t="s">
        <v>1086</v>
      </c>
      <c r="C52" s="434"/>
      <c r="D52" s="434"/>
      <c r="E52" s="434"/>
      <c r="F52" s="434"/>
      <c r="G52" s="435"/>
    </row>
    <row r="53" spans="2:7" x14ac:dyDescent="0.25">
      <c r="B53" s="433" t="s">
        <v>1087</v>
      </c>
      <c r="C53" s="434"/>
      <c r="D53" s="434"/>
      <c r="E53" s="434"/>
      <c r="F53" s="434"/>
      <c r="G53" s="435"/>
    </row>
    <row r="54" spans="2:7" x14ac:dyDescent="0.25">
      <c r="B54" s="433" t="s">
        <v>1088</v>
      </c>
      <c r="C54" s="434"/>
      <c r="D54" s="434"/>
      <c r="E54" s="434"/>
      <c r="F54" s="434"/>
      <c r="G54" s="435"/>
    </row>
    <row r="55" spans="2:7" x14ac:dyDescent="0.25">
      <c r="B55" s="433" t="s">
        <v>1089</v>
      </c>
      <c r="C55" s="434"/>
      <c r="D55" s="434"/>
      <c r="E55" s="434"/>
      <c r="F55" s="434"/>
      <c r="G55" s="435"/>
    </row>
    <row r="56" spans="2:7" x14ac:dyDescent="0.25">
      <c r="B56" s="433" t="s">
        <v>1090</v>
      </c>
      <c r="C56" s="434"/>
      <c r="D56" s="434"/>
      <c r="E56" s="434"/>
      <c r="F56" s="434"/>
      <c r="G56" s="435"/>
    </row>
    <row r="57" spans="2:7" x14ac:dyDescent="0.25">
      <c r="B57" s="433" t="s">
        <v>1091</v>
      </c>
      <c r="C57" s="434"/>
      <c r="D57" s="434"/>
      <c r="E57" s="434"/>
      <c r="F57" s="434"/>
      <c r="G57" s="435"/>
    </row>
    <row r="58" spans="2:7" x14ac:dyDescent="0.25">
      <c r="B58" s="433" t="s">
        <v>1092</v>
      </c>
      <c r="C58" s="434"/>
      <c r="D58" s="434"/>
      <c r="E58" s="434"/>
      <c r="F58" s="434"/>
      <c r="G58" s="435"/>
    </row>
    <row r="59" spans="2:7" x14ac:dyDescent="0.25">
      <c r="B59" s="433" t="s">
        <v>1093</v>
      </c>
      <c r="C59" s="434"/>
      <c r="D59" s="434"/>
      <c r="E59" s="434"/>
      <c r="F59" s="434"/>
      <c r="G59" s="435"/>
    </row>
    <row r="60" spans="2:7" x14ac:dyDescent="0.25">
      <c r="B60" s="433" t="s">
        <v>1094</v>
      </c>
      <c r="C60" s="434"/>
      <c r="D60" s="434"/>
      <c r="E60" s="434"/>
      <c r="F60" s="434"/>
      <c r="G60" s="435"/>
    </row>
    <row r="61" spans="2:7" x14ac:dyDescent="0.25">
      <c r="B61" s="433" t="s">
        <v>1095</v>
      </c>
      <c r="C61" s="434"/>
      <c r="D61" s="434"/>
      <c r="E61" s="434"/>
      <c r="F61" s="434"/>
      <c r="G61" s="435"/>
    </row>
    <row r="62" spans="2:7" x14ac:dyDescent="0.25">
      <c r="B62" s="433" t="s">
        <v>1096</v>
      </c>
      <c r="C62" s="434"/>
      <c r="D62" s="434"/>
      <c r="E62" s="434"/>
      <c r="F62" s="434"/>
      <c r="G62" s="435"/>
    </row>
    <row r="63" spans="2:7" x14ac:dyDescent="0.25">
      <c r="B63" s="433" t="s">
        <v>1097</v>
      </c>
      <c r="C63" s="434"/>
      <c r="D63" s="434"/>
      <c r="E63" s="434"/>
      <c r="F63" s="434"/>
      <c r="G63" s="435"/>
    </row>
    <row r="64" spans="2:7" x14ac:dyDescent="0.25">
      <c r="B64" s="433" t="s">
        <v>1098</v>
      </c>
      <c r="C64" s="434"/>
      <c r="D64" s="434"/>
      <c r="E64" s="434"/>
      <c r="F64" s="434"/>
      <c r="G64" s="435"/>
    </row>
    <row r="65" spans="2:7" ht="17.25" x14ac:dyDescent="0.25">
      <c r="B65" s="1017" t="s">
        <v>380</v>
      </c>
      <c r="C65" s="1018"/>
      <c r="D65" s="1018"/>
      <c r="E65" s="1018"/>
      <c r="F65" s="1018"/>
      <c r="G65" s="1019"/>
    </row>
    <row r="66" spans="2:7" x14ac:dyDescent="0.25">
      <c r="B66" s="433" t="s">
        <v>381</v>
      </c>
      <c r="C66" s="434"/>
      <c r="D66" s="434"/>
      <c r="E66" s="434"/>
      <c r="F66" s="434"/>
      <c r="G66" s="435"/>
    </row>
    <row r="67" spans="2:7" x14ac:dyDescent="0.25">
      <c r="B67" s="446"/>
      <c r="C67" s="447"/>
      <c r="D67" s="447"/>
      <c r="E67" s="447"/>
      <c r="F67" s="447"/>
      <c r="G67" s="448"/>
    </row>
    <row r="68" spans="2:7" x14ac:dyDescent="0.25">
      <c r="B68" s="1014" t="s">
        <v>1099</v>
      </c>
      <c r="C68" s="1015"/>
      <c r="D68" s="1015"/>
      <c r="E68" s="1015"/>
      <c r="F68" s="1015"/>
      <c r="G68" s="1016"/>
    </row>
    <row r="69" spans="2:7" x14ac:dyDescent="0.25">
      <c r="B69" s="1014" t="s">
        <v>1100</v>
      </c>
      <c r="C69" s="1015"/>
      <c r="D69" s="1015"/>
      <c r="E69" s="1015"/>
      <c r="F69" s="1015"/>
      <c r="G69" s="1016"/>
    </row>
    <row r="70" spans="2:7" x14ac:dyDescent="0.25">
      <c r="B70" s="1014" t="s">
        <v>1101</v>
      </c>
      <c r="C70" s="1015"/>
      <c r="D70" s="1015"/>
      <c r="E70" s="1015"/>
      <c r="F70" s="1015"/>
      <c r="G70" s="1016"/>
    </row>
    <row r="71" spans="2:7" x14ac:dyDescent="0.25">
      <c r="B71" s="1014" t="s">
        <v>1102</v>
      </c>
      <c r="C71" s="1015"/>
      <c r="D71" s="1015"/>
      <c r="E71" s="1015"/>
      <c r="F71" s="1015"/>
      <c r="G71" s="1016"/>
    </row>
    <row r="72" spans="2:7" ht="15.75" thickBot="1" x14ac:dyDescent="0.3">
      <c r="B72" s="427" t="s">
        <v>1103</v>
      </c>
      <c r="C72" s="428"/>
      <c r="D72" s="428"/>
      <c r="E72" s="428"/>
      <c r="F72" s="428"/>
      <c r="G72" s="429"/>
    </row>
    <row r="73" spans="2:7" ht="16.5" thickBot="1" x14ac:dyDescent="0.3">
      <c r="B73" s="366" t="s">
        <v>227</v>
      </c>
      <c r="C73" s="367"/>
      <c r="D73" s="367"/>
      <c r="E73" s="367"/>
      <c r="F73" s="367"/>
      <c r="G73" s="368"/>
    </row>
    <row r="74" spans="2:7" ht="16.5" thickBot="1" x14ac:dyDescent="0.3">
      <c r="B74" s="363" t="s">
        <v>245</v>
      </c>
      <c r="C74" s="364"/>
      <c r="D74" s="364"/>
      <c r="E74" s="365"/>
      <c r="F74" s="363" t="s">
        <v>231</v>
      </c>
      <c r="G74" s="365"/>
    </row>
    <row r="75" spans="2:7" ht="16.5" thickBot="1" x14ac:dyDescent="0.3">
      <c r="B75" s="363" t="s">
        <v>247</v>
      </c>
      <c r="C75" s="364"/>
      <c r="D75" s="364"/>
      <c r="E75" s="365"/>
      <c r="F75" s="363" t="s">
        <v>231</v>
      </c>
      <c r="G75" s="365"/>
    </row>
    <row r="76" spans="2:7" ht="16.5" thickBot="1" x14ac:dyDescent="0.3">
      <c r="B76" s="363" t="s">
        <v>309</v>
      </c>
      <c r="C76" s="364"/>
      <c r="D76" s="364"/>
      <c r="E76" s="365"/>
      <c r="F76" s="363" t="s">
        <v>231</v>
      </c>
      <c r="G76" s="445"/>
    </row>
    <row r="77" spans="2:7" ht="16.5" thickBot="1" x14ac:dyDescent="0.3">
      <c r="B77" s="363" t="s">
        <v>249</v>
      </c>
      <c r="C77" s="364"/>
      <c r="D77" s="364"/>
      <c r="E77" s="365"/>
      <c r="F77" s="363" t="s">
        <v>231</v>
      </c>
      <c r="G77" s="365"/>
    </row>
    <row r="78" spans="2:7" ht="16.5" thickBot="1" x14ac:dyDescent="0.3">
      <c r="B78" s="363"/>
      <c r="C78" s="364"/>
      <c r="D78" s="364"/>
      <c r="E78" s="365"/>
      <c r="F78" s="363"/>
      <c r="G78" s="365"/>
    </row>
    <row r="79" spans="2:7" ht="16.5" thickBot="1" x14ac:dyDescent="0.3">
      <c r="B79" s="366" t="s">
        <v>232</v>
      </c>
      <c r="C79" s="367"/>
      <c r="D79" s="367"/>
      <c r="E79" s="367"/>
      <c r="F79" s="367"/>
      <c r="G79" s="368"/>
    </row>
    <row r="80" spans="2:7" ht="15.75" x14ac:dyDescent="0.25">
      <c r="B80" s="818" t="s">
        <v>498</v>
      </c>
      <c r="C80" s="819"/>
      <c r="D80" s="819"/>
      <c r="E80" s="819"/>
      <c r="F80" s="819"/>
      <c r="G80" s="820"/>
    </row>
    <row r="81" spans="2:7" ht="15.75" thickBot="1" x14ac:dyDescent="0.3">
      <c r="B81" s="815" t="s">
        <v>514</v>
      </c>
      <c r="C81" s="816"/>
      <c r="D81" s="816"/>
      <c r="E81" s="816"/>
      <c r="F81" s="816"/>
      <c r="G81" s="817"/>
    </row>
    <row r="82" spans="2:7" ht="15.75" thickBot="1" x14ac:dyDescent="0.3">
      <c r="B82" s="181" t="s">
        <v>104</v>
      </c>
      <c r="C82" s="186"/>
      <c r="D82" s="186"/>
      <c r="E82" s="186"/>
      <c r="F82" s="186"/>
      <c r="G82" s="187"/>
    </row>
    <row r="83" spans="2:7" ht="15.75" thickBot="1" x14ac:dyDescent="0.3">
      <c r="B83" s="181" t="s">
        <v>512</v>
      </c>
      <c r="C83" s="186"/>
      <c r="D83" s="186"/>
      <c r="E83" s="186"/>
      <c r="F83" s="186"/>
      <c r="G83" s="187"/>
    </row>
    <row r="84" spans="2:7" ht="15.75" thickBot="1" x14ac:dyDescent="0.3">
      <c r="B84" s="181" t="s">
        <v>513</v>
      </c>
      <c r="C84" s="186"/>
      <c r="D84" s="186"/>
      <c r="E84" s="186"/>
      <c r="F84" s="186"/>
      <c r="G84" s="187"/>
    </row>
    <row r="85" spans="2:7" ht="15.75" thickBot="1" x14ac:dyDescent="0.3">
      <c r="B85" s="181" t="s">
        <v>492</v>
      </c>
      <c r="C85" s="186"/>
      <c r="D85" s="186"/>
      <c r="E85" s="186"/>
      <c r="F85" s="186"/>
      <c r="G85" s="187"/>
    </row>
    <row r="86" spans="2:7" ht="16.5" thickBot="1" x14ac:dyDescent="0.3">
      <c r="B86" s="678" t="s">
        <v>234</v>
      </c>
      <c r="C86" s="679"/>
      <c r="D86" s="679"/>
      <c r="E86" s="679"/>
      <c r="F86" s="679"/>
      <c r="G86" s="680"/>
    </row>
    <row r="87" spans="2:7" ht="16.5" thickBot="1" x14ac:dyDescent="0.3">
      <c r="B87" s="695"/>
      <c r="C87" s="696"/>
      <c r="D87" s="696"/>
      <c r="E87" s="696"/>
      <c r="F87" s="696"/>
      <c r="G87" s="697"/>
    </row>
  </sheetData>
  <mergeCells count="95">
    <mergeCell ref="B1:D1"/>
    <mergeCell ref="B2:G2"/>
    <mergeCell ref="B3:E3"/>
    <mergeCell ref="B4:E4"/>
    <mergeCell ref="F4:G4"/>
    <mergeCell ref="B5:E5"/>
    <mergeCell ref="F5:G5"/>
    <mergeCell ref="B6:E6"/>
    <mergeCell ref="F6:G6"/>
    <mergeCell ref="B7:E7"/>
    <mergeCell ref="F7:G7"/>
    <mergeCell ref="B8:E8"/>
    <mergeCell ref="F8:G8"/>
    <mergeCell ref="B19:G19"/>
    <mergeCell ref="B9:E9"/>
    <mergeCell ref="F9:G9"/>
    <mergeCell ref="B10:G10"/>
    <mergeCell ref="B11:C11"/>
    <mergeCell ref="D11:G11"/>
    <mergeCell ref="B12:C12"/>
    <mergeCell ref="D12:G12"/>
    <mergeCell ref="C13:D13"/>
    <mergeCell ref="C14:D14"/>
    <mergeCell ref="B16:G16"/>
    <mergeCell ref="B17:G17"/>
    <mergeCell ref="B18:G18"/>
    <mergeCell ref="B20:G20"/>
    <mergeCell ref="B21:G21"/>
    <mergeCell ref="B22:G22"/>
    <mergeCell ref="B23:G23"/>
    <mergeCell ref="B24:G24"/>
    <mergeCell ref="B53:G53"/>
    <mergeCell ref="B41:G41"/>
    <mergeCell ref="B25:G25"/>
    <mergeCell ref="B26:G26"/>
    <mergeCell ref="B27:G27"/>
    <mergeCell ref="B28:G28"/>
    <mergeCell ref="B30:G30"/>
    <mergeCell ref="B29:G29"/>
    <mergeCell ref="B34:G34"/>
    <mergeCell ref="B35:G35"/>
    <mergeCell ref="B36:G36"/>
    <mergeCell ref="B37:E37"/>
    <mergeCell ref="B38:G38"/>
    <mergeCell ref="B31:G31"/>
    <mergeCell ref="B32:G32"/>
    <mergeCell ref="B33:G33"/>
    <mergeCell ref="B48:G48"/>
    <mergeCell ref="B49:G49"/>
    <mergeCell ref="B50:G50"/>
    <mergeCell ref="B51:G51"/>
    <mergeCell ref="B52:G52"/>
    <mergeCell ref="B43:G43"/>
    <mergeCell ref="B44:G44"/>
    <mergeCell ref="B45:G45"/>
    <mergeCell ref="B46:G46"/>
    <mergeCell ref="B47:G47"/>
    <mergeCell ref="B42:G42"/>
    <mergeCell ref="B39:G39"/>
    <mergeCell ref="B40:G40"/>
    <mergeCell ref="B66:G66"/>
    <mergeCell ref="B55:G55"/>
    <mergeCell ref="B56:G56"/>
    <mergeCell ref="B57:G57"/>
    <mergeCell ref="B58:G58"/>
    <mergeCell ref="B59:G59"/>
    <mergeCell ref="B60:G60"/>
    <mergeCell ref="B61:G61"/>
    <mergeCell ref="B62:G62"/>
    <mergeCell ref="B63:G63"/>
    <mergeCell ref="B64:G64"/>
    <mergeCell ref="B65:G65"/>
    <mergeCell ref="B54:G54"/>
    <mergeCell ref="B76:E76"/>
    <mergeCell ref="F76:G76"/>
    <mergeCell ref="B67:G67"/>
    <mergeCell ref="B68:G68"/>
    <mergeCell ref="B69:G69"/>
    <mergeCell ref="B70:G70"/>
    <mergeCell ref="B71:G71"/>
    <mergeCell ref="B72:G72"/>
    <mergeCell ref="B73:G73"/>
    <mergeCell ref="B74:E74"/>
    <mergeCell ref="F74:G74"/>
    <mergeCell ref="B75:E75"/>
    <mergeCell ref="F75:G75"/>
    <mergeCell ref="B86:G86"/>
    <mergeCell ref="B87:G87"/>
    <mergeCell ref="B81:G81"/>
    <mergeCell ref="B77:E77"/>
    <mergeCell ref="F77:G77"/>
    <mergeCell ref="B78:E78"/>
    <mergeCell ref="F78:G78"/>
    <mergeCell ref="B79:G79"/>
    <mergeCell ref="B80:G80"/>
  </mergeCells>
  <hyperlinks>
    <hyperlink ref="B1:D1" location="'Schéma d''enseignement'!G42" display="Schéma d'enseignement"/>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FF8080"/>
  </sheetPr>
  <dimension ref="A1:J59"/>
  <sheetViews>
    <sheetView zoomScale="90" zoomScaleNormal="90" zoomScaleSheetLayoutView="85" zoomScalePageLayoutView="85" workbookViewId="0">
      <selection activeCell="B1" sqref="B1:D1"/>
    </sheetView>
  </sheetViews>
  <sheetFormatPr baseColWidth="10" defaultColWidth="8.7109375" defaultRowHeight="15.75" x14ac:dyDescent="0.25"/>
  <cols>
    <col min="1" max="1" width="1.28515625" style="134" customWidth="1"/>
    <col min="2" max="2" width="29.42578125" style="134" customWidth="1"/>
    <col min="3" max="3" width="15.5703125" style="134" customWidth="1"/>
    <col min="4" max="4" width="11.7109375" style="134" customWidth="1"/>
    <col min="5" max="5" width="7" style="134" customWidth="1"/>
    <col min="6" max="6" width="21.7109375" style="134" customWidth="1"/>
    <col min="7" max="7" width="8.28515625" style="134" customWidth="1"/>
    <col min="8" max="8" width="20.28515625" style="134" customWidth="1"/>
    <col min="9" max="9" width="119.7109375" style="134" customWidth="1"/>
    <col min="10" max="10" width="8.7109375" style="134"/>
    <col min="11" max="11" width="128.28515625" style="134" customWidth="1"/>
    <col min="12" max="256" width="8.7109375" style="134"/>
    <col min="257" max="257" width="1.28515625" style="134" customWidth="1"/>
    <col min="258" max="258" width="29.42578125" style="134" customWidth="1"/>
    <col min="259" max="259" width="15.5703125" style="134" customWidth="1"/>
    <col min="260" max="260" width="11.7109375" style="134" customWidth="1"/>
    <col min="261" max="261" width="7" style="134" customWidth="1"/>
    <col min="262" max="262" width="21.7109375" style="134" customWidth="1"/>
    <col min="263" max="263" width="8.28515625" style="134" customWidth="1"/>
    <col min="264" max="264" width="20.28515625" style="134" customWidth="1"/>
    <col min="265" max="265" width="119.7109375" style="134" customWidth="1"/>
    <col min="266" max="266" width="8.7109375" style="134"/>
    <col min="267" max="267" width="128.28515625" style="134" customWidth="1"/>
    <col min="268" max="512" width="8.7109375" style="134"/>
    <col min="513" max="513" width="1.28515625" style="134" customWidth="1"/>
    <col min="514" max="514" width="29.42578125" style="134" customWidth="1"/>
    <col min="515" max="515" width="15.5703125" style="134" customWidth="1"/>
    <col min="516" max="516" width="11.7109375" style="134" customWidth="1"/>
    <col min="517" max="517" width="7" style="134" customWidth="1"/>
    <col min="518" max="518" width="21.7109375" style="134" customWidth="1"/>
    <col min="519" max="519" width="8.28515625" style="134" customWidth="1"/>
    <col min="520" max="520" width="20.28515625" style="134" customWidth="1"/>
    <col min="521" max="521" width="119.7109375" style="134" customWidth="1"/>
    <col min="522" max="522" width="8.7109375" style="134"/>
    <col min="523" max="523" width="128.28515625" style="134" customWidth="1"/>
    <col min="524" max="768" width="8.7109375" style="134"/>
    <col min="769" max="769" width="1.28515625" style="134" customWidth="1"/>
    <col min="770" max="770" width="29.42578125" style="134" customWidth="1"/>
    <col min="771" max="771" width="15.5703125" style="134" customWidth="1"/>
    <col min="772" max="772" width="11.7109375" style="134" customWidth="1"/>
    <col min="773" max="773" width="7" style="134" customWidth="1"/>
    <col min="774" max="774" width="21.7109375" style="134" customWidth="1"/>
    <col min="775" max="775" width="8.28515625" style="134" customWidth="1"/>
    <col min="776" max="776" width="20.28515625" style="134" customWidth="1"/>
    <col min="777" max="777" width="119.7109375" style="134" customWidth="1"/>
    <col min="778" max="778" width="8.7109375" style="134"/>
    <col min="779" max="779" width="128.28515625" style="134" customWidth="1"/>
    <col min="780" max="1024" width="8.7109375" style="134"/>
    <col min="1025" max="1025" width="1.28515625" style="134" customWidth="1"/>
    <col min="1026" max="1026" width="29.42578125" style="134" customWidth="1"/>
    <col min="1027" max="1027" width="15.5703125" style="134" customWidth="1"/>
    <col min="1028" max="1028" width="11.7109375" style="134" customWidth="1"/>
    <col min="1029" max="1029" width="7" style="134" customWidth="1"/>
    <col min="1030" max="1030" width="21.7109375" style="134" customWidth="1"/>
    <col min="1031" max="1031" width="8.28515625" style="134" customWidth="1"/>
    <col min="1032" max="1032" width="20.28515625" style="134" customWidth="1"/>
    <col min="1033" max="1033" width="119.7109375" style="134" customWidth="1"/>
    <col min="1034" max="1034" width="8.7109375" style="134"/>
    <col min="1035" max="1035" width="128.28515625" style="134" customWidth="1"/>
    <col min="1036" max="1280" width="8.7109375" style="134"/>
    <col min="1281" max="1281" width="1.28515625" style="134" customWidth="1"/>
    <col min="1282" max="1282" width="29.42578125" style="134" customWidth="1"/>
    <col min="1283" max="1283" width="15.5703125" style="134" customWidth="1"/>
    <col min="1284" max="1284" width="11.7109375" style="134" customWidth="1"/>
    <col min="1285" max="1285" width="7" style="134" customWidth="1"/>
    <col min="1286" max="1286" width="21.7109375" style="134" customWidth="1"/>
    <col min="1287" max="1287" width="8.28515625" style="134" customWidth="1"/>
    <col min="1288" max="1288" width="20.28515625" style="134" customWidth="1"/>
    <col min="1289" max="1289" width="119.7109375" style="134" customWidth="1"/>
    <col min="1290" max="1290" width="8.7109375" style="134"/>
    <col min="1291" max="1291" width="128.28515625" style="134" customWidth="1"/>
    <col min="1292" max="1536" width="8.7109375" style="134"/>
    <col min="1537" max="1537" width="1.28515625" style="134" customWidth="1"/>
    <col min="1538" max="1538" width="29.42578125" style="134" customWidth="1"/>
    <col min="1539" max="1539" width="15.5703125" style="134" customWidth="1"/>
    <col min="1540" max="1540" width="11.7109375" style="134" customWidth="1"/>
    <col min="1541" max="1541" width="7" style="134" customWidth="1"/>
    <col min="1542" max="1542" width="21.7109375" style="134" customWidth="1"/>
    <col min="1543" max="1543" width="8.28515625" style="134" customWidth="1"/>
    <col min="1544" max="1544" width="20.28515625" style="134" customWidth="1"/>
    <col min="1545" max="1545" width="119.7109375" style="134" customWidth="1"/>
    <col min="1546" max="1546" width="8.7109375" style="134"/>
    <col min="1547" max="1547" width="128.28515625" style="134" customWidth="1"/>
    <col min="1548" max="1792" width="8.7109375" style="134"/>
    <col min="1793" max="1793" width="1.28515625" style="134" customWidth="1"/>
    <col min="1794" max="1794" width="29.42578125" style="134" customWidth="1"/>
    <col min="1795" max="1795" width="15.5703125" style="134" customWidth="1"/>
    <col min="1796" max="1796" width="11.7109375" style="134" customWidth="1"/>
    <col min="1797" max="1797" width="7" style="134" customWidth="1"/>
    <col min="1798" max="1798" width="21.7109375" style="134" customWidth="1"/>
    <col min="1799" max="1799" width="8.28515625" style="134" customWidth="1"/>
    <col min="1800" max="1800" width="20.28515625" style="134" customWidth="1"/>
    <col min="1801" max="1801" width="119.7109375" style="134" customWidth="1"/>
    <col min="1802" max="1802" width="8.7109375" style="134"/>
    <col min="1803" max="1803" width="128.28515625" style="134" customWidth="1"/>
    <col min="1804" max="2048" width="8.7109375" style="134"/>
    <col min="2049" max="2049" width="1.28515625" style="134" customWidth="1"/>
    <col min="2050" max="2050" width="29.42578125" style="134" customWidth="1"/>
    <col min="2051" max="2051" width="15.5703125" style="134" customWidth="1"/>
    <col min="2052" max="2052" width="11.7109375" style="134" customWidth="1"/>
    <col min="2053" max="2053" width="7" style="134" customWidth="1"/>
    <col min="2054" max="2054" width="21.7109375" style="134" customWidth="1"/>
    <col min="2055" max="2055" width="8.28515625" style="134" customWidth="1"/>
    <col min="2056" max="2056" width="20.28515625" style="134" customWidth="1"/>
    <col min="2057" max="2057" width="119.7109375" style="134" customWidth="1"/>
    <col min="2058" max="2058" width="8.7109375" style="134"/>
    <col min="2059" max="2059" width="128.28515625" style="134" customWidth="1"/>
    <col min="2060" max="2304" width="8.7109375" style="134"/>
    <col min="2305" max="2305" width="1.28515625" style="134" customWidth="1"/>
    <col min="2306" max="2306" width="29.42578125" style="134" customWidth="1"/>
    <col min="2307" max="2307" width="15.5703125" style="134" customWidth="1"/>
    <col min="2308" max="2308" width="11.7109375" style="134" customWidth="1"/>
    <col min="2309" max="2309" width="7" style="134" customWidth="1"/>
    <col min="2310" max="2310" width="21.7109375" style="134" customWidth="1"/>
    <col min="2311" max="2311" width="8.28515625" style="134" customWidth="1"/>
    <col min="2312" max="2312" width="20.28515625" style="134" customWidth="1"/>
    <col min="2313" max="2313" width="119.7109375" style="134" customWidth="1"/>
    <col min="2314" max="2314" width="8.7109375" style="134"/>
    <col min="2315" max="2315" width="128.28515625" style="134" customWidth="1"/>
    <col min="2316" max="2560" width="8.7109375" style="134"/>
    <col min="2561" max="2561" width="1.28515625" style="134" customWidth="1"/>
    <col min="2562" max="2562" width="29.42578125" style="134" customWidth="1"/>
    <col min="2563" max="2563" width="15.5703125" style="134" customWidth="1"/>
    <col min="2564" max="2564" width="11.7109375" style="134" customWidth="1"/>
    <col min="2565" max="2565" width="7" style="134" customWidth="1"/>
    <col min="2566" max="2566" width="21.7109375" style="134" customWidth="1"/>
    <col min="2567" max="2567" width="8.28515625" style="134" customWidth="1"/>
    <col min="2568" max="2568" width="20.28515625" style="134" customWidth="1"/>
    <col min="2569" max="2569" width="119.7109375" style="134" customWidth="1"/>
    <col min="2570" max="2570" width="8.7109375" style="134"/>
    <col min="2571" max="2571" width="128.28515625" style="134" customWidth="1"/>
    <col min="2572" max="2816" width="8.7109375" style="134"/>
    <col min="2817" max="2817" width="1.28515625" style="134" customWidth="1"/>
    <col min="2818" max="2818" width="29.42578125" style="134" customWidth="1"/>
    <col min="2819" max="2819" width="15.5703125" style="134" customWidth="1"/>
    <col min="2820" max="2820" width="11.7109375" style="134" customWidth="1"/>
    <col min="2821" max="2821" width="7" style="134" customWidth="1"/>
    <col min="2822" max="2822" width="21.7109375" style="134" customWidth="1"/>
    <col min="2823" max="2823" width="8.28515625" style="134" customWidth="1"/>
    <col min="2824" max="2824" width="20.28515625" style="134" customWidth="1"/>
    <col min="2825" max="2825" width="119.7109375" style="134" customWidth="1"/>
    <col min="2826" max="2826" width="8.7109375" style="134"/>
    <col min="2827" max="2827" width="128.28515625" style="134" customWidth="1"/>
    <col min="2828" max="3072" width="8.7109375" style="134"/>
    <col min="3073" max="3073" width="1.28515625" style="134" customWidth="1"/>
    <col min="3074" max="3074" width="29.42578125" style="134" customWidth="1"/>
    <col min="3075" max="3075" width="15.5703125" style="134" customWidth="1"/>
    <col min="3076" max="3076" width="11.7109375" style="134" customWidth="1"/>
    <col min="3077" max="3077" width="7" style="134" customWidth="1"/>
    <col min="3078" max="3078" width="21.7109375" style="134" customWidth="1"/>
    <col min="3079" max="3079" width="8.28515625" style="134" customWidth="1"/>
    <col min="3080" max="3080" width="20.28515625" style="134" customWidth="1"/>
    <col min="3081" max="3081" width="119.7109375" style="134" customWidth="1"/>
    <col min="3082" max="3082" width="8.7109375" style="134"/>
    <col min="3083" max="3083" width="128.28515625" style="134" customWidth="1"/>
    <col min="3084" max="3328" width="8.7109375" style="134"/>
    <col min="3329" max="3329" width="1.28515625" style="134" customWidth="1"/>
    <col min="3330" max="3330" width="29.42578125" style="134" customWidth="1"/>
    <col min="3331" max="3331" width="15.5703125" style="134" customWidth="1"/>
    <col min="3332" max="3332" width="11.7109375" style="134" customWidth="1"/>
    <col min="3333" max="3333" width="7" style="134" customWidth="1"/>
    <col min="3334" max="3334" width="21.7109375" style="134" customWidth="1"/>
    <col min="3335" max="3335" width="8.28515625" style="134" customWidth="1"/>
    <col min="3336" max="3336" width="20.28515625" style="134" customWidth="1"/>
    <col min="3337" max="3337" width="119.7109375" style="134" customWidth="1"/>
    <col min="3338" max="3338" width="8.7109375" style="134"/>
    <col min="3339" max="3339" width="128.28515625" style="134" customWidth="1"/>
    <col min="3340" max="3584" width="8.7109375" style="134"/>
    <col min="3585" max="3585" width="1.28515625" style="134" customWidth="1"/>
    <col min="3586" max="3586" width="29.42578125" style="134" customWidth="1"/>
    <col min="3587" max="3587" width="15.5703125" style="134" customWidth="1"/>
    <col min="3588" max="3588" width="11.7109375" style="134" customWidth="1"/>
    <col min="3589" max="3589" width="7" style="134" customWidth="1"/>
    <col min="3590" max="3590" width="21.7109375" style="134" customWidth="1"/>
    <col min="3591" max="3591" width="8.28515625" style="134" customWidth="1"/>
    <col min="3592" max="3592" width="20.28515625" style="134" customWidth="1"/>
    <col min="3593" max="3593" width="119.7109375" style="134" customWidth="1"/>
    <col min="3594" max="3594" width="8.7109375" style="134"/>
    <col min="3595" max="3595" width="128.28515625" style="134" customWidth="1"/>
    <col min="3596" max="3840" width="8.7109375" style="134"/>
    <col min="3841" max="3841" width="1.28515625" style="134" customWidth="1"/>
    <col min="3842" max="3842" width="29.42578125" style="134" customWidth="1"/>
    <col min="3843" max="3843" width="15.5703125" style="134" customWidth="1"/>
    <col min="3844" max="3844" width="11.7109375" style="134" customWidth="1"/>
    <col min="3845" max="3845" width="7" style="134" customWidth="1"/>
    <col min="3846" max="3846" width="21.7109375" style="134" customWidth="1"/>
    <col min="3847" max="3847" width="8.28515625" style="134" customWidth="1"/>
    <col min="3848" max="3848" width="20.28515625" style="134" customWidth="1"/>
    <col min="3849" max="3849" width="119.7109375" style="134" customWidth="1"/>
    <col min="3850" max="3850" width="8.7109375" style="134"/>
    <col min="3851" max="3851" width="128.28515625" style="134" customWidth="1"/>
    <col min="3852" max="4096" width="8.7109375" style="134"/>
    <col min="4097" max="4097" width="1.28515625" style="134" customWidth="1"/>
    <col min="4098" max="4098" width="29.42578125" style="134" customWidth="1"/>
    <col min="4099" max="4099" width="15.5703125" style="134" customWidth="1"/>
    <col min="4100" max="4100" width="11.7109375" style="134" customWidth="1"/>
    <col min="4101" max="4101" width="7" style="134" customWidth="1"/>
    <col min="4102" max="4102" width="21.7109375" style="134" customWidth="1"/>
    <col min="4103" max="4103" width="8.28515625" style="134" customWidth="1"/>
    <col min="4104" max="4104" width="20.28515625" style="134" customWidth="1"/>
    <col min="4105" max="4105" width="119.7109375" style="134" customWidth="1"/>
    <col min="4106" max="4106" width="8.7109375" style="134"/>
    <col min="4107" max="4107" width="128.28515625" style="134" customWidth="1"/>
    <col min="4108" max="4352" width="8.7109375" style="134"/>
    <col min="4353" max="4353" width="1.28515625" style="134" customWidth="1"/>
    <col min="4354" max="4354" width="29.42578125" style="134" customWidth="1"/>
    <col min="4355" max="4355" width="15.5703125" style="134" customWidth="1"/>
    <col min="4356" max="4356" width="11.7109375" style="134" customWidth="1"/>
    <col min="4357" max="4357" width="7" style="134" customWidth="1"/>
    <col min="4358" max="4358" width="21.7109375" style="134" customWidth="1"/>
    <col min="4359" max="4359" width="8.28515625" style="134" customWidth="1"/>
    <col min="4360" max="4360" width="20.28515625" style="134" customWidth="1"/>
    <col min="4361" max="4361" width="119.7109375" style="134" customWidth="1"/>
    <col min="4362" max="4362" width="8.7109375" style="134"/>
    <col min="4363" max="4363" width="128.28515625" style="134" customWidth="1"/>
    <col min="4364" max="4608" width="8.7109375" style="134"/>
    <col min="4609" max="4609" width="1.28515625" style="134" customWidth="1"/>
    <col min="4610" max="4610" width="29.42578125" style="134" customWidth="1"/>
    <col min="4611" max="4611" width="15.5703125" style="134" customWidth="1"/>
    <col min="4612" max="4612" width="11.7109375" style="134" customWidth="1"/>
    <col min="4613" max="4613" width="7" style="134" customWidth="1"/>
    <col min="4614" max="4614" width="21.7109375" style="134" customWidth="1"/>
    <col min="4615" max="4615" width="8.28515625" style="134" customWidth="1"/>
    <col min="4616" max="4616" width="20.28515625" style="134" customWidth="1"/>
    <col min="4617" max="4617" width="119.7109375" style="134" customWidth="1"/>
    <col min="4618" max="4618" width="8.7109375" style="134"/>
    <col min="4619" max="4619" width="128.28515625" style="134" customWidth="1"/>
    <col min="4620" max="4864" width="8.7109375" style="134"/>
    <col min="4865" max="4865" width="1.28515625" style="134" customWidth="1"/>
    <col min="4866" max="4866" width="29.42578125" style="134" customWidth="1"/>
    <col min="4867" max="4867" width="15.5703125" style="134" customWidth="1"/>
    <col min="4868" max="4868" width="11.7109375" style="134" customWidth="1"/>
    <col min="4869" max="4869" width="7" style="134" customWidth="1"/>
    <col min="4870" max="4870" width="21.7109375" style="134" customWidth="1"/>
    <col min="4871" max="4871" width="8.28515625" style="134" customWidth="1"/>
    <col min="4872" max="4872" width="20.28515625" style="134" customWidth="1"/>
    <col min="4873" max="4873" width="119.7109375" style="134" customWidth="1"/>
    <col min="4874" max="4874" width="8.7109375" style="134"/>
    <col min="4875" max="4875" width="128.28515625" style="134" customWidth="1"/>
    <col min="4876" max="5120" width="8.7109375" style="134"/>
    <col min="5121" max="5121" width="1.28515625" style="134" customWidth="1"/>
    <col min="5122" max="5122" width="29.42578125" style="134" customWidth="1"/>
    <col min="5123" max="5123" width="15.5703125" style="134" customWidth="1"/>
    <col min="5124" max="5124" width="11.7109375" style="134" customWidth="1"/>
    <col min="5125" max="5125" width="7" style="134" customWidth="1"/>
    <col min="5126" max="5126" width="21.7109375" style="134" customWidth="1"/>
    <col min="5127" max="5127" width="8.28515625" style="134" customWidth="1"/>
    <col min="5128" max="5128" width="20.28515625" style="134" customWidth="1"/>
    <col min="5129" max="5129" width="119.7109375" style="134" customWidth="1"/>
    <col min="5130" max="5130" width="8.7109375" style="134"/>
    <col min="5131" max="5131" width="128.28515625" style="134" customWidth="1"/>
    <col min="5132" max="5376" width="8.7109375" style="134"/>
    <col min="5377" max="5377" width="1.28515625" style="134" customWidth="1"/>
    <col min="5378" max="5378" width="29.42578125" style="134" customWidth="1"/>
    <col min="5379" max="5379" width="15.5703125" style="134" customWidth="1"/>
    <col min="5380" max="5380" width="11.7109375" style="134" customWidth="1"/>
    <col min="5381" max="5381" width="7" style="134" customWidth="1"/>
    <col min="5382" max="5382" width="21.7109375" style="134" customWidth="1"/>
    <col min="5383" max="5383" width="8.28515625" style="134" customWidth="1"/>
    <col min="5384" max="5384" width="20.28515625" style="134" customWidth="1"/>
    <col min="5385" max="5385" width="119.7109375" style="134" customWidth="1"/>
    <col min="5386" max="5386" width="8.7109375" style="134"/>
    <col min="5387" max="5387" width="128.28515625" style="134" customWidth="1"/>
    <col min="5388" max="5632" width="8.7109375" style="134"/>
    <col min="5633" max="5633" width="1.28515625" style="134" customWidth="1"/>
    <col min="5634" max="5634" width="29.42578125" style="134" customWidth="1"/>
    <col min="5635" max="5635" width="15.5703125" style="134" customWidth="1"/>
    <col min="5636" max="5636" width="11.7109375" style="134" customWidth="1"/>
    <col min="5637" max="5637" width="7" style="134" customWidth="1"/>
    <col min="5638" max="5638" width="21.7109375" style="134" customWidth="1"/>
    <col min="5639" max="5639" width="8.28515625" style="134" customWidth="1"/>
    <col min="5640" max="5640" width="20.28515625" style="134" customWidth="1"/>
    <col min="5641" max="5641" width="119.7109375" style="134" customWidth="1"/>
    <col min="5642" max="5642" width="8.7109375" style="134"/>
    <col min="5643" max="5643" width="128.28515625" style="134" customWidth="1"/>
    <col min="5644" max="5888" width="8.7109375" style="134"/>
    <col min="5889" max="5889" width="1.28515625" style="134" customWidth="1"/>
    <col min="5890" max="5890" width="29.42578125" style="134" customWidth="1"/>
    <col min="5891" max="5891" width="15.5703125" style="134" customWidth="1"/>
    <col min="5892" max="5892" width="11.7109375" style="134" customWidth="1"/>
    <col min="5893" max="5893" width="7" style="134" customWidth="1"/>
    <col min="5894" max="5894" width="21.7109375" style="134" customWidth="1"/>
    <col min="5895" max="5895" width="8.28515625" style="134" customWidth="1"/>
    <col min="5896" max="5896" width="20.28515625" style="134" customWidth="1"/>
    <col min="5897" max="5897" width="119.7109375" style="134" customWidth="1"/>
    <col min="5898" max="5898" width="8.7109375" style="134"/>
    <col min="5899" max="5899" width="128.28515625" style="134" customWidth="1"/>
    <col min="5900" max="6144" width="8.7109375" style="134"/>
    <col min="6145" max="6145" width="1.28515625" style="134" customWidth="1"/>
    <col min="6146" max="6146" width="29.42578125" style="134" customWidth="1"/>
    <col min="6147" max="6147" width="15.5703125" style="134" customWidth="1"/>
    <col min="6148" max="6148" width="11.7109375" style="134" customWidth="1"/>
    <col min="6149" max="6149" width="7" style="134" customWidth="1"/>
    <col min="6150" max="6150" width="21.7109375" style="134" customWidth="1"/>
    <col min="6151" max="6151" width="8.28515625" style="134" customWidth="1"/>
    <col min="6152" max="6152" width="20.28515625" style="134" customWidth="1"/>
    <col min="6153" max="6153" width="119.7109375" style="134" customWidth="1"/>
    <col min="6154" max="6154" width="8.7109375" style="134"/>
    <col min="6155" max="6155" width="128.28515625" style="134" customWidth="1"/>
    <col min="6156" max="6400" width="8.7109375" style="134"/>
    <col min="6401" max="6401" width="1.28515625" style="134" customWidth="1"/>
    <col min="6402" max="6402" width="29.42578125" style="134" customWidth="1"/>
    <col min="6403" max="6403" width="15.5703125" style="134" customWidth="1"/>
    <col min="6404" max="6404" width="11.7109375" style="134" customWidth="1"/>
    <col min="6405" max="6405" width="7" style="134" customWidth="1"/>
    <col min="6406" max="6406" width="21.7109375" style="134" customWidth="1"/>
    <col min="6407" max="6407" width="8.28515625" style="134" customWidth="1"/>
    <col min="6408" max="6408" width="20.28515625" style="134" customWidth="1"/>
    <col min="6409" max="6409" width="119.7109375" style="134" customWidth="1"/>
    <col min="6410" max="6410" width="8.7109375" style="134"/>
    <col min="6411" max="6411" width="128.28515625" style="134" customWidth="1"/>
    <col min="6412" max="6656" width="8.7109375" style="134"/>
    <col min="6657" max="6657" width="1.28515625" style="134" customWidth="1"/>
    <col min="6658" max="6658" width="29.42578125" style="134" customWidth="1"/>
    <col min="6659" max="6659" width="15.5703125" style="134" customWidth="1"/>
    <col min="6660" max="6660" width="11.7109375" style="134" customWidth="1"/>
    <col min="6661" max="6661" width="7" style="134" customWidth="1"/>
    <col min="6662" max="6662" width="21.7109375" style="134" customWidth="1"/>
    <col min="6663" max="6663" width="8.28515625" style="134" customWidth="1"/>
    <col min="6664" max="6664" width="20.28515625" style="134" customWidth="1"/>
    <col min="6665" max="6665" width="119.7109375" style="134" customWidth="1"/>
    <col min="6666" max="6666" width="8.7109375" style="134"/>
    <col min="6667" max="6667" width="128.28515625" style="134" customWidth="1"/>
    <col min="6668" max="6912" width="8.7109375" style="134"/>
    <col min="6913" max="6913" width="1.28515625" style="134" customWidth="1"/>
    <col min="6914" max="6914" width="29.42578125" style="134" customWidth="1"/>
    <col min="6915" max="6915" width="15.5703125" style="134" customWidth="1"/>
    <col min="6916" max="6916" width="11.7109375" style="134" customWidth="1"/>
    <col min="6917" max="6917" width="7" style="134" customWidth="1"/>
    <col min="6918" max="6918" width="21.7109375" style="134" customWidth="1"/>
    <col min="6919" max="6919" width="8.28515625" style="134" customWidth="1"/>
    <col min="6920" max="6920" width="20.28515625" style="134" customWidth="1"/>
    <col min="6921" max="6921" width="119.7109375" style="134" customWidth="1"/>
    <col min="6922" max="6922" width="8.7109375" style="134"/>
    <col min="6923" max="6923" width="128.28515625" style="134" customWidth="1"/>
    <col min="6924" max="7168" width="8.7109375" style="134"/>
    <col min="7169" max="7169" width="1.28515625" style="134" customWidth="1"/>
    <col min="7170" max="7170" width="29.42578125" style="134" customWidth="1"/>
    <col min="7171" max="7171" width="15.5703125" style="134" customWidth="1"/>
    <col min="7172" max="7172" width="11.7109375" style="134" customWidth="1"/>
    <col min="7173" max="7173" width="7" style="134" customWidth="1"/>
    <col min="7174" max="7174" width="21.7109375" style="134" customWidth="1"/>
    <col min="7175" max="7175" width="8.28515625" style="134" customWidth="1"/>
    <col min="7176" max="7176" width="20.28515625" style="134" customWidth="1"/>
    <col min="7177" max="7177" width="119.7109375" style="134" customWidth="1"/>
    <col min="7178" max="7178" width="8.7109375" style="134"/>
    <col min="7179" max="7179" width="128.28515625" style="134" customWidth="1"/>
    <col min="7180" max="7424" width="8.7109375" style="134"/>
    <col min="7425" max="7425" width="1.28515625" style="134" customWidth="1"/>
    <col min="7426" max="7426" width="29.42578125" style="134" customWidth="1"/>
    <col min="7427" max="7427" width="15.5703125" style="134" customWidth="1"/>
    <col min="7428" max="7428" width="11.7109375" style="134" customWidth="1"/>
    <col min="7429" max="7429" width="7" style="134" customWidth="1"/>
    <col min="7430" max="7430" width="21.7109375" style="134" customWidth="1"/>
    <col min="7431" max="7431" width="8.28515625" style="134" customWidth="1"/>
    <col min="7432" max="7432" width="20.28515625" style="134" customWidth="1"/>
    <col min="7433" max="7433" width="119.7109375" style="134" customWidth="1"/>
    <col min="7434" max="7434" width="8.7109375" style="134"/>
    <col min="7435" max="7435" width="128.28515625" style="134" customWidth="1"/>
    <col min="7436" max="7680" width="8.7109375" style="134"/>
    <col min="7681" max="7681" width="1.28515625" style="134" customWidth="1"/>
    <col min="7682" max="7682" width="29.42578125" style="134" customWidth="1"/>
    <col min="7683" max="7683" width="15.5703125" style="134" customWidth="1"/>
    <col min="7684" max="7684" width="11.7109375" style="134" customWidth="1"/>
    <col min="7685" max="7685" width="7" style="134" customWidth="1"/>
    <col min="7686" max="7686" width="21.7109375" style="134" customWidth="1"/>
    <col min="7687" max="7687" width="8.28515625" style="134" customWidth="1"/>
    <col min="7688" max="7688" width="20.28515625" style="134" customWidth="1"/>
    <col min="7689" max="7689" width="119.7109375" style="134" customWidth="1"/>
    <col min="7690" max="7690" width="8.7109375" style="134"/>
    <col min="7691" max="7691" width="128.28515625" style="134" customWidth="1"/>
    <col min="7692" max="7936" width="8.7109375" style="134"/>
    <col min="7937" max="7937" width="1.28515625" style="134" customWidth="1"/>
    <col min="7938" max="7938" width="29.42578125" style="134" customWidth="1"/>
    <col min="7939" max="7939" width="15.5703125" style="134" customWidth="1"/>
    <col min="7940" max="7940" width="11.7109375" style="134" customWidth="1"/>
    <col min="7941" max="7941" width="7" style="134" customWidth="1"/>
    <col min="7942" max="7942" width="21.7109375" style="134" customWidth="1"/>
    <col min="7943" max="7943" width="8.28515625" style="134" customWidth="1"/>
    <col min="7944" max="7944" width="20.28515625" style="134" customWidth="1"/>
    <col min="7945" max="7945" width="119.7109375" style="134" customWidth="1"/>
    <col min="7946" max="7946" width="8.7109375" style="134"/>
    <col min="7947" max="7947" width="128.28515625" style="134" customWidth="1"/>
    <col min="7948" max="8192" width="8.7109375" style="134"/>
    <col min="8193" max="8193" width="1.28515625" style="134" customWidth="1"/>
    <col min="8194" max="8194" width="29.42578125" style="134" customWidth="1"/>
    <col min="8195" max="8195" width="15.5703125" style="134" customWidth="1"/>
    <col min="8196" max="8196" width="11.7109375" style="134" customWidth="1"/>
    <col min="8197" max="8197" width="7" style="134" customWidth="1"/>
    <col min="8198" max="8198" width="21.7109375" style="134" customWidth="1"/>
    <col min="8199" max="8199" width="8.28515625" style="134" customWidth="1"/>
    <col min="8200" max="8200" width="20.28515625" style="134" customWidth="1"/>
    <col min="8201" max="8201" width="119.7109375" style="134" customWidth="1"/>
    <col min="8202" max="8202" width="8.7109375" style="134"/>
    <col min="8203" max="8203" width="128.28515625" style="134" customWidth="1"/>
    <col min="8204" max="8448" width="8.7109375" style="134"/>
    <col min="8449" max="8449" width="1.28515625" style="134" customWidth="1"/>
    <col min="8450" max="8450" width="29.42578125" style="134" customWidth="1"/>
    <col min="8451" max="8451" width="15.5703125" style="134" customWidth="1"/>
    <col min="8452" max="8452" width="11.7109375" style="134" customWidth="1"/>
    <col min="8453" max="8453" width="7" style="134" customWidth="1"/>
    <col min="8454" max="8454" width="21.7109375" style="134" customWidth="1"/>
    <col min="8455" max="8455" width="8.28515625" style="134" customWidth="1"/>
    <col min="8456" max="8456" width="20.28515625" style="134" customWidth="1"/>
    <col min="8457" max="8457" width="119.7109375" style="134" customWidth="1"/>
    <col min="8458" max="8458" width="8.7109375" style="134"/>
    <col min="8459" max="8459" width="128.28515625" style="134" customWidth="1"/>
    <col min="8460" max="8704" width="8.7109375" style="134"/>
    <col min="8705" max="8705" width="1.28515625" style="134" customWidth="1"/>
    <col min="8706" max="8706" width="29.42578125" style="134" customWidth="1"/>
    <col min="8707" max="8707" width="15.5703125" style="134" customWidth="1"/>
    <col min="8708" max="8708" width="11.7109375" style="134" customWidth="1"/>
    <col min="8709" max="8709" width="7" style="134" customWidth="1"/>
    <col min="8710" max="8710" width="21.7109375" style="134" customWidth="1"/>
    <col min="8711" max="8711" width="8.28515625" style="134" customWidth="1"/>
    <col min="8712" max="8712" width="20.28515625" style="134" customWidth="1"/>
    <col min="8713" max="8713" width="119.7109375" style="134" customWidth="1"/>
    <col min="8714" max="8714" width="8.7109375" style="134"/>
    <col min="8715" max="8715" width="128.28515625" style="134" customWidth="1"/>
    <col min="8716" max="8960" width="8.7109375" style="134"/>
    <col min="8961" max="8961" width="1.28515625" style="134" customWidth="1"/>
    <col min="8962" max="8962" width="29.42578125" style="134" customWidth="1"/>
    <col min="8963" max="8963" width="15.5703125" style="134" customWidth="1"/>
    <col min="8964" max="8964" width="11.7109375" style="134" customWidth="1"/>
    <col min="8965" max="8965" width="7" style="134" customWidth="1"/>
    <col min="8966" max="8966" width="21.7109375" style="134" customWidth="1"/>
    <col min="8967" max="8967" width="8.28515625" style="134" customWidth="1"/>
    <col min="8968" max="8968" width="20.28515625" style="134" customWidth="1"/>
    <col min="8969" max="8969" width="119.7109375" style="134" customWidth="1"/>
    <col min="8970" max="8970" width="8.7109375" style="134"/>
    <col min="8971" max="8971" width="128.28515625" style="134" customWidth="1"/>
    <col min="8972" max="9216" width="8.7109375" style="134"/>
    <col min="9217" max="9217" width="1.28515625" style="134" customWidth="1"/>
    <col min="9218" max="9218" width="29.42578125" style="134" customWidth="1"/>
    <col min="9219" max="9219" width="15.5703125" style="134" customWidth="1"/>
    <col min="9220" max="9220" width="11.7109375" style="134" customWidth="1"/>
    <col min="9221" max="9221" width="7" style="134" customWidth="1"/>
    <col min="9222" max="9222" width="21.7109375" style="134" customWidth="1"/>
    <col min="9223" max="9223" width="8.28515625" style="134" customWidth="1"/>
    <col min="9224" max="9224" width="20.28515625" style="134" customWidth="1"/>
    <col min="9225" max="9225" width="119.7109375" style="134" customWidth="1"/>
    <col min="9226" max="9226" width="8.7109375" style="134"/>
    <col min="9227" max="9227" width="128.28515625" style="134" customWidth="1"/>
    <col min="9228" max="9472" width="8.7109375" style="134"/>
    <col min="9473" max="9473" width="1.28515625" style="134" customWidth="1"/>
    <col min="9474" max="9474" width="29.42578125" style="134" customWidth="1"/>
    <col min="9475" max="9475" width="15.5703125" style="134" customWidth="1"/>
    <col min="9476" max="9476" width="11.7109375" style="134" customWidth="1"/>
    <col min="9477" max="9477" width="7" style="134" customWidth="1"/>
    <col min="9478" max="9478" width="21.7109375" style="134" customWidth="1"/>
    <col min="9479" max="9479" width="8.28515625" style="134" customWidth="1"/>
    <col min="9480" max="9480" width="20.28515625" style="134" customWidth="1"/>
    <col min="9481" max="9481" width="119.7109375" style="134" customWidth="1"/>
    <col min="9482" max="9482" width="8.7109375" style="134"/>
    <col min="9483" max="9483" width="128.28515625" style="134" customWidth="1"/>
    <col min="9484" max="9728" width="8.7109375" style="134"/>
    <col min="9729" max="9729" width="1.28515625" style="134" customWidth="1"/>
    <col min="9730" max="9730" width="29.42578125" style="134" customWidth="1"/>
    <col min="9731" max="9731" width="15.5703125" style="134" customWidth="1"/>
    <col min="9732" max="9732" width="11.7109375" style="134" customWidth="1"/>
    <col min="9733" max="9733" width="7" style="134" customWidth="1"/>
    <col min="9734" max="9734" width="21.7109375" style="134" customWidth="1"/>
    <col min="9735" max="9735" width="8.28515625" style="134" customWidth="1"/>
    <col min="9736" max="9736" width="20.28515625" style="134" customWidth="1"/>
    <col min="9737" max="9737" width="119.7109375" style="134" customWidth="1"/>
    <col min="9738" max="9738" width="8.7109375" style="134"/>
    <col min="9739" max="9739" width="128.28515625" style="134" customWidth="1"/>
    <col min="9740" max="9984" width="8.7109375" style="134"/>
    <col min="9985" max="9985" width="1.28515625" style="134" customWidth="1"/>
    <col min="9986" max="9986" width="29.42578125" style="134" customWidth="1"/>
    <col min="9987" max="9987" width="15.5703125" style="134" customWidth="1"/>
    <col min="9988" max="9988" width="11.7109375" style="134" customWidth="1"/>
    <col min="9989" max="9989" width="7" style="134" customWidth="1"/>
    <col min="9990" max="9990" width="21.7109375" style="134" customWidth="1"/>
    <col min="9991" max="9991" width="8.28515625" style="134" customWidth="1"/>
    <col min="9992" max="9992" width="20.28515625" style="134" customWidth="1"/>
    <col min="9993" max="9993" width="119.7109375" style="134" customWidth="1"/>
    <col min="9994" max="9994" width="8.7109375" style="134"/>
    <col min="9995" max="9995" width="128.28515625" style="134" customWidth="1"/>
    <col min="9996" max="10240" width="8.7109375" style="134"/>
    <col min="10241" max="10241" width="1.28515625" style="134" customWidth="1"/>
    <col min="10242" max="10242" width="29.42578125" style="134" customWidth="1"/>
    <col min="10243" max="10243" width="15.5703125" style="134" customWidth="1"/>
    <col min="10244" max="10244" width="11.7109375" style="134" customWidth="1"/>
    <col min="10245" max="10245" width="7" style="134" customWidth="1"/>
    <col min="10246" max="10246" width="21.7109375" style="134" customWidth="1"/>
    <col min="10247" max="10247" width="8.28515625" style="134" customWidth="1"/>
    <col min="10248" max="10248" width="20.28515625" style="134" customWidth="1"/>
    <col min="10249" max="10249" width="119.7109375" style="134" customWidth="1"/>
    <col min="10250" max="10250" width="8.7109375" style="134"/>
    <col min="10251" max="10251" width="128.28515625" style="134" customWidth="1"/>
    <col min="10252" max="10496" width="8.7109375" style="134"/>
    <col min="10497" max="10497" width="1.28515625" style="134" customWidth="1"/>
    <col min="10498" max="10498" width="29.42578125" style="134" customWidth="1"/>
    <col min="10499" max="10499" width="15.5703125" style="134" customWidth="1"/>
    <col min="10500" max="10500" width="11.7109375" style="134" customWidth="1"/>
    <col min="10501" max="10501" width="7" style="134" customWidth="1"/>
    <col min="10502" max="10502" width="21.7109375" style="134" customWidth="1"/>
    <col min="10503" max="10503" width="8.28515625" style="134" customWidth="1"/>
    <col min="10504" max="10504" width="20.28515625" style="134" customWidth="1"/>
    <col min="10505" max="10505" width="119.7109375" style="134" customWidth="1"/>
    <col min="10506" max="10506" width="8.7109375" style="134"/>
    <col min="10507" max="10507" width="128.28515625" style="134" customWidth="1"/>
    <col min="10508" max="10752" width="8.7109375" style="134"/>
    <col min="10753" max="10753" width="1.28515625" style="134" customWidth="1"/>
    <col min="10754" max="10754" width="29.42578125" style="134" customWidth="1"/>
    <col min="10755" max="10755" width="15.5703125" style="134" customWidth="1"/>
    <col min="10756" max="10756" width="11.7109375" style="134" customWidth="1"/>
    <col min="10757" max="10757" width="7" style="134" customWidth="1"/>
    <col min="10758" max="10758" width="21.7109375" style="134" customWidth="1"/>
    <col min="10759" max="10759" width="8.28515625" style="134" customWidth="1"/>
    <col min="10760" max="10760" width="20.28515625" style="134" customWidth="1"/>
    <col min="10761" max="10761" width="119.7109375" style="134" customWidth="1"/>
    <col min="10762" max="10762" width="8.7109375" style="134"/>
    <col min="10763" max="10763" width="128.28515625" style="134" customWidth="1"/>
    <col min="10764" max="11008" width="8.7109375" style="134"/>
    <col min="11009" max="11009" width="1.28515625" style="134" customWidth="1"/>
    <col min="11010" max="11010" width="29.42578125" style="134" customWidth="1"/>
    <col min="11011" max="11011" width="15.5703125" style="134" customWidth="1"/>
    <col min="11012" max="11012" width="11.7109375" style="134" customWidth="1"/>
    <col min="11013" max="11013" width="7" style="134" customWidth="1"/>
    <col min="11014" max="11014" width="21.7109375" style="134" customWidth="1"/>
    <col min="11015" max="11015" width="8.28515625" style="134" customWidth="1"/>
    <col min="11016" max="11016" width="20.28515625" style="134" customWidth="1"/>
    <col min="11017" max="11017" width="119.7109375" style="134" customWidth="1"/>
    <col min="11018" max="11018" width="8.7109375" style="134"/>
    <col min="11019" max="11019" width="128.28515625" style="134" customWidth="1"/>
    <col min="11020" max="11264" width="8.7109375" style="134"/>
    <col min="11265" max="11265" width="1.28515625" style="134" customWidth="1"/>
    <col min="11266" max="11266" width="29.42578125" style="134" customWidth="1"/>
    <col min="11267" max="11267" width="15.5703125" style="134" customWidth="1"/>
    <col min="11268" max="11268" width="11.7109375" style="134" customWidth="1"/>
    <col min="11269" max="11269" width="7" style="134" customWidth="1"/>
    <col min="11270" max="11270" width="21.7109375" style="134" customWidth="1"/>
    <col min="11271" max="11271" width="8.28515625" style="134" customWidth="1"/>
    <col min="11272" max="11272" width="20.28515625" style="134" customWidth="1"/>
    <col min="11273" max="11273" width="119.7109375" style="134" customWidth="1"/>
    <col min="11274" max="11274" width="8.7109375" style="134"/>
    <col min="11275" max="11275" width="128.28515625" style="134" customWidth="1"/>
    <col min="11276" max="11520" width="8.7109375" style="134"/>
    <col min="11521" max="11521" width="1.28515625" style="134" customWidth="1"/>
    <col min="11522" max="11522" width="29.42578125" style="134" customWidth="1"/>
    <col min="11523" max="11523" width="15.5703125" style="134" customWidth="1"/>
    <col min="11524" max="11524" width="11.7109375" style="134" customWidth="1"/>
    <col min="11525" max="11525" width="7" style="134" customWidth="1"/>
    <col min="11526" max="11526" width="21.7109375" style="134" customWidth="1"/>
    <col min="11527" max="11527" width="8.28515625" style="134" customWidth="1"/>
    <col min="11528" max="11528" width="20.28515625" style="134" customWidth="1"/>
    <col min="11529" max="11529" width="119.7109375" style="134" customWidth="1"/>
    <col min="11530" max="11530" width="8.7109375" style="134"/>
    <col min="11531" max="11531" width="128.28515625" style="134" customWidth="1"/>
    <col min="11532" max="11776" width="8.7109375" style="134"/>
    <col min="11777" max="11777" width="1.28515625" style="134" customWidth="1"/>
    <col min="11778" max="11778" width="29.42578125" style="134" customWidth="1"/>
    <col min="11779" max="11779" width="15.5703125" style="134" customWidth="1"/>
    <col min="11780" max="11780" width="11.7109375" style="134" customWidth="1"/>
    <col min="11781" max="11781" width="7" style="134" customWidth="1"/>
    <col min="11782" max="11782" width="21.7109375" style="134" customWidth="1"/>
    <col min="11783" max="11783" width="8.28515625" style="134" customWidth="1"/>
    <col min="11784" max="11784" width="20.28515625" style="134" customWidth="1"/>
    <col min="11785" max="11785" width="119.7109375" style="134" customWidth="1"/>
    <col min="11786" max="11786" width="8.7109375" style="134"/>
    <col min="11787" max="11787" width="128.28515625" style="134" customWidth="1"/>
    <col min="11788" max="12032" width="8.7109375" style="134"/>
    <col min="12033" max="12033" width="1.28515625" style="134" customWidth="1"/>
    <col min="12034" max="12034" width="29.42578125" style="134" customWidth="1"/>
    <col min="12035" max="12035" width="15.5703125" style="134" customWidth="1"/>
    <col min="12036" max="12036" width="11.7109375" style="134" customWidth="1"/>
    <col min="12037" max="12037" width="7" style="134" customWidth="1"/>
    <col min="12038" max="12038" width="21.7109375" style="134" customWidth="1"/>
    <col min="12039" max="12039" width="8.28515625" style="134" customWidth="1"/>
    <col min="12040" max="12040" width="20.28515625" style="134" customWidth="1"/>
    <col min="12041" max="12041" width="119.7109375" style="134" customWidth="1"/>
    <col min="12042" max="12042" width="8.7109375" style="134"/>
    <col min="12043" max="12043" width="128.28515625" style="134" customWidth="1"/>
    <col min="12044" max="12288" width="8.7109375" style="134"/>
    <col min="12289" max="12289" width="1.28515625" style="134" customWidth="1"/>
    <col min="12290" max="12290" width="29.42578125" style="134" customWidth="1"/>
    <col min="12291" max="12291" width="15.5703125" style="134" customWidth="1"/>
    <col min="12292" max="12292" width="11.7109375" style="134" customWidth="1"/>
    <col min="12293" max="12293" width="7" style="134" customWidth="1"/>
    <col min="12294" max="12294" width="21.7109375" style="134" customWidth="1"/>
    <col min="12295" max="12295" width="8.28515625" style="134" customWidth="1"/>
    <col min="12296" max="12296" width="20.28515625" style="134" customWidth="1"/>
    <col min="12297" max="12297" width="119.7109375" style="134" customWidth="1"/>
    <col min="12298" max="12298" width="8.7109375" style="134"/>
    <col min="12299" max="12299" width="128.28515625" style="134" customWidth="1"/>
    <col min="12300" max="12544" width="8.7109375" style="134"/>
    <col min="12545" max="12545" width="1.28515625" style="134" customWidth="1"/>
    <col min="12546" max="12546" width="29.42578125" style="134" customWidth="1"/>
    <col min="12547" max="12547" width="15.5703125" style="134" customWidth="1"/>
    <col min="12548" max="12548" width="11.7109375" style="134" customWidth="1"/>
    <col min="12549" max="12549" width="7" style="134" customWidth="1"/>
    <col min="12550" max="12550" width="21.7109375" style="134" customWidth="1"/>
    <col min="12551" max="12551" width="8.28515625" style="134" customWidth="1"/>
    <col min="12552" max="12552" width="20.28515625" style="134" customWidth="1"/>
    <col min="12553" max="12553" width="119.7109375" style="134" customWidth="1"/>
    <col min="12554" max="12554" width="8.7109375" style="134"/>
    <col min="12555" max="12555" width="128.28515625" style="134" customWidth="1"/>
    <col min="12556" max="12800" width="8.7109375" style="134"/>
    <col min="12801" max="12801" width="1.28515625" style="134" customWidth="1"/>
    <col min="12802" max="12802" width="29.42578125" style="134" customWidth="1"/>
    <col min="12803" max="12803" width="15.5703125" style="134" customWidth="1"/>
    <col min="12804" max="12804" width="11.7109375" style="134" customWidth="1"/>
    <col min="12805" max="12805" width="7" style="134" customWidth="1"/>
    <col min="12806" max="12806" width="21.7109375" style="134" customWidth="1"/>
    <col min="12807" max="12807" width="8.28515625" style="134" customWidth="1"/>
    <col min="12808" max="12808" width="20.28515625" style="134" customWidth="1"/>
    <col min="12809" max="12809" width="119.7109375" style="134" customWidth="1"/>
    <col min="12810" max="12810" width="8.7109375" style="134"/>
    <col min="12811" max="12811" width="128.28515625" style="134" customWidth="1"/>
    <col min="12812" max="13056" width="8.7109375" style="134"/>
    <col min="13057" max="13057" width="1.28515625" style="134" customWidth="1"/>
    <col min="13058" max="13058" width="29.42578125" style="134" customWidth="1"/>
    <col min="13059" max="13059" width="15.5703125" style="134" customWidth="1"/>
    <col min="13060" max="13060" width="11.7109375" style="134" customWidth="1"/>
    <col min="13061" max="13061" width="7" style="134" customWidth="1"/>
    <col min="13062" max="13062" width="21.7109375" style="134" customWidth="1"/>
    <col min="13063" max="13063" width="8.28515625" style="134" customWidth="1"/>
    <col min="13064" max="13064" width="20.28515625" style="134" customWidth="1"/>
    <col min="13065" max="13065" width="119.7109375" style="134" customWidth="1"/>
    <col min="13066" max="13066" width="8.7109375" style="134"/>
    <col min="13067" max="13067" width="128.28515625" style="134" customWidth="1"/>
    <col min="13068" max="13312" width="8.7109375" style="134"/>
    <col min="13313" max="13313" width="1.28515625" style="134" customWidth="1"/>
    <col min="13314" max="13314" width="29.42578125" style="134" customWidth="1"/>
    <col min="13315" max="13315" width="15.5703125" style="134" customWidth="1"/>
    <col min="13316" max="13316" width="11.7109375" style="134" customWidth="1"/>
    <col min="13317" max="13317" width="7" style="134" customWidth="1"/>
    <col min="13318" max="13318" width="21.7109375" style="134" customWidth="1"/>
    <col min="13319" max="13319" width="8.28515625" style="134" customWidth="1"/>
    <col min="13320" max="13320" width="20.28515625" style="134" customWidth="1"/>
    <col min="13321" max="13321" width="119.7109375" style="134" customWidth="1"/>
    <col min="13322" max="13322" width="8.7109375" style="134"/>
    <col min="13323" max="13323" width="128.28515625" style="134" customWidth="1"/>
    <col min="13324" max="13568" width="8.7109375" style="134"/>
    <col min="13569" max="13569" width="1.28515625" style="134" customWidth="1"/>
    <col min="13570" max="13570" width="29.42578125" style="134" customWidth="1"/>
    <col min="13571" max="13571" width="15.5703125" style="134" customWidth="1"/>
    <col min="13572" max="13572" width="11.7109375" style="134" customWidth="1"/>
    <col min="13573" max="13573" width="7" style="134" customWidth="1"/>
    <col min="13574" max="13574" width="21.7109375" style="134" customWidth="1"/>
    <col min="13575" max="13575" width="8.28515625" style="134" customWidth="1"/>
    <col min="13576" max="13576" width="20.28515625" style="134" customWidth="1"/>
    <col min="13577" max="13577" width="119.7109375" style="134" customWidth="1"/>
    <col min="13578" max="13578" width="8.7109375" style="134"/>
    <col min="13579" max="13579" width="128.28515625" style="134" customWidth="1"/>
    <col min="13580" max="13824" width="8.7109375" style="134"/>
    <col min="13825" max="13825" width="1.28515625" style="134" customWidth="1"/>
    <col min="13826" max="13826" width="29.42578125" style="134" customWidth="1"/>
    <col min="13827" max="13827" width="15.5703125" style="134" customWidth="1"/>
    <col min="13828" max="13828" width="11.7109375" style="134" customWidth="1"/>
    <col min="13829" max="13829" width="7" style="134" customWidth="1"/>
    <col min="13830" max="13830" width="21.7109375" style="134" customWidth="1"/>
    <col min="13831" max="13831" width="8.28515625" style="134" customWidth="1"/>
    <col min="13832" max="13832" width="20.28515625" style="134" customWidth="1"/>
    <col min="13833" max="13833" width="119.7109375" style="134" customWidth="1"/>
    <col min="13834" max="13834" width="8.7109375" style="134"/>
    <col min="13835" max="13835" width="128.28515625" style="134" customWidth="1"/>
    <col min="13836" max="14080" width="8.7109375" style="134"/>
    <col min="14081" max="14081" width="1.28515625" style="134" customWidth="1"/>
    <col min="14082" max="14082" width="29.42578125" style="134" customWidth="1"/>
    <col min="14083" max="14083" width="15.5703125" style="134" customWidth="1"/>
    <col min="14084" max="14084" width="11.7109375" style="134" customWidth="1"/>
    <col min="14085" max="14085" width="7" style="134" customWidth="1"/>
    <col min="14086" max="14086" width="21.7109375" style="134" customWidth="1"/>
    <col min="14087" max="14087" width="8.28515625" style="134" customWidth="1"/>
    <col min="14088" max="14088" width="20.28515625" style="134" customWidth="1"/>
    <col min="14089" max="14089" width="119.7109375" style="134" customWidth="1"/>
    <col min="14090" max="14090" width="8.7109375" style="134"/>
    <col min="14091" max="14091" width="128.28515625" style="134" customWidth="1"/>
    <col min="14092" max="14336" width="8.7109375" style="134"/>
    <col min="14337" max="14337" width="1.28515625" style="134" customWidth="1"/>
    <col min="14338" max="14338" width="29.42578125" style="134" customWidth="1"/>
    <col min="14339" max="14339" width="15.5703125" style="134" customWidth="1"/>
    <col min="14340" max="14340" width="11.7109375" style="134" customWidth="1"/>
    <col min="14341" max="14341" width="7" style="134" customWidth="1"/>
    <col min="14342" max="14342" width="21.7109375" style="134" customWidth="1"/>
    <col min="14343" max="14343" width="8.28515625" style="134" customWidth="1"/>
    <col min="14344" max="14344" width="20.28515625" style="134" customWidth="1"/>
    <col min="14345" max="14345" width="119.7109375" style="134" customWidth="1"/>
    <col min="14346" max="14346" width="8.7109375" style="134"/>
    <col min="14347" max="14347" width="128.28515625" style="134" customWidth="1"/>
    <col min="14348" max="14592" width="8.7109375" style="134"/>
    <col min="14593" max="14593" width="1.28515625" style="134" customWidth="1"/>
    <col min="14594" max="14594" width="29.42578125" style="134" customWidth="1"/>
    <col min="14595" max="14595" width="15.5703125" style="134" customWidth="1"/>
    <col min="14596" max="14596" width="11.7109375" style="134" customWidth="1"/>
    <col min="14597" max="14597" width="7" style="134" customWidth="1"/>
    <col min="14598" max="14598" width="21.7109375" style="134" customWidth="1"/>
    <col min="14599" max="14599" width="8.28515625" style="134" customWidth="1"/>
    <col min="14600" max="14600" width="20.28515625" style="134" customWidth="1"/>
    <col min="14601" max="14601" width="119.7109375" style="134" customWidth="1"/>
    <col min="14602" max="14602" width="8.7109375" style="134"/>
    <col min="14603" max="14603" width="128.28515625" style="134" customWidth="1"/>
    <col min="14604" max="14848" width="8.7109375" style="134"/>
    <col min="14849" max="14849" width="1.28515625" style="134" customWidth="1"/>
    <col min="14850" max="14850" width="29.42578125" style="134" customWidth="1"/>
    <col min="14851" max="14851" width="15.5703125" style="134" customWidth="1"/>
    <col min="14852" max="14852" width="11.7109375" style="134" customWidth="1"/>
    <col min="14853" max="14853" width="7" style="134" customWidth="1"/>
    <col min="14854" max="14854" width="21.7109375" style="134" customWidth="1"/>
    <col min="14855" max="14855" width="8.28515625" style="134" customWidth="1"/>
    <col min="14856" max="14856" width="20.28515625" style="134" customWidth="1"/>
    <col min="14857" max="14857" width="119.7109375" style="134" customWidth="1"/>
    <col min="14858" max="14858" width="8.7109375" style="134"/>
    <col min="14859" max="14859" width="128.28515625" style="134" customWidth="1"/>
    <col min="14860" max="15104" width="8.7109375" style="134"/>
    <col min="15105" max="15105" width="1.28515625" style="134" customWidth="1"/>
    <col min="15106" max="15106" width="29.42578125" style="134" customWidth="1"/>
    <col min="15107" max="15107" width="15.5703125" style="134" customWidth="1"/>
    <col min="15108" max="15108" width="11.7109375" style="134" customWidth="1"/>
    <col min="15109" max="15109" width="7" style="134" customWidth="1"/>
    <col min="15110" max="15110" width="21.7109375" style="134" customWidth="1"/>
    <col min="15111" max="15111" width="8.28515625" style="134" customWidth="1"/>
    <col min="15112" max="15112" width="20.28515625" style="134" customWidth="1"/>
    <col min="15113" max="15113" width="119.7109375" style="134" customWidth="1"/>
    <col min="15114" max="15114" width="8.7109375" style="134"/>
    <col min="15115" max="15115" width="128.28515625" style="134" customWidth="1"/>
    <col min="15116" max="15360" width="8.7109375" style="134"/>
    <col min="15361" max="15361" width="1.28515625" style="134" customWidth="1"/>
    <col min="15362" max="15362" width="29.42578125" style="134" customWidth="1"/>
    <col min="15363" max="15363" width="15.5703125" style="134" customWidth="1"/>
    <col min="15364" max="15364" width="11.7109375" style="134" customWidth="1"/>
    <col min="15365" max="15365" width="7" style="134" customWidth="1"/>
    <col min="15366" max="15366" width="21.7109375" style="134" customWidth="1"/>
    <col min="15367" max="15367" width="8.28515625" style="134" customWidth="1"/>
    <col min="15368" max="15368" width="20.28515625" style="134" customWidth="1"/>
    <col min="15369" max="15369" width="119.7109375" style="134" customWidth="1"/>
    <col min="15370" max="15370" width="8.7109375" style="134"/>
    <col min="15371" max="15371" width="128.28515625" style="134" customWidth="1"/>
    <col min="15372" max="15616" width="8.7109375" style="134"/>
    <col min="15617" max="15617" width="1.28515625" style="134" customWidth="1"/>
    <col min="15618" max="15618" width="29.42578125" style="134" customWidth="1"/>
    <col min="15619" max="15619" width="15.5703125" style="134" customWidth="1"/>
    <col min="15620" max="15620" width="11.7109375" style="134" customWidth="1"/>
    <col min="15621" max="15621" width="7" style="134" customWidth="1"/>
    <col min="15622" max="15622" width="21.7109375" style="134" customWidth="1"/>
    <col min="15623" max="15623" width="8.28515625" style="134" customWidth="1"/>
    <col min="15624" max="15624" width="20.28515625" style="134" customWidth="1"/>
    <col min="15625" max="15625" width="119.7109375" style="134" customWidth="1"/>
    <col min="15626" max="15626" width="8.7109375" style="134"/>
    <col min="15627" max="15627" width="128.28515625" style="134" customWidth="1"/>
    <col min="15628" max="15872" width="8.7109375" style="134"/>
    <col min="15873" max="15873" width="1.28515625" style="134" customWidth="1"/>
    <col min="15874" max="15874" width="29.42578125" style="134" customWidth="1"/>
    <col min="15875" max="15875" width="15.5703125" style="134" customWidth="1"/>
    <col min="15876" max="15876" width="11.7109375" style="134" customWidth="1"/>
    <col min="15877" max="15877" width="7" style="134" customWidth="1"/>
    <col min="15878" max="15878" width="21.7109375" style="134" customWidth="1"/>
    <col min="15879" max="15879" width="8.28515625" style="134" customWidth="1"/>
    <col min="15880" max="15880" width="20.28515625" style="134" customWidth="1"/>
    <col min="15881" max="15881" width="119.7109375" style="134" customWidth="1"/>
    <col min="15882" max="15882" width="8.7109375" style="134"/>
    <col min="15883" max="15883" width="128.28515625" style="134" customWidth="1"/>
    <col min="15884" max="16128" width="8.7109375" style="134"/>
    <col min="16129" max="16129" width="1.28515625" style="134" customWidth="1"/>
    <col min="16130" max="16130" width="29.42578125" style="134" customWidth="1"/>
    <col min="16131" max="16131" width="15.5703125" style="134" customWidth="1"/>
    <col min="16132" max="16132" width="11.7109375" style="134" customWidth="1"/>
    <col min="16133" max="16133" width="7" style="134" customWidth="1"/>
    <col min="16134" max="16134" width="21.7109375" style="134" customWidth="1"/>
    <col min="16135" max="16135" width="8.28515625" style="134" customWidth="1"/>
    <col min="16136" max="16136" width="20.28515625" style="134" customWidth="1"/>
    <col min="16137" max="16137" width="119.7109375" style="134" customWidth="1"/>
    <col min="16138" max="16138" width="8.7109375" style="134"/>
    <col min="16139" max="16139" width="128.28515625" style="134" customWidth="1"/>
    <col min="16140" max="16384" width="8.7109375" style="134"/>
  </cols>
  <sheetData>
    <row r="1" spans="2:10" x14ac:dyDescent="0.25">
      <c r="B1" s="628" t="s">
        <v>1267</v>
      </c>
      <c r="C1" s="628"/>
      <c r="D1" s="628"/>
    </row>
    <row r="2" spans="2:10" ht="45" customHeight="1" x14ac:dyDescent="0.25">
      <c r="B2" s="660" t="s">
        <v>601</v>
      </c>
      <c r="C2" s="661"/>
      <c r="D2" s="661"/>
      <c r="E2" s="662"/>
      <c r="F2" s="662"/>
      <c r="G2" s="662"/>
      <c r="H2" s="662"/>
      <c r="I2" s="663"/>
      <c r="J2" s="133"/>
    </row>
    <row r="4" spans="2:10" ht="22.35" customHeight="1" x14ac:dyDescent="0.25">
      <c r="B4" s="135" t="s">
        <v>195</v>
      </c>
      <c r="C4" s="136"/>
      <c r="D4" s="136"/>
      <c r="E4" s="136"/>
      <c r="F4" s="136"/>
      <c r="G4" s="137"/>
    </row>
    <row r="5" spans="2:10" s="138" customFormat="1" x14ac:dyDescent="0.25"/>
    <row r="6" spans="2:10" s="138" customFormat="1" x14ac:dyDescent="0.25">
      <c r="B6" s="139" t="s">
        <v>196</v>
      </c>
      <c r="C6" s="611" t="s">
        <v>602</v>
      </c>
      <c r="D6" s="611"/>
      <c r="E6" s="611"/>
      <c r="F6" s="611"/>
      <c r="G6" s="140"/>
    </row>
    <row r="7" spans="2:10" s="138" customFormat="1" x14ac:dyDescent="0.25">
      <c r="B7" s="141" t="s">
        <v>197</v>
      </c>
      <c r="C7" s="612" t="s">
        <v>603</v>
      </c>
      <c r="D7" s="612"/>
      <c r="E7" s="612"/>
      <c r="F7" s="612"/>
      <c r="G7" s="142"/>
    </row>
    <row r="8" spans="2:10" s="138" customFormat="1" x14ac:dyDescent="0.25">
      <c r="B8" s="139" t="s">
        <v>199</v>
      </c>
      <c r="C8" s="611" t="s">
        <v>604</v>
      </c>
      <c r="D8" s="611"/>
      <c r="E8" s="611"/>
      <c r="F8" s="611"/>
      <c r="G8" s="140"/>
    </row>
    <row r="9" spans="2:10" s="138" customFormat="1" x14ac:dyDescent="0.25">
      <c r="B9" s="139" t="s">
        <v>201</v>
      </c>
      <c r="C9" s="611" t="s">
        <v>605</v>
      </c>
      <c r="D9" s="611"/>
      <c r="E9" s="611"/>
      <c r="F9" s="611"/>
      <c r="G9" s="140"/>
    </row>
    <row r="10" spans="2:10" s="138" customFormat="1" x14ac:dyDescent="0.25">
      <c r="B10" s="139" t="s">
        <v>606</v>
      </c>
      <c r="C10" s="611" t="s">
        <v>607</v>
      </c>
      <c r="D10" s="611"/>
      <c r="E10" s="611"/>
      <c r="F10" s="611"/>
      <c r="G10" s="140"/>
    </row>
    <row r="11" spans="2:10" s="138" customFormat="1" x14ac:dyDescent="0.25">
      <c r="B11" s="139" t="s">
        <v>204</v>
      </c>
      <c r="C11" s="611">
        <v>5</v>
      </c>
      <c r="D11" s="611"/>
      <c r="E11" s="611"/>
      <c r="F11" s="611"/>
      <c r="G11" s="140"/>
    </row>
    <row r="12" spans="2:10" s="138" customFormat="1" x14ac:dyDescent="0.25"/>
    <row r="13" spans="2:10" s="138" customFormat="1" x14ac:dyDescent="0.25">
      <c r="B13" s="613" t="s">
        <v>206</v>
      </c>
      <c r="C13" s="613"/>
      <c r="D13" s="613"/>
      <c r="E13" s="613"/>
      <c r="F13" s="613"/>
      <c r="G13" s="143"/>
    </row>
    <row r="14" spans="2:10" s="138" customFormat="1" x14ac:dyDescent="0.25">
      <c r="B14" s="614" t="s">
        <v>207</v>
      </c>
      <c r="C14" s="615"/>
      <c r="D14" s="613" t="s">
        <v>208</v>
      </c>
      <c r="E14" s="613"/>
      <c r="F14" s="613"/>
      <c r="G14" s="143"/>
    </row>
    <row r="15" spans="2:10" s="138" customFormat="1" x14ac:dyDescent="0.25">
      <c r="B15" s="616"/>
      <c r="C15" s="617"/>
      <c r="D15" s="611" t="s">
        <v>602</v>
      </c>
      <c r="E15" s="611"/>
      <c r="F15" s="611"/>
      <c r="G15" s="140"/>
    </row>
    <row r="16" spans="2:10" s="138" customFormat="1" x14ac:dyDescent="0.25"/>
    <row r="17" spans="2:7" s="138" customFormat="1" x14ac:dyDescent="0.25">
      <c r="B17" s="144" t="s">
        <v>210</v>
      </c>
      <c r="C17" s="144" t="s">
        <v>211</v>
      </c>
      <c r="D17" s="144" t="s">
        <v>212</v>
      </c>
      <c r="E17" s="144" t="s">
        <v>213</v>
      </c>
      <c r="F17" s="144" t="s">
        <v>214</v>
      </c>
      <c r="G17" s="143"/>
    </row>
    <row r="18" spans="2:7" s="138" customFormat="1" ht="42.75" customHeight="1" x14ac:dyDescent="0.25">
      <c r="B18" s="145" t="s">
        <v>1280</v>
      </c>
      <c r="C18" s="46">
        <v>42</v>
      </c>
      <c r="D18" s="46">
        <v>2</v>
      </c>
      <c r="E18" s="46">
        <v>2</v>
      </c>
      <c r="F18" s="46" t="s">
        <v>1270</v>
      </c>
      <c r="G18" s="142"/>
    </row>
    <row r="19" spans="2:7" s="138" customFormat="1" ht="23.25" customHeight="1" x14ac:dyDescent="0.25">
      <c r="B19" s="146"/>
      <c r="C19" s="142"/>
      <c r="D19" s="142"/>
      <c r="E19" s="142"/>
      <c r="F19" s="142"/>
      <c r="G19" s="142"/>
    </row>
    <row r="20" spans="2:7" s="138" customFormat="1" x14ac:dyDescent="0.25">
      <c r="B20" s="608" t="s">
        <v>219</v>
      </c>
      <c r="C20" s="609"/>
      <c r="D20" s="609"/>
      <c r="E20" s="609"/>
      <c r="F20" s="610"/>
      <c r="G20" s="147"/>
    </row>
    <row r="21" spans="2:7" s="138" customFormat="1" ht="66.75" customHeight="1" x14ac:dyDescent="0.25">
      <c r="B21" s="647" t="s">
        <v>662</v>
      </c>
      <c r="C21" s="657"/>
      <c r="D21" s="657"/>
      <c r="E21" s="657"/>
      <c r="F21" s="658"/>
      <c r="G21" s="148"/>
    </row>
    <row r="22" spans="2:7" s="138" customFormat="1" x14ac:dyDescent="0.25">
      <c r="B22" s="608" t="s">
        <v>220</v>
      </c>
      <c r="C22" s="609"/>
      <c r="D22" s="609"/>
      <c r="E22" s="609"/>
      <c r="F22" s="610"/>
      <c r="G22" s="147"/>
    </row>
    <row r="23" spans="2:7" s="138" customFormat="1" ht="76.150000000000006" customHeight="1" x14ac:dyDescent="0.25">
      <c r="B23" s="1024" t="s">
        <v>663</v>
      </c>
      <c r="C23" s="622"/>
      <c r="D23" s="622"/>
      <c r="E23" s="622"/>
      <c r="F23" s="623"/>
      <c r="G23" s="149"/>
    </row>
    <row r="24" spans="2:7" s="138" customFormat="1" x14ac:dyDescent="0.25"/>
    <row r="25" spans="2:7" s="138" customFormat="1" x14ac:dyDescent="0.25">
      <c r="B25" s="608" t="s">
        <v>221</v>
      </c>
      <c r="C25" s="609"/>
      <c r="D25" s="609"/>
      <c r="E25" s="609"/>
      <c r="F25" s="610"/>
      <c r="G25" s="147"/>
    </row>
    <row r="26" spans="2:7" s="138" customFormat="1" ht="30.6" customHeight="1" x14ac:dyDescent="0.25">
      <c r="B26" s="621" t="s">
        <v>664</v>
      </c>
      <c r="C26" s="657"/>
      <c r="D26" s="657"/>
      <c r="E26" s="657"/>
      <c r="F26" s="658"/>
      <c r="G26" s="148"/>
    </row>
    <row r="27" spans="2:7" s="138" customFormat="1" x14ac:dyDescent="0.25"/>
    <row r="28" spans="2:7" s="138" customFormat="1" x14ac:dyDescent="0.25">
      <c r="B28" s="608" t="s">
        <v>222</v>
      </c>
      <c r="C28" s="609"/>
      <c r="D28" s="609"/>
      <c r="E28" s="609"/>
      <c r="F28" s="610"/>
      <c r="G28" s="143"/>
    </row>
    <row r="29" spans="2:7" s="138" customFormat="1" x14ac:dyDescent="0.25">
      <c r="B29" s="605" t="s">
        <v>665</v>
      </c>
      <c r="C29" s="606"/>
      <c r="D29" s="606"/>
      <c r="E29" s="606"/>
      <c r="F29" s="607"/>
      <c r="G29" s="150"/>
    </row>
    <row r="30" spans="2:7" s="138" customFormat="1" x14ac:dyDescent="0.25">
      <c r="B30" s="605" t="s">
        <v>666</v>
      </c>
      <c r="C30" s="606"/>
      <c r="D30" s="606"/>
      <c r="E30" s="606"/>
      <c r="F30" s="607"/>
      <c r="G30" s="150"/>
    </row>
    <row r="31" spans="2:7" s="138" customFormat="1" x14ac:dyDescent="0.25">
      <c r="B31" s="605" t="s">
        <v>667</v>
      </c>
      <c r="C31" s="606"/>
      <c r="D31" s="606"/>
      <c r="E31" s="606"/>
      <c r="F31" s="607"/>
      <c r="G31" s="150"/>
    </row>
    <row r="32" spans="2:7" s="138" customFormat="1" x14ac:dyDescent="0.25">
      <c r="B32" s="605" t="s">
        <v>58</v>
      </c>
      <c r="C32" s="606"/>
      <c r="D32" s="606"/>
      <c r="E32" s="606"/>
      <c r="F32" s="607"/>
      <c r="G32" s="150"/>
    </row>
    <row r="33" spans="2:7" s="138" customFormat="1" x14ac:dyDescent="0.25">
      <c r="B33" s="605" t="s">
        <v>59</v>
      </c>
      <c r="C33" s="606"/>
      <c r="D33" s="606"/>
      <c r="E33" s="606"/>
      <c r="F33" s="607"/>
      <c r="G33" s="150"/>
    </row>
    <row r="34" spans="2:7" s="138" customFormat="1" x14ac:dyDescent="0.25">
      <c r="B34" s="605" t="s">
        <v>668</v>
      </c>
      <c r="C34" s="606"/>
      <c r="D34" s="606"/>
      <c r="E34" s="606"/>
      <c r="F34" s="607"/>
      <c r="G34" s="150"/>
    </row>
    <row r="35" spans="2:7" s="138" customFormat="1" x14ac:dyDescent="0.25"/>
    <row r="36" spans="2:7" s="138" customFormat="1" x14ac:dyDescent="0.25">
      <c r="B36" s="608" t="s">
        <v>226</v>
      </c>
      <c r="C36" s="609"/>
      <c r="D36" s="609"/>
      <c r="E36" s="609"/>
      <c r="F36" s="610"/>
      <c r="G36" s="147"/>
    </row>
    <row r="37" spans="2:7" s="138" customFormat="1" ht="349.5" customHeight="1" x14ac:dyDescent="0.25">
      <c r="B37" s="1024" t="s">
        <v>669</v>
      </c>
      <c r="C37" s="622"/>
      <c r="D37" s="622"/>
      <c r="E37" s="622"/>
      <c r="F37" s="623"/>
      <c r="G37" s="149"/>
    </row>
    <row r="38" spans="2:7" s="138" customFormat="1" ht="16.5" customHeight="1" x14ac:dyDescent="0.25">
      <c r="B38" s="151"/>
      <c r="C38" s="152"/>
      <c r="D38" s="152"/>
      <c r="E38" s="152"/>
      <c r="F38" s="152"/>
      <c r="G38" s="152"/>
    </row>
    <row r="39" spans="2:7" s="138" customFormat="1" x14ac:dyDescent="0.25">
      <c r="B39" s="608" t="s">
        <v>227</v>
      </c>
      <c r="C39" s="609"/>
      <c r="D39" s="609"/>
      <c r="E39" s="609"/>
      <c r="F39" s="610"/>
      <c r="G39" s="147"/>
    </row>
    <row r="40" spans="2:7" s="138" customFormat="1" x14ac:dyDescent="0.25">
      <c r="B40" s="153" t="s">
        <v>609</v>
      </c>
      <c r="C40" s="627" t="s">
        <v>610</v>
      </c>
      <c r="D40" s="627"/>
      <c r="E40" s="627"/>
      <c r="F40" s="627"/>
      <c r="G40" s="149"/>
    </row>
    <row r="41" spans="2:7" s="138" customFormat="1" x14ac:dyDescent="0.25">
      <c r="B41" s="153" t="s">
        <v>611</v>
      </c>
      <c r="C41" s="627" t="s">
        <v>612</v>
      </c>
      <c r="D41" s="627"/>
      <c r="E41" s="627"/>
      <c r="F41" s="627"/>
      <c r="G41" s="149"/>
    </row>
    <row r="42" spans="2:7" s="138" customFormat="1" x14ac:dyDescent="0.25">
      <c r="B42" s="153" t="s">
        <v>613</v>
      </c>
      <c r="C42" s="621" t="s">
        <v>670</v>
      </c>
      <c r="D42" s="622"/>
      <c r="E42" s="622"/>
      <c r="F42" s="623"/>
      <c r="G42" s="149"/>
    </row>
    <row r="43" spans="2:7" s="138" customFormat="1" x14ac:dyDescent="0.25">
      <c r="B43" s="153"/>
      <c r="C43" s="627"/>
      <c r="D43" s="627"/>
      <c r="E43" s="627"/>
      <c r="F43" s="627"/>
      <c r="G43" s="149"/>
    </row>
    <row r="44" spans="2:7" s="138" customFormat="1" x14ac:dyDescent="0.25">
      <c r="B44" s="153"/>
      <c r="C44" s="627"/>
      <c r="D44" s="627"/>
      <c r="E44" s="627"/>
      <c r="F44" s="627"/>
      <c r="G44" s="149"/>
    </row>
    <row r="45" spans="2:7" s="138" customFormat="1" x14ac:dyDescent="0.25"/>
    <row r="46" spans="2:7" s="138" customFormat="1" x14ac:dyDescent="0.25">
      <c r="B46" s="608" t="s">
        <v>232</v>
      </c>
      <c r="C46" s="609"/>
      <c r="D46" s="609"/>
      <c r="E46" s="609"/>
      <c r="F46" s="610"/>
      <c r="G46" s="147"/>
    </row>
    <row r="47" spans="2:7" s="138" customFormat="1" ht="51" customHeight="1" x14ac:dyDescent="0.25">
      <c r="B47" s="621" t="s">
        <v>671</v>
      </c>
      <c r="C47" s="622"/>
      <c r="D47" s="622"/>
      <c r="E47" s="622"/>
      <c r="F47" s="623"/>
      <c r="G47" s="152"/>
    </row>
    <row r="48" spans="2:7" s="138" customFormat="1" x14ac:dyDescent="0.25"/>
    <row r="49" spans="1:7" s="138" customFormat="1" x14ac:dyDescent="0.25">
      <c r="B49" s="608" t="s">
        <v>614</v>
      </c>
      <c r="C49" s="609"/>
      <c r="D49" s="609"/>
      <c r="E49" s="609"/>
      <c r="F49" s="610"/>
      <c r="G49" s="147"/>
    </row>
    <row r="50" spans="1:7" s="138" customFormat="1" x14ac:dyDescent="0.25">
      <c r="B50" s="154" t="s">
        <v>615</v>
      </c>
      <c r="C50" s="154" t="s">
        <v>616</v>
      </c>
      <c r="D50" s="608" t="s">
        <v>617</v>
      </c>
      <c r="E50" s="609"/>
      <c r="F50" s="610"/>
      <c r="G50" s="147"/>
    </row>
    <row r="51" spans="1:7" s="138" customFormat="1" x14ac:dyDescent="0.25">
      <c r="A51" s="155"/>
      <c r="B51" s="153" t="s">
        <v>672</v>
      </c>
      <c r="C51" s="153" t="s">
        <v>618</v>
      </c>
      <c r="D51" s="650" t="s">
        <v>619</v>
      </c>
      <c r="E51" s="630"/>
      <c r="F51" s="631"/>
      <c r="G51" s="156"/>
    </row>
    <row r="52" spans="1:7" s="138" customFormat="1" x14ac:dyDescent="0.25">
      <c r="B52" s="157"/>
      <c r="C52" s="157"/>
      <c r="D52" s="629"/>
      <c r="E52" s="630"/>
      <c r="F52" s="631"/>
      <c r="G52" s="156"/>
    </row>
    <row r="53" spans="1:7" s="138" customFormat="1" x14ac:dyDescent="0.25">
      <c r="B53" s="158"/>
      <c r="C53" s="158"/>
      <c r="D53" s="629"/>
      <c r="E53" s="630"/>
      <c r="F53" s="631"/>
      <c r="G53" s="156"/>
    </row>
    <row r="54" spans="1:7" s="138" customFormat="1" x14ac:dyDescent="0.25"/>
    <row r="55" spans="1:7" s="138" customFormat="1" x14ac:dyDescent="0.25">
      <c r="B55" s="608" t="s">
        <v>234</v>
      </c>
      <c r="C55" s="609"/>
      <c r="D55" s="609"/>
      <c r="E55" s="609"/>
      <c r="F55" s="610"/>
      <c r="G55" s="147"/>
    </row>
    <row r="56" spans="1:7" s="138" customFormat="1" ht="35.65" customHeight="1" x14ac:dyDescent="0.25">
      <c r="B56" s="618"/>
      <c r="C56" s="619"/>
      <c r="D56" s="619"/>
      <c r="E56" s="619"/>
      <c r="F56" s="620"/>
      <c r="G56" s="152"/>
    </row>
    <row r="57" spans="1:7" s="138" customFormat="1" x14ac:dyDescent="0.25"/>
    <row r="58" spans="1:7" s="138" customFormat="1" x14ac:dyDescent="0.25">
      <c r="B58" s="608" t="s">
        <v>235</v>
      </c>
      <c r="C58" s="609"/>
      <c r="D58" s="609"/>
      <c r="E58" s="609"/>
      <c r="F58" s="610"/>
      <c r="G58" s="147"/>
    </row>
    <row r="59" spans="1:7" ht="80.650000000000006" customHeight="1" x14ac:dyDescent="0.25">
      <c r="B59" s="618"/>
      <c r="C59" s="619"/>
      <c r="D59" s="619"/>
      <c r="E59" s="619"/>
      <c r="F59" s="620"/>
      <c r="G59" s="152"/>
    </row>
  </sheetData>
  <mergeCells count="45">
    <mergeCell ref="B1:D1"/>
    <mergeCell ref="B58:F58"/>
    <mergeCell ref="B59:F59"/>
    <mergeCell ref="D50:F50"/>
    <mergeCell ref="D51:F51"/>
    <mergeCell ref="D52:F52"/>
    <mergeCell ref="D53:F53"/>
    <mergeCell ref="B55:F55"/>
    <mergeCell ref="B56:F56"/>
    <mergeCell ref="B49:F49"/>
    <mergeCell ref="B34:F34"/>
    <mergeCell ref="B36:F36"/>
    <mergeCell ref="B37:F37"/>
    <mergeCell ref="B39:F39"/>
    <mergeCell ref="C40:F40"/>
    <mergeCell ref="C41:F41"/>
    <mergeCell ref="C42:F42"/>
    <mergeCell ref="C43:F43"/>
    <mergeCell ref="C44:F44"/>
    <mergeCell ref="B46:F46"/>
    <mergeCell ref="B47:F47"/>
    <mergeCell ref="B33:F33"/>
    <mergeCell ref="B20:F20"/>
    <mergeCell ref="B21:F21"/>
    <mergeCell ref="B22:F22"/>
    <mergeCell ref="B23:F23"/>
    <mergeCell ref="B25:F25"/>
    <mergeCell ref="B26:F26"/>
    <mergeCell ref="B28:F28"/>
    <mergeCell ref="B29:F29"/>
    <mergeCell ref="B30:F30"/>
    <mergeCell ref="B31:F31"/>
    <mergeCell ref="B32:F32"/>
    <mergeCell ref="C11:F11"/>
    <mergeCell ref="B13:F13"/>
    <mergeCell ref="B14:C14"/>
    <mergeCell ref="D14:F14"/>
    <mergeCell ref="B15:C15"/>
    <mergeCell ref="D15:F15"/>
    <mergeCell ref="C10:F10"/>
    <mergeCell ref="B2:I2"/>
    <mergeCell ref="C6:F6"/>
    <mergeCell ref="C7:F7"/>
    <mergeCell ref="C8:F8"/>
    <mergeCell ref="C9:F9"/>
  </mergeCells>
  <dataValidations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51:C53 IY51:IY53 SU51:SU53 ACQ51:ACQ53 AMM51:AMM53 AWI51:AWI53 BGE51:BGE53 BQA51:BQA53 BZW51:BZW53 CJS51:CJS53 CTO51:CTO53 DDK51:DDK53 DNG51:DNG53 DXC51:DXC53 EGY51:EGY53 EQU51:EQU53 FAQ51:FAQ53 FKM51:FKM53 FUI51:FUI53 GEE51:GEE53 GOA51:GOA53 GXW51:GXW53 HHS51:HHS53 HRO51:HRO53 IBK51:IBK53 ILG51:ILG53 IVC51:IVC53 JEY51:JEY53 JOU51:JOU53 JYQ51:JYQ53 KIM51:KIM53 KSI51:KSI53 LCE51:LCE53 LMA51:LMA53 LVW51:LVW53 MFS51:MFS53 MPO51:MPO53 MZK51:MZK53 NJG51:NJG53 NTC51:NTC53 OCY51:OCY53 OMU51:OMU53 OWQ51:OWQ53 PGM51:PGM53 PQI51:PQI53 QAE51:QAE53 QKA51:QKA53 QTW51:QTW53 RDS51:RDS53 RNO51:RNO53 RXK51:RXK53 SHG51:SHG53 SRC51:SRC53 TAY51:TAY53 TKU51:TKU53 TUQ51:TUQ53 UEM51:UEM53 UOI51:UOI53 UYE51:UYE53 VIA51:VIA53 VRW51:VRW53 WBS51:WBS53 WLO51:WLO53 WVK51:WVK53 C65587:C65589 IY65587:IY65589 SU65587:SU65589 ACQ65587:ACQ65589 AMM65587:AMM65589 AWI65587:AWI65589 BGE65587:BGE65589 BQA65587:BQA65589 BZW65587:BZW65589 CJS65587:CJS65589 CTO65587:CTO65589 DDK65587:DDK65589 DNG65587:DNG65589 DXC65587:DXC65589 EGY65587:EGY65589 EQU65587:EQU65589 FAQ65587:FAQ65589 FKM65587:FKM65589 FUI65587:FUI65589 GEE65587:GEE65589 GOA65587:GOA65589 GXW65587:GXW65589 HHS65587:HHS65589 HRO65587:HRO65589 IBK65587:IBK65589 ILG65587:ILG65589 IVC65587:IVC65589 JEY65587:JEY65589 JOU65587:JOU65589 JYQ65587:JYQ65589 KIM65587:KIM65589 KSI65587:KSI65589 LCE65587:LCE65589 LMA65587:LMA65589 LVW65587:LVW65589 MFS65587:MFS65589 MPO65587:MPO65589 MZK65587:MZK65589 NJG65587:NJG65589 NTC65587:NTC65589 OCY65587:OCY65589 OMU65587:OMU65589 OWQ65587:OWQ65589 PGM65587:PGM65589 PQI65587:PQI65589 QAE65587:QAE65589 QKA65587:QKA65589 QTW65587:QTW65589 RDS65587:RDS65589 RNO65587:RNO65589 RXK65587:RXK65589 SHG65587:SHG65589 SRC65587:SRC65589 TAY65587:TAY65589 TKU65587:TKU65589 TUQ65587:TUQ65589 UEM65587:UEM65589 UOI65587:UOI65589 UYE65587:UYE65589 VIA65587:VIA65589 VRW65587:VRW65589 WBS65587:WBS65589 WLO65587:WLO65589 WVK65587:WVK65589 C131123:C131125 IY131123:IY131125 SU131123:SU131125 ACQ131123:ACQ131125 AMM131123:AMM131125 AWI131123:AWI131125 BGE131123:BGE131125 BQA131123:BQA131125 BZW131123:BZW131125 CJS131123:CJS131125 CTO131123:CTO131125 DDK131123:DDK131125 DNG131123:DNG131125 DXC131123:DXC131125 EGY131123:EGY131125 EQU131123:EQU131125 FAQ131123:FAQ131125 FKM131123:FKM131125 FUI131123:FUI131125 GEE131123:GEE131125 GOA131123:GOA131125 GXW131123:GXW131125 HHS131123:HHS131125 HRO131123:HRO131125 IBK131123:IBK131125 ILG131123:ILG131125 IVC131123:IVC131125 JEY131123:JEY131125 JOU131123:JOU131125 JYQ131123:JYQ131125 KIM131123:KIM131125 KSI131123:KSI131125 LCE131123:LCE131125 LMA131123:LMA131125 LVW131123:LVW131125 MFS131123:MFS131125 MPO131123:MPO131125 MZK131123:MZK131125 NJG131123:NJG131125 NTC131123:NTC131125 OCY131123:OCY131125 OMU131123:OMU131125 OWQ131123:OWQ131125 PGM131123:PGM131125 PQI131123:PQI131125 QAE131123:QAE131125 QKA131123:QKA131125 QTW131123:QTW131125 RDS131123:RDS131125 RNO131123:RNO131125 RXK131123:RXK131125 SHG131123:SHG131125 SRC131123:SRC131125 TAY131123:TAY131125 TKU131123:TKU131125 TUQ131123:TUQ131125 UEM131123:UEM131125 UOI131123:UOI131125 UYE131123:UYE131125 VIA131123:VIA131125 VRW131123:VRW131125 WBS131123:WBS131125 WLO131123:WLO131125 WVK131123:WVK131125 C196659:C196661 IY196659:IY196661 SU196659:SU196661 ACQ196659:ACQ196661 AMM196659:AMM196661 AWI196659:AWI196661 BGE196659:BGE196661 BQA196659:BQA196661 BZW196659:BZW196661 CJS196659:CJS196661 CTO196659:CTO196661 DDK196659:DDK196661 DNG196659:DNG196661 DXC196659:DXC196661 EGY196659:EGY196661 EQU196659:EQU196661 FAQ196659:FAQ196661 FKM196659:FKM196661 FUI196659:FUI196661 GEE196659:GEE196661 GOA196659:GOA196661 GXW196659:GXW196661 HHS196659:HHS196661 HRO196659:HRO196661 IBK196659:IBK196661 ILG196659:ILG196661 IVC196659:IVC196661 JEY196659:JEY196661 JOU196659:JOU196661 JYQ196659:JYQ196661 KIM196659:KIM196661 KSI196659:KSI196661 LCE196659:LCE196661 LMA196659:LMA196661 LVW196659:LVW196661 MFS196659:MFS196661 MPO196659:MPO196661 MZK196659:MZK196661 NJG196659:NJG196661 NTC196659:NTC196661 OCY196659:OCY196661 OMU196659:OMU196661 OWQ196659:OWQ196661 PGM196659:PGM196661 PQI196659:PQI196661 QAE196659:QAE196661 QKA196659:QKA196661 QTW196659:QTW196661 RDS196659:RDS196661 RNO196659:RNO196661 RXK196659:RXK196661 SHG196659:SHG196661 SRC196659:SRC196661 TAY196659:TAY196661 TKU196659:TKU196661 TUQ196659:TUQ196661 UEM196659:UEM196661 UOI196659:UOI196661 UYE196659:UYE196661 VIA196659:VIA196661 VRW196659:VRW196661 WBS196659:WBS196661 WLO196659:WLO196661 WVK196659:WVK196661 C262195:C262197 IY262195:IY262197 SU262195:SU262197 ACQ262195:ACQ262197 AMM262195:AMM262197 AWI262195:AWI262197 BGE262195:BGE262197 BQA262195:BQA262197 BZW262195:BZW262197 CJS262195:CJS262197 CTO262195:CTO262197 DDK262195:DDK262197 DNG262195:DNG262197 DXC262195:DXC262197 EGY262195:EGY262197 EQU262195:EQU262197 FAQ262195:FAQ262197 FKM262195:FKM262197 FUI262195:FUI262197 GEE262195:GEE262197 GOA262195:GOA262197 GXW262195:GXW262197 HHS262195:HHS262197 HRO262195:HRO262197 IBK262195:IBK262197 ILG262195:ILG262197 IVC262195:IVC262197 JEY262195:JEY262197 JOU262195:JOU262197 JYQ262195:JYQ262197 KIM262195:KIM262197 KSI262195:KSI262197 LCE262195:LCE262197 LMA262195:LMA262197 LVW262195:LVW262197 MFS262195:MFS262197 MPO262195:MPO262197 MZK262195:MZK262197 NJG262195:NJG262197 NTC262195:NTC262197 OCY262195:OCY262197 OMU262195:OMU262197 OWQ262195:OWQ262197 PGM262195:PGM262197 PQI262195:PQI262197 QAE262195:QAE262197 QKA262195:QKA262197 QTW262195:QTW262197 RDS262195:RDS262197 RNO262195:RNO262197 RXK262195:RXK262197 SHG262195:SHG262197 SRC262195:SRC262197 TAY262195:TAY262197 TKU262195:TKU262197 TUQ262195:TUQ262197 UEM262195:UEM262197 UOI262195:UOI262197 UYE262195:UYE262197 VIA262195:VIA262197 VRW262195:VRW262197 WBS262195:WBS262197 WLO262195:WLO262197 WVK262195:WVK262197 C327731:C327733 IY327731:IY327733 SU327731:SU327733 ACQ327731:ACQ327733 AMM327731:AMM327733 AWI327731:AWI327733 BGE327731:BGE327733 BQA327731:BQA327733 BZW327731:BZW327733 CJS327731:CJS327733 CTO327731:CTO327733 DDK327731:DDK327733 DNG327731:DNG327733 DXC327731:DXC327733 EGY327731:EGY327733 EQU327731:EQU327733 FAQ327731:FAQ327733 FKM327731:FKM327733 FUI327731:FUI327733 GEE327731:GEE327733 GOA327731:GOA327733 GXW327731:GXW327733 HHS327731:HHS327733 HRO327731:HRO327733 IBK327731:IBK327733 ILG327731:ILG327733 IVC327731:IVC327733 JEY327731:JEY327733 JOU327731:JOU327733 JYQ327731:JYQ327733 KIM327731:KIM327733 KSI327731:KSI327733 LCE327731:LCE327733 LMA327731:LMA327733 LVW327731:LVW327733 MFS327731:MFS327733 MPO327731:MPO327733 MZK327731:MZK327733 NJG327731:NJG327733 NTC327731:NTC327733 OCY327731:OCY327733 OMU327731:OMU327733 OWQ327731:OWQ327733 PGM327731:PGM327733 PQI327731:PQI327733 QAE327731:QAE327733 QKA327731:QKA327733 QTW327731:QTW327733 RDS327731:RDS327733 RNO327731:RNO327733 RXK327731:RXK327733 SHG327731:SHG327733 SRC327731:SRC327733 TAY327731:TAY327733 TKU327731:TKU327733 TUQ327731:TUQ327733 UEM327731:UEM327733 UOI327731:UOI327733 UYE327731:UYE327733 VIA327731:VIA327733 VRW327731:VRW327733 WBS327731:WBS327733 WLO327731:WLO327733 WVK327731:WVK327733 C393267:C393269 IY393267:IY393269 SU393267:SU393269 ACQ393267:ACQ393269 AMM393267:AMM393269 AWI393267:AWI393269 BGE393267:BGE393269 BQA393267:BQA393269 BZW393267:BZW393269 CJS393267:CJS393269 CTO393267:CTO393269 DDK393267:DDK393269 DNG393267:DNG393269 DXC393267:DXC393269 EGY393267:EGY393269 EQU393267:EQU393269 FAQ393267:FAQ393269 FKM393267:FKM393269 FUI393267:FUI393269 GEE393267:GEE393269 GOA393267:GOA393269 GXW393267:GXW393269 HHS393267:HHS393269 HRO393267:HRO393269 IBK393267:IBK393269 ILG393267:ILG393269 IVC393267:IVC393269 JEY393267:JEY393269 JOU393267:JOU393269 JYQ393267:JYQ393269 KIM393267:KIM393269 KSI393267:KSI393269 LCE393267:LCE393269 LMA393267:LMA393269 LVW393267:LVW393269 MFS393267:MFS393269 MPO393267:MPO393269 MZK393267:MZK393269 NJG393267:NJG393269 NTC393267:NTC393269 OCY393267:OCY393269 OMU393267:OMU393269 OWQ393267:OWQ393269 PGM393267:PGM393269 PQI393267:PQI393269 QAE393267:QAE393269 QKA393267:QKA393269 QTW393267:QTW393269 RDS393267:RDS393269 RNO393267:RNO393269 RXK393267:RXK393269 SHG393267:SHG393269 SRC393267:SRC393269 TAY393267:TAY393269 TKU393267:TKU393269 TUQ393267:TUQ393269 UEM393267:UEM393269 UOI393267:UOI393269 UYE393267:UYE393269 VIA393267:VIA393269 VRW393267:VRW393269 WBS393267:WBS393269 WLO393267:WLO393269 WVK393267:WVK393269 C458803:C458805 IY458803:IY458805 SU458803:SU458805 ACQ458803:ACQ458805 AMM458803:AMM458805 AWI458803:AWI458805 BGE458803:BGE458805 BQA458803:BQA458805 BZW458803:BZW458805 CJS458803:CJS458805 CTO458803:CTO458805 DDK458803:DDK458805 DNG458803:DNG458805 DXC458803:DXC458805 EGY458803:EGY458805 EQU458803:EQU458805 FAQ458803:FAQ458805 FKM458803:FKM458805 FUI458803:FUI458805 GEE458803:GEE458805 GOA458803:GOA458805 GXW458803:GXW458805 HHS458803:HHS458805 HRO458803:HRO458805 IBK458803:IBK458805 ILG458803:ILG458805 IVC458803:IVC458805 JEY458803:JEY458805 JOU458803:JOU458805 JYQ458803:JYQ458805 KIM458803:KIM458805 KSI458803:KSI458805 LCE458803:LCE458805 LMA458803:LMA458805 LVW458803:LVW458805 MFS458803:MFS458805 MPO458803:MPO458805 MZK458803:MZK458805 NJG458803:NJG458805 NTC458803:NTC458805 OCY458803:OCY458805 OMU458803:OMU458805 OWQ458803:OWQ458805 PGM458803:PGM458805 PQI458803:PQI458805 QAE458803:QAE458805 QKA458803:QKA458805 QTW458803:QTW458805 RDS458803:RDS458805 RNO458803:RNO458805 RXK458803:RXK458805 SHG458803:SHG458805 SRC458803:SRC458805 TAY458803:TAY458805 TKU458803:TKU458805 TUQ458803:TUQ458805 UEM458803:UEM458805 UOI458803:UOI458805 UYE458803:UYE458805 VIA458803:VIA458805 VRW458803:VRW458805 WBS458803:WBS458805 WLO458803:WLO458805 WVK458803:WVK458805 C524339:C524341 IY524339:IY524341 SU524339:SU524341 ACQ524339:ACQ524341 AMM524339:AMM524341 AWI524339:AWI524341 BGE524339:BGE524341 BQA524339:BQA524341 BZW524339:BZW524341 CJS524339:CJS524341 CTO524339:CTO524341 DDK524339:DDK524341 DNG524339:DNG524341 DXC524339:DXC524341 EGY524339:EGY524341 EQU524339:EQU524341 FAQ524339:FAQ524341 FKM524339:FKM524341 FUI524339:FUI524341 GEE524339:GEE524341 GOA524339:GOA524341 GXW524339:GXW524341 HHS524339:HHS524341 HRO524339:HRO524341 IBK524339:IBK524341 ILG524339:ILG524341 IVC524339:IVC524341 JEY524339:JEY524341 JOU524339:JOU524341 JYQ524339:JYQ524341 KIM524339:KIM524341 KSI524339:KSI524341 LCE524339:LCE524341 LMA524339:LMA524341 LVW524339:LVW524341 MFS524339:MFS524341 MPO524339:MPO524341 MZK524339:MZK524341 NJG524339:NJG524341 NTC524339:NTC524341 OCY524339:OCY524341 OMU524339:OMU524341 OWQ524339:OWQ524341 PGM524339:PGM524341 PQI524339:PQI524341 QAE524339:QAE524341 QKA524339:QKA524341 QTW524339:QTW524341 RDS524339:RDS524341 RNO524339:RNO524341 RXK524339:RXK524341 SHG524339:SHG524341 SRC524339:SRC524341 TAY524339:TAY524341 TKU524339:TKU524341 TUQ524339:TUQ524341 UEM524339:UEM524341 UOI524339:UOI524341 UYE524339:UYE524341 VIA524339:VIA524341 VRW524339:VRW524341 WBS524339:WBS524341 WLO524339:WLO524341 WVK524339:WVK524341 C589875:C589877 IY589875:IY589877 SU589875:SU589877 ACQ589875:ACQ589877 AMM589875:AMM589877 AWI589875:AWI589877 BGE589875:BGE589877 BQA589875:BQA589877 BZW589875:BZW589877 CJS589875:CJS589877 CTO589875:CTO589877 DDK589875:DDK589877 DNG589875:DNG589877 DXC589875:DXC589877 EGY589875:EGY589877 EQU589875:EQU589877 FAQ589875:FAQ589877 FKM589875:FKM589877 FUI589875:FUI589877 GEE589875:GEE589877 GOA589875:GOA589877 GXW589875:GXW589877 HHS589875:HHS589877 HRO589875:HRO589877 IBK589875:IBK589877 ILG589875:ILG589877 IVC589875:IVC589877 JEY589875:JEY589877 JOU589875:JOU589877 JYQ589875:JYQ589877 KIM589875:KIM589877 KSI589875:KSI589877 LCE589875:LCE589877 LMA589875:LMA589877 LVW589875:LVW589877 MFS589875:MFS589877 MPO589875:MPO589877 MZK589875:MZK589877 NJG589875:NJG589877 NTC589875:NTC589877 OCY589875:OCY589877 OMU589875:OMU589877 OWQ589875:OWQ589877 PGM589875:PGM589877 PQI589875:PQI589877 QAE589875:QAE589877 QKA589875:QKA589877 QTW589875:QTW589877 RDS589875:RDS589877 RNO589875:RNO589877 RXK589875:RXK589877 SHG589875:SHG589877 SRC589875:SRC589877 TAY589875:TAY589877 TKU589875:TKU589877 TUQ589875:TUQ589877 UEM589875:UEM589877 UOI589875:UOI589877 UYE589875:UYE589877 VIA589875:VIA589877 VRW589875:VRW589877 WBS589875:WBS589877 WLO589875:WLO589877 WVK589875:WVK589877 C655411:C655413 IY655411:IY655413 SU655411:SU655413 ACQ655411:ACQ655413 AMM655411:AMM655413 AWI655411:AWI655413 BGE655411:BGE655413 BQA655411:BQA655413 BZW655411:BZW655413 CJS655411:CJS655413 CTO655411:CTO655413 DDK655411:DDK655413 DNG655411:DNG655413 DXC655411:DXC655413 EGY655411:EGY655413 EQU655411:EQU655413 FAQ655411:FAQ655413 FKM655411:FKM655413 FUI655411:FUI655413 GEE655411:GEE655413 GOA655411:GOA655413 GXW655411:GXW655413 HHS655411:HHS655413 HRO655411:HRO655413 IBK655411:IBK655413 ILG655411:ILG655413 IVC655411:IVC655413 JEY655411:JEY655413 JOU655411:JOU655413 JYQ655411:JYQ655413 KIM655411:KIM655413 KSI655411:KSI655413 LCE655411:LCE655413 LMA655411:LMA655413 LVW655411:LVW655413 MFS655411:MFS655413 MPO655411:MPO655413 MZK655411:MZK655413 NJG655411:NJG655413 NTC655411:NTC655413 OCY655411:OCY655413 OMU655411:OMU655413 OWQ655411:OWQ655413 PGM655411:PGM655413 PQI655411:PQI655413 QAE655411:QAE655413 QKA655411:QKA655413 QTW655411:QTW655413 RDS655411:RDS655413 RNO655411:RNO655413 RXK655411:RXK655413 SHG655411:SHG655413 SRC655411:SRC655413 TAY655411:TAY655413 TKU655411:TKU655413 TUQ655411:TUQ655413 UEM655411:UEM655413 UOI655411:UOI655413 UYE655411:UYE655413 VIA655411:VIA655413 VRW655411:VRW655413 WBS655411:WBS655413 WLO655411:WLO655413 WVK655411:WVK655413 C720947:C720949 IY720947:IY720949 SU720947:SU720949 ACQ720947:ACQ720949 AMM720947:AMM720949 AWI720947:AWI720949 BGE720947:BGE720949 BQA720947:BQA720949 BZW720947:BZW720949 CJS720947:CJS720949 CTO720947:CTO720949 DDK720947:DDK720949 DNG720947:DNG720949 DXC720947:DXC720949 EGY720947:EGY720949 EQU720947:EQU720949 FAQ720947:FAQ720949 FKM720947:FKM720949 FUI720947:FUI720949 GEE720947:GEE720949 GOA720947:GOA720949 GXW720947:GXW720949 HHS720947:HHS720949 HRO720947:HRO720949 IBK720947:IBK720949 ILG720947:ILG720949 IVC720947:IVC720949 JEY720947:JEY720949 JOU720947:JOU720949 JYQ720947:JYQ720949 KIM720947:KIM720949 KSI720947:KSI720949 LCE720947:LCE720949 LMA720947:LMA720949 LVW720947:LVW720949 MFS720947:MFS720949 MPO720947:MPO720949 MZK720947:MZK720949 NJG720947:NJG720949 NTC720947:NTC720949 OCY720947:OCY720949 OMU720947:OMU720949 OWQ720947:OWQ720949 PGM720947:PGM720949 PQI720947:PQI720949 QAE720947:QAE720949 QKA720947:QKA720949 QTW720947:QTW720949 RDS720947:RDS720949 RNO720947:RNO720949 RXK720947:RXK720949 SHG720947:SHG720949 SRC720947:SRC720949 TAY720947:TAY720949 TKU720947:TKU720949 TUQ720947:TUQ720949 UEM720947:UEM720949 UOI720947:UOI720949 UYE720947:UYE720949 VIA720947:VIA720949 VRW720947:VRW720949 WBS720947:WBS720949 WLO720947:WLO720949 WVK720947:WVK720949 C786483:C786485 IY786483:IY786485 SU786483:SU786485 ACQ786483:ACQ786485 AMM786483:AMM786485 AWI786483:AWI786485 BGE786483:BGE786485 BQA786483:BQA786485 BZW786483:BZW786485 CJS786483:CJS786485 CTO786483:CTO786485 DDK786483:DDK786485 DNG786483:DNG786485 DXC786483:DXC786485 EGY786483:EGY786485 EQU786483:EQU786485 FAQ786483:FAQ786485 FKM786483:FKM786485 FUI786483:FUI786485 GEE786483:GEE786485 GOA786483:GOA786485 GXW786483:GXW786485 HHS786483:HHS786485 HRO786483:HRO786485 IBK786483:IBK786485 ILG786483:ILG786485 IVC786483:IVC786485 JEY786483:JEY786485 JOU786483:JOU786485 JYQ786483:JYQ786485 KIM786483:KIM786485 KSI786483:KSI786485 LCE786483:LCE786485 LMA786483:LMA786485 LVW786483:LVW786485 MFS786483:MFS786485 MPO786483:MPO786485 MZK786483:MZK786485 NJG786483:NJG786485 NTC786483:NTC786485 OCY786483:OCY786485 OMU786483:OMU786485 OWQ786483:OWQ786485 PGM786483:PGM786485 PQI786483:PQI786485 QAE786483:QAE786485 QKA786483:QKA786485 QTW786483:QTW786485 RDS786483:RDS786485 RNO786483:RNO786485 RXK786483:RXK786485 SHG786483:SHG786485 SRC786483:SRC786485 TAY786483:TAY786485 TKU786483:TKU786485 TUQ786483:TUQ786485 UEM786483:UEM786485 UOI786483:UOI786485 UYE786483:UYE786485 VIA786483:VIA786485 VRW786483:VRW786485 WBS786483:WBS786485 WLO786483:WLO786485 WVK786483:WVK786485 C852019:C852021 IY852019:IY852021 SU852019:SU852021 ACQ852019:ACQ852021 AMM852019:AMM852021 AWI852019:AWI852021 BGE852019:BGE852021 BQA852019:BQA852021 BZW852019:BZW852021 CJS852019:CJS852021 CTO852019:CTO852021 DDK852019:DDK852021 DNG852019:DNG852021 DXC852019:DXC852021 EGY852019:EGY852021 EQU852019:EQU852021 FAQ852019:FAQ852021 FKM852019:FKM852021 FUI852019:FUI852021 GEE852019:GEE852021 GOA852019:GOA852021 GXW852019:GXW852021 HHS852019:HHS852021 HRO852019:HRO852021 IBK852019:IBK852021 ILG852019:ILG852021 IVC852019:IVC852021 JEY852019:JEY852021 JOU852019:JOU852021 JYQ852019:JYQ852021 KIM852019:KIM852021 KSI852019:KSI852021 LCE852019:LCE852021 LMA852019:LMA852021 LVW852019:LVW852021 MFS852019:MFS852021 MPO852019:MPO852021 MZK852019:MZK852021 NJG852019:NJG852021 NTC852019:NTC852021 OCY852019:OCY852021 OMU852019:OMU852021 OWQ852019:OWQ852021 PGM852019:PGM852021 PQI852019:PQI852021 QAE852019:QAE852021 QKA852019:QKA852021 QTW852019:QTW852021 RDS852019:RDS852021 RNO852019:RNO852021 RXK852019:RXK852021 SHG852019:SHG852021 SRC852019:SRC852021 TAY852019:TAY852021 TKU852019:TKU852021 TUQ852019:TUQ852021 UEM852019:UEM852021 UOI852019:UOI852021 UYE852019:UYE852021 VIA852019:VIA852021 VRW852019:VRW852021 WBS852019:WBS852021 WLO852019:WLO852021 WVK852019:WVK852021 C917555:C917557 IY917555:IY917557 SU917555:SU917557 ACQ917555:ACQ917557 AMM917555:AMM917557 AWI917555:AWI917557 BGE917555:BGE917557 BQA917555:BQA917557 BZW917555:BZW917557 CJS917555:CJS917557 CTO917555:CTO917557 DDK917555:DDK917557 DNG917555:DNG917557 DXC917555:DXC917557 EGY917555:EGY917557 EQU917555:EQU917557 FAQ917555:FAQ917557 FKM917555:FKM917557 FUI917555:FUI917557 GEE917555:GEE917557 GOA917555:GOA917557 GXW917555:GXW917557 HHS917555:HHS917557 HRO917555:HRO917557 IBK917555:IBK917557 ILG917555:ILG917557 IVC917555:IVC917557 JEY917555:JEY917557 JOU917555:JOU917557 JYQ917555:JYQ917557 KIM917555:KIM917557 KSI917555:KSI917557 LCE917555:LCE917557 LMA917555:LMA917557 LVW917555:LVW917557 MFS917555:MFS917557 MPO917555:MPO917557 MZK917555:MZK917557 NJG917555:NJG917557 NTC917555:NTC917557 OCY917555:OCY917557 OMU917555:OMU917557 OWQ917555:OWQ917557 PGM917555:PGM917557 PQI917555:PQI917557 QAE917555:QAE917557 QKA917555:QKA917557 QTW917555:QTW917557 RDS917555:RDS917557 RNO917555:RNO917557 RXK917555:RXK917557 SHG917555:SHG917557 SRC917555:SRC917557 TAY917555:TAY917557 TKU917555:TKU917557 TUQ917555:TUQ917557 UEM917555:UEM917557 UOI917555:UOI917557 UYE917555:UYE917557 VIA917555:VIA917557 VRW917555:VRW917557 WBS917555:WBS917557 WLO917555:WLO917557 WVK917555:WVK917557 C983091:C983093 IY983091:IY983093 SU983091:SU983093 ACQ983091:ACQ983093 AMM983091:AMM983093 AWI983091:AWI983093 BGE983091:BGE983093 BQA983091:BQA983093 BZW983091:BZW983093 CJS983091:CJS983093 CTO983091:CTO983093 DDK983091:DDK983093 DNG983091:DNG983093 DXC983091:DXC983093 EGY983091:EGY983093 EQU983091:EQU983093 FAQ983091:FAQ983093 FKM983091:FKM983093 FUI983091:FUI983093 GEE983091:GEE983093 GOA983091:GOA983093 GXW983091:GXW983093 HHS983091:HHS983093 HRO983091:HRO983093 IBK983091:IBK983093 ILG983091:ILG983093 IVC983091:IVC983093 JEY983091:JEY983093 JOU983091:JOU983093 JYQ983091:JYQ983093 KIM983091:KIM983093 KSI983091:KSI983093 LCE983091:LCE983093 LMA983091:LMA983093 LVW983091:LVW983093 MFS983091:MFS983093 MPO983091:MPO983093 MZK983091:MZK983093 NJG983091:NJG983093 NTC983091:NTC983093 OCY983091:OCY983093 OMU983091:OMU983093 OWQ983091:OWQ983093 PGM983091:PGM983093 PQI983091:PQI983093 QAE983091:QAE983093 QKA983091:QKA983093 QTW983091:QTW983093 RDS983091:RDS983093 RNO983091:RNO983093 RXK983091:RXK983093 SHG983091:SHG983093 SRC983091:SRC983093 TAY983091:TAY983093 TKU983091:TKU983093 TUQ983091:TUQ983093 UEM983091:UEM983093 UOI983091:UOI983093 UYE983091:UYE983093 VIA983091:VIA983093 VRW983091:VRW983093 WBS983091:WBS983093 WLO983091:WLO983093 WVK983091:WVK983093">
      <formula1>"Académique, Professionnel, Associatif, Autre"</formula1>
    </dataValidation>
  </dataValidations>
  <hyperlinks>
    <hyperlink ref="B1:D1" location="'Schéma d''enseignement'!G44" display="Sc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3"/>
  <sheetViews>
    <sheetView workbookViewId="0">
      <selection activeCell="B1" sqref="B1:D1"/>
    </sheetView>
  </sheetViews>
  <sheetFormatPr baseColWidth="10" defaultColWidth="8.85546875" defaultRowHeight="15.75" x14ac:dyDescent="0.25"/>
  <cols>
    <col min="1" max="1" width="1.140625" style="134" customWidth="1"/>
    <col min="2" max="2" width="29.42578125" style="134" customWidth="1"/>
    <col min="3" max="3" width="15.5703125" style="134" customWidth="1"/>
    <col min="4" max="4" width="11.85546875" style="134" customWidth="1"/>
    <col min="5" max="5" width="7" style="134" customWidth="1"/>
    <col min="6" max="6" width="32.5703125" style="134" customWidth="1"/>
    <col min="7" max="7" width="8.140625" style="134" customWidth="1"/>
    <col min="8" max="8" width="20.140625" style="134" customWidth="1"/>
    <col min="9" max="9" width="119.85546875" style="134" customWidth="1"/>
    <col min="10" max="10" width="11.5703125" style="134" customWidth="1"/>
    <col min="11" max="11" width="128.140625" style="134" customWidth="1"/>
    <col min="12" max="256" width="11.5703125" style="134" customWidth="1"/>
    <col min="257" max="16384" width="8.85546875" style="134"/>
  </cols>
  <sheetData>
    <row r="1" spans="2:10" x14ac:dyDescent="0.25">
      <c r="B1" s="628" t="s">
        <v>1267</v>
      </c>
      <c r="C1" s="628"/>
      <c r="D1" s="628"/>
    </row>
    <row r="2" spans="2:10" x14ac:dyDescent="0.25">
      <c r="B2" s="660" t="s">
        <v>601</v>
      </c>
      <c r="C2" s="661"/>
      <c r="D2" s="661"/>
      <c r="E2" s="662"/>
      <c r="F2" s="662"/>
      <c r="G2" s="662"/>
      <c r="H2" s="662"/>
      <c r="I2" s="663"/>
      <c r="J2" s="133"/>
    </row>
    <row r="4" spans="2:10" x14ac:dyDescent="0.25">
      <c r="B4" s="135" t="s">
        <v>195</v>
      </c>
      <c r="C4" s="136"/>
      <c r="D4" s="136"/>
      <c r="E4" s="136"/>
      <c r="F4" s="136"/>
      <c r="G4" s="137"/>
    </row>
    <row r="5" spans="2:10" s="138" customFormat="1" x14ac:dyDescent="0.25"/>
    <row r="6" spans="2:10" s="138" customFormat="1" x14ac:dyDescent="0.25">
      <c r="B6" s="139" t="s">
        <v>196</v>
      </c>
      <c r="C6" s="611" t="s">
        <v>602</v>
      </c>
      <c r="D6" s="611"/>
      <c r="E6" s="611"/>
      <c r="F6" s="611"/>
      <c r="G6" s="140"/>
    </row>
    <row r="7" spans="2:10" s="138" customFormat="1" x14ac:dyDescent="0.25">
      <c r="B7" s="141" t="s">
        <v>197</v>
      </c>
      <c r="C7" s="612" t="s">
        <v>1244</v>
      </c>
      <c r="D7" s="612"/>
      <c r="E7" s="612"/>
      <c r="F7" s="612"/>
      <c r="G7" s="142"/>
    </row>
    <row r="8" spans="2:10" s="138" customFormat="1" x14ac:dyDescent="0.25">
      <c r="B8" s="139" t="s">
        <v>199</v>
      </c>
      <c r="C8" s="611" t="s">
        <v>604</v>
      </c>
      <c r="D8" s="611"/>
      <c r="E8" s="611"/>
      <c r="F8" s="611"/>
      <c r="G8" s="140"/>
    </row>
    <row r="9" spans="2:10" s="138" customFormat="1" x14ac:dyDescent="0.25">
      <c r="B9" s="139" t="s">
        <v>201</v>
      </c>
      <c r="C9" s="611" t="s">
        <v>1231</v>
      </c>
      <c r="D9" s="611"/>
      <c r="E9" s="611"/>
      <c r="F9" s="611"/>
      <c r="G9" s="140"/>
    </row>
    <row r="10" spans="2:10" s="138" customFormat="1" x14ac:dyDescent="0.25">
      <c r="B10" s="139" t="s">
        <v>606</v>
      </c>
      <c r="C10" s="611" t="s">
        <v>607</v>
      </c>
      <c r="D10" s="611"/>
      <c r="E10" s="611"/>
      <c r="F10" s="611"/>
      <c r="G10" s="140"/>
    </row>
    <row r="11" spans="2:10" s="138" customFormat="1" x14ac:dyDescent="0.25">
      <c r="B11" s="139" t="s">
        <v>204</v>
      </c>
      <c r="C11" s="611">
        <v>5</v>
      </c>
      <c r="D11" s="611"/>
      <c r="E11" s="611"/>
      <c r="F11" s="611"/>
      <c r="G11" s="140"/>
    </row>
    <row r="12" spans="2:10" s="138" customFormat="1" x14ac:dyDescent="0.25"/>
    <row r="13" spans="2:10" s="138" customFormat="1" x14ac:dyDescent="0.25">
      <c r="B13" s="613" t="s">
        <v>206</v>
      </c>
      <c r="C13" s="613"/>
      <c r="D13" s="613"/>
      <c r="E13" s="613"/>
      <c r="F13" s="613"/>
      <c r="G13" s="143"/>
    </row>
    <row r="14" spans="2:10" s="138" customFormat="1" x14ac:dyDescent="0.25">
      <c r="B14" s="614" t="s">
        <v>207</v>
      </c>
      <c r="C14" s="615"/>
      <c r="D14" s="613" t="s">
        <v>208</v>
      </c>
      <c r="E14" s="613"/>
      <c r="F14" s="613"/>
      <c r="G14" s="143"/>
    </row>
    <row r="15" spans="2:10" s="138" customFormat="1" x14ac:dyDescent="0.25">
      <c r="B15" s="616"/>
      <c r="C15" s="617"/>
      <c r="D15" s="611"/>
      <c r="E15" s="611"/>
      <c r="F15" s="611"/>
      <c r="G15" s="140"/>
    </row>
    <row r="16" spans="2:10" s="138" customFormat="1" x14ac:dyDescent="0.25"/>
    <row r="17" spans="2:7" s="138" customFormat="1" x14ac:dyDescent="0.25">
      <c r="B17" s="144" t="s">
        <v>210</v>
      </c>
      <c r="C17" s="144" t="s">
        <v>211</v>
      </c>
      <c r="D17" s="144" t="s">
        <v>212</v>
      </c>
      <c r="E17" s="144" t="s">
        <v>213</v>
      </c>
      <c r="F17" s="144" t="s">
        <v>214</v>
      </c>
      <c r="G17" s="143"/>
    </row>
    <row r="18" spans="2:7" s="138" customFormat="1" x14ac:dyDescent="0.25">
      <c r="B18" s="145" t="s">
        <v>1279</v>
      </c>
      <c r="C18" s="46">
        <v>21</v>
      </c>
      <c r="D18" s="46">
        <v>2</v>
      </c>
      <c r="E18" s="46">
        <v>2</v>
      </c>
      <c r="F18" s="46" t="s">
        <v>1270</v>
      </c>
      <c r="G18" s="142"/>
    </row>
    <row r="19" spans="2:7" s="138" customFormat="1" x14ac:dyDescent="0.25">
      <c r="B19" s="146"/>
      <c r="C19" s="142"/>
      <c r="D19" s="142"/>
      <c r="E19" s="142"/>
      <c r="F19" s="142"/>
      <c r="G19" s="142"/>
    </row>
    <row r="20" spans="2:7" s="138" customFormat="1" x14ac:dyDescent="0.25">
      <c r="B20" s="608" t="s">
        <v>219</v>
      </c>
      <c r="C20" s="609"/>
      <c r="D20" s="609"/>
      <c r="E20" s="609"/>
      <c r="F20" s="610"/>
      <c r="G20" s="147"/>
    </row>
    <row r="21" spans="2:7" s="138" customFormat="1" x14ac:dyDescent="0.25">
      <c r="B21" s="647" t="s">
        <v>1245</v>
      </c>
      <c r="C21" s="657"/>
      <c r="D21" s="657"/>
      <c r="E21" s="657"/>
      <c r="F21" s="658"/>
      <c r="G21" s="148"/>
    </row>
    <row r="22" spans="2:7" s="138" customFormat="1" x14ac:dyDescent="0.25">
      <c r="B22" s="608" t="s">
        <v>220</v>
      </c>
      <c r="C22" s="609"/>
      <c r="D22" s="609"/>
      <c r="E22" s="609"/>
      <c r="F22" s="610"/>
      <c r="G22" s="147"/>
    </row>
    <row r="23" spans="2:7" s="138" customFormat="1" x14ac:dyDescent="0.25">
      <c r="B23" s="1024" t="s">
        <v>1278</v>
      </c>
      <c r="C23" s="622"/>
      <c r="D23" s="622"/>
      <c r="E23" s="622"/>
      <c r="F23" s="623"/>
      <c r="G23" s="149"/>
    </row>
    <row r="24" spans="2:7" s="138" customFormat="1" x14ac:dyDescent="0.25"/>
    <row r="25" spans="2:7" s="138" customFormat="1" x14ac:dyDescent="0.25">
      <c r="B25" s="608" t="s">
        <v>221</v>
      </c>
      <c r="C25" s="609"/>
      <c r="D25" s="609"/>
      <c r="E25" s="609"/>
      <c r="F25" s="610"/>
      <c r="G25" s="147"/>
    </row>
    <row r="26" spans="2:7" s="138" customFormat="1" x14ac:dyDescent="0.25">
      <c r="B26" s="621" t="s">
        <v>1246</v>
      </c>
      <c r="C26" s="657"/>
      <c r="D26" s="657"/>
      <c r="E26" s="657"/>
      <c r="F26" s="658"/>
      <c r="G26" s="148"/>
    </row>
    <row r="27" spans="2:7" s="138" customFormat="1" x14ac:dyDescent="0.25"/>
    <row r="28" spans="2:7" s="138" customFormat="1" x14ac:dyDescent="0.25">
      <c r="B28" s="608" t="s">
        <v>222</v>
      </c>
      <c r="C28" s="609"/>
      <c r="D28" s="609"/>
      <c r="E28" s="609"/>
      <c r="F28" s="610"/>
      <c r="G28" s="143"/>
    </row>
    <row r="29" spans="2:7" s="138" customFormat="1" x14ac:dyDescent="0.25">
      <c r="B29" s="651" t="s">
        <v>1237</v>
      </c>
      <c r="C29" s="652"/>
      <c r="D29" s="652"/>
      <c r="E29" s="652"/>
      <c r="F29" s="653"/>
      <c r="G29" s="150"/>
    </row>
    <row r="30" spans="2:7" s="138" customFormat="1" x14ac:dyDescent="0.25">
      <c r="B30" s="651" t="s">
        <v>1236</v>
      </c>
      <c r="C30" s="652"/>
      <c r="D30" s="652"/>
      <c r="E30" s="652"/>
      <c r="F30" s="653"/>
      <c r="G30" s="150"/>
    </row>
    <row r="31" spans="2:7" s="138" customFormat="1" x14ac:dyDescent="0.25">
      <c r="B31" s="651" t="s">
        <v>1247</v>
      </c>
      <c r="C31" s="652"/>
      <c r="D31" s="652"/>
      <c r="E31" s="652"/>
      <c r="F31" s="653"/>
      <c r="G31" s="150"/>
    </row>
    <row r="32" spans="2:7" s="138" customFormat="1" x14ac:dyDescent="0.25">
      <c r="G32" s="150"/>
    </row>
    <row r="33" spans="2:7" s="138" customFormat="1" x14ac:dyDescent="0.25">
      <c r="B33" s="651"/>
      <c r="C33" s="652"/>
      <c r="D33" s="652"/>
      <c r="E33" s="652"/>
      <c r="F33" s="653"/>
      <c r="G33" s="150"/>
    </row>
    <row r="34" spans="2:7" s="138" customFormat="1" x14ac:dyDescent="0.25">
      <c r="B34" s="651"/>
      <c r="C34" s="652"/>
      <c r="D34" s="652"/>
      <c r="E34" s="652"/>
      <c r="F34" s="653"/>
      <c r="G34" s="150"/>
    </row>
    <row r="35" spans="2:7" s="138" customFormat="1" x14ac:dyDescent="0.25">
      <c r="B35" s="651"/>
      <c r="C35" s="652"/>
      <c r="D35" s="652"/>
      <c r="E35" s="652"/>
      <c r="F35" s="653"/>
      <c r="G35" s="150"/>
    </row>
    <row r="36" spans="2:7" s="138" customFormat="1" x14ac:dyDescent="0.25">
      <c r="B36" s="651"/>
      <c r="C36" s="652"/>
      <c r="D36" s="652"/>
      <c r="E36" s="652"/>
      <c r="F36" s="653"/>
      <c r="G36" s="150"/>
    </row>
    <row r="37" spans="2:7" s="138" customFormat="1" x14ac:dyDescent="0.25">
      <c r="B37" s="654"/>
      <c r="C37" s="655"/>
      <c r="D37" s="655"/>
      <c r="E37" s="655"/>
      <c r="F37" s="656"/>
      <c r="G37" s="149"/>
    </row>
    <row r="38" spans="2:7" s="138" customFormat="1" x14ac:dyDescent="0.25"/>
    <row r="39" spans="2:7" s="138" customFormat="1" x14ac:dyDescent="0.25">
      <c r="B39" s="608" t="s">
        <v>226</v>
      </c>
      <c r="C39" s="609"/>
      <c r="D39" s="609"/>
      <c r="E39" s="609"/>
      <c r="F39" s="610"/>
      <c r="G39" s="147"/>
    </row>
    <row r="40" spans="2:7" s="138" customFormat="1" ht="276.60000000000002" customHeight="1" x14ac:dyDescent="0.25">
      <c r="B40" s="1028" t="s">
        <v>1239</v>
      </c>
      <c r="C40" s="1029"/>
      <c r="D40" s="1029"/>
      <c r="E40" s="1029"/>
      <c r="F40" s="1030"/>
      <c r="G40" s="149"/>
    </row>
    <row r="41" spans="2:7" s="138" customFormat="1" ht="249" customHeight="1" x14ac:dyDescent="0.25">
      <c r="B41" s="1025" t="s">
        <v>1248</v>
      </c>
      <c r="C41" s="1026"/>
      <c r="D41" s="1026"/>
      <c r="E41" s="1026"/>
      <c r="F41" s="1027"/>
      <c r="G41" s="149"/>
    </row>
    <row r="42" spans="2:7" s="138" customFormat="1" x14ac:dyDescent="0.25">
      <c r="B42" s="151"/>
      <c r="C42" s="152"/>
      <c r="D42" s="152"/>
      <c r="E42" s="152"/>
      <c r="F42" s="152"/>
      <c r="G42" s="152"/>
    </row>
    <row r="43" spans="2:7" s="138" customFormat="1" x14ac:dyDescent="0.25">
      <c r="B43" s="608" t="s">
        <v>227</v>
      </c>
      <c r="C43" s="609"/>
      <c r="D43" s="609"/>
      <c r="E43" s="609"/>
      <c r="F43" s="610"/>
      <c r="G43" s="147"/>
    </row>
    <row r="44" spans="2:7" s="138" customFormat="1" x14ac:dyDescent="0.25">
      <c r="B44" s="153" t="s">
        <v>609</v>
      </c>
      <c r="C44" s="627"/>
      <c r="D44" s="627"/>
      <c r="E44" s="627"/>
      <c r="F44" s="627"/>
      <c r="G44" s="149"/>
    </row>
    <row r="45" spans="2:7" s="138" customFormat="1" x14ac:dyDescent="0.25">
      <c r="B45" s="153" t="s">
        <v>611</v>
      </c>
      <c r="C45" s="627"/>
      <c r="D45" s="627"/>
      <c r="E45" s="627"/>
      <c r="F45" s="627"/>
      <c r="G45" s="149"/>
    </row>
    <row r="46" spans="2:7" s="138" customFormat="1" x14ac:dyDescent="0.25">
      <c r="B46" s="153" t="s">
        <v>613</v>
      </c>
      <c r="C46" s="621" t="s">
        <v>1249</v>
      </c>
      <c r="D46" s="622"/>
      <c r="E46" s="622"/>
      <c r="F46" s="623"/>
      <c r="G46" s="149"/>
    </row>
    <row r="47" spans="2:7" s="138" customFormat="1" x14ac:dyDescent="0.25">
      <c r="B47" s="153"/>
      <c r="C47" s="627"/>
      <c r="D47" s="627"/>
      <c r="E47" s="627"/>
      <c r="F47" s="627"/>
      <c r="G47" s="149"/>
    </row>
    <row r="48" spans="2:7" s="138" customFormat="1" x14ac:dyDescent="0.25">
      <c r="B48" s="153"/>
      <c r="C48" s="627"/>
      <c r="D48" s="627"/>
      <c r="E48" s="627"/>
      <c r="F48" s="627"/>
      <c r="G48" s="149"/>
    </row>
    <row r="49" spans="1:7" s="138" customFormat="1" x14ac:dyDescent="0.25"/>
    <row r="50" spans="1:7" s="138" customFormat="1" x14ac:dyDescent="0.25">
      <c r="B50" s="608" t="s">
        <v>232</v>
      </c>
      <c r="C50" s="609"/>
      <c r="D50" s="609"/>
      <c r="E50" s="609"/>
      <c r="F50" s="610"/>
      <c r="G50" s="147"/>
    </row>
    <row r="51" spans="1:7" s="138" customFormat="1" x14ac:dyDescent="0.25">
      <c r="B51" s="621"/>
      <c r="C51" s="622"/>
      <c r="D51" s="622"/>
      <c r="E51" s="622"/>
      <c r="F51" s="623"/>
      <c r="G51" s="152"/>
    </row>
    <row r="52" spans="1:7" s="138" customFormat="1" x14ac:dyDescent="0.25"/>
    <row r="53" spans="1:7" s="138" customFormat="1" x14ac:dyDescent="0.25">
      <c r="B53" s="608" t="s">
        <v>614</v>
      </c>
      <c r="C53" s="609"/>
      <c r="D53" s="609"/>
      <c r="E53" s="609"/>
      <c r="F53" s="610"/>
      <c r="G53" s="147"/>
    </row>
    <row r="54" spans="1:7" s="138" customFormat="1" x14ac:dyDescent="0.25">
      <c r="B54" s="154" t="s">
        <v>615</v>
      </c>
      <c r="C54" s="154" t="s">
        <v>616</v>
      </c>
      <c r="D54" s="608" t="s">
        <v>617</v>
      </c>
      <c r="E54" s="609"/>
      <c r="F54" s="610"/>
      <c r="G54" s="147"/>
    </row>
    <row r="55" spans="1:7" s="138" customFormat="1" x14ac:dyDescent="0.25">
      <c r="A55" s="155"/>
      <c r="B55" s="153"/>
      <c r="C55" s="153"/>
      <c r="D55" s="650"/>
      <c r="E55" s="630"/>
      <c r="F55" s="631"/>
      <c r="G55" s="156"/>
    </row>
    <row r="56" spans="1:7" s="138" customFormat="1" x14ac:dyDescent="0.25">
      <c r="B56" s="157"/>
      <c r="C56" s="157"/>
      <c r="D56" s="629"/>
      <c r="E56" s="630"/>
      <c r="F56" s="631"/>
      <c r="G56" s="156"/>
    </row>
    <row r="57" spans="1:7" s="138" customFormat="1" x14ac:dyDescent="0.25">
      <c r="B57" s="158"/>
      <c r="C57" s="158"/>
      <c r="D57" s="629"/>
      <c r="E57" s="630"/>
      <c r="F57" s="631"/>
      <c r="G57" s="156"/>
    </row>
    <row r="58" spans="1:7" s="138" customFormat="1" x14ac:dyDescent="0.25"/>
    <row r="59" spans="1:7" s="138" customFormat="1" x14ac:dyDescent="0.25">
      <c r="B59" s="608" t="s">
        <v>234</v>
      </c>
      <c r="C59" s="609"/>
      <c r="D59" s="609"/>
      <c r="E59" s="609"/>
      <c r="F59" s="610"/>
      <c r="G59" s="147"/>
    </row>
    <row r="60" spans="1:7" s="138" customFormat="1" x14ac:dyDescent="0.25">
      <c r="B60" s="618"/>
      <c r="C60" s="619"/>
      <c r="D60" s="619"/>
      <c r="E60" s="619"/>
      <c r="F60" s="620"/>
      <c r="G60" s="152"/>
    </row>
    <row r="61" spans="1:7" s="138" customFormat="1" x14ac:dyDescent="0.25"/>
    <row r="62" spans="1:7" s="138" customFormat="1" x14ac:dyDescent="0.25">
      <c r="B62" s="608" t="s">
        <v>235</v>
      </c>
      <c r="C62" s="609"/>
      <c r="D62" s="609"/>
      <c r="E62" s="609"/>
      <c r="F62" s="610"/>
      <c r="G62" s="147"/>
    </row>
    <row r="63" spans="1:7" x14ac:dyDescent="0.25">
      <c r="B63" s="618"/>
      <c r="C63" s="619"/>
      <c r="D63" s="619"/>
      <c r="E63" s="619"/>
      <c r="F63" s="620"/>
      <c r="G63" s="152"/>
    </row>
  </sheetData>
  <mergeCells count="48">
    <mergeCell ref="B1:D1"/>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1:F41"/>
    <mergeCell ref="B28:F28"/>
    <mergeCell ref="B29:F29"/>
    <mergeCell ref="B30:F30"/>
    <mergeCell ref="B31:F31"/>
    <mergeCell ref="B33:F33"/>
    <mergeCell ref="B34:F34"/>
    <mergeCell ref="B35:F35"/>
    <mergeCell ref="B36:F36"/>
    <mergeCell ref="B37:F37"/>
    <mergeCell ref="B39:F39"/>
    <mergeCell ref="B40:F40"/>
    <mergeCell ref="D56:F56"/>
    <mergeCell ref="B43:F43"/>
    <mergeCell ref="C44:F44"/>
    <mergeCell ref="C45:F45"/>
    <mergeCell ref="C46:F46"/>
    <mergeCell ref="C47:F47"/>
    <mergeCell ref="C48:F48"/>
    <mergeCell ref="B50:F50"/>
    <mergeCell ref="B51:F51"/>
    <mergeCell ref="B53:F53"/>
    <mergeCell ref="D54:F54"/>
    <mergeCell ref="D55:F55"/>
    <mergeCell ref="D57:F57"/>
    <mergeCell ref="B59:F59"/>
    <mergeCell ref="B60:F60"/>
    <mergeCell ref="B62:F62"/>
    <mergeCell ref="B63:F63"/>
  </mergeCells>
  <dataValidations count="2">
    <dataValidation type="list" allowBlank="1" showInputMessage="1" showErrorMessage="1" sqref="C55:C57 IY55:IY57 SU55:SU57 ACQ55:ACQ57 AMM55:AMM57 AWI55:AWI57 BGE55:BGE57 BQA55:BQA57 BZW55:BZW57 CJS55:CJS57 CTO55:CTO57 DDK55:DDK57 DNG55:DNG57 DXC55:DXC57 EGY55:EGY57 EQU55:EQU57 FAQ55:FAQ57 FKM55:FKM57 FUI55:FUI57 GEE55:GEE57 GOA55:GOA57 GXW55:GXW57 HHS55:HHS57 HRO55:HRO57 IBK55:IBK57 ILG55:ILG57 IVC55:IVC57 JEY55:JEY57 JOU55:JOU57 JYQ55:JYQ57 KIM55:KIM57 KSI55:KSI57 LCE55:LCE57 LMA55:LMA57 LVW55:LVW57 MFS55:MFS57 MPO55:MPO57 MZK55:MZK57 NJG55:NJG57 NTC55:NTC57 OCY55:OCY57 OMU55:OMU57 OWQ55:OWQ57 PGM55:PGM57 PQI55:PQI57 QAE55:QAE57 QKA55:QKA57 QTW55:QTW57 RDS55:RDS57 RNO55:RNO57 RXK55:RXK57 SHG55:SHG57 SRC55:SRC57 TAY55:TAY57 TKU55:TKU57 TUQ55:TUQ57 UEM55:UEM57 UOI55:UOI57 UYE55:UYE57 VIA55:VIA57 VRW55:VRW57 WBS55:WBS57 WLO55:WLO57 WVK55:WVK57 C65591:C65593 IY65591:IY65593 SU65591:SU65593 ACQ65591:ACQ65593 AMM65591:AMM65593 AWI65591:AWI65593 BGE65591:BGE65593 BQA65591:BQA65593 BZW65591:BZW65593 CJS65591:CJS65593 CTO65591:CTO65593 DDK65591:DDK65593 DNG65591:DNG65593 DXC65591:DXC65593 EGY65591:EGY65593 EQU65591:EQU65593 FAQ65591:FAQ65593 FKM65591:FKM65593 FUI65591:FUI65593 GEE65591:GEE65593 GOA65591:GOA65593 GXW65591:GXW65593 HHS65591:HHS65593 HRO65591:HRO65593 IBK65591:IBK65593 ILG65591:ILG65593 IVC65591:IVC65593 JEY65591:JEY65593 JOU65591:JOU65593 JYQ65591:JYQ65593 KIM65591:KIM65593 KSI65591:KSI65593 LCE65591:LCE65593 LMA65591:LMA65593 LVW65591:LVW65593 MFS65591:MFS65593 MPO65591:MPO65593 MZK65591:MZK65593 NJG65591:NJG65593 NTC65591:NTC65593 OCY65591:OCY65593 OMU65591:OMU65593 OWQ65591:OWQ65593 PGM65591:PGM65593 PQI65591:PQI65593 QAE65591:QAE65593 QKA65591:QKA65593 QTW65591:QTW65593 RDS65591:RDS65593 RNO65591:RNO65593 RXK65591:RXK65593 SHG65591:SHG65593 SRC65591:SRC65593 TAY65591:TAY65593 TKU65591:TKU65593 TUQ65591:TUQ65593 UEM65591:UEM65593 UOI65591:UOI65593 UYE65591:UYE65593 VIA65591:VIA65593 VRW65591:VRW65593 WBS65591:WBS65593 WLO65591:WLO65593 WVK65591:WVK65593 C131127:C131129 IY131127:IY131129 SU131127:SU131129 ACQ131127:ACQ131129 AMM131127:AMM131129 AWI131127:AWI131129 BGE131127:BGE131129 BQA131127:BQA131129 BZW131127:BZW131129 CJS131127:CJS131129 CTO131127:CTO131129 DDK131127:DDK131129 DNG131127:DNG131129 DXC131127:DXC131129 EGY131127:EGY131129 EQU131127:EQU131129 FAQ131127:FAQ131129 FKM131127:FKM131129 FUI131127:FUI131129 GEE131127:GEE131129 GOA131127:GOA131129 GXW131127:GXW131129 HHS131127:HHS131129 HRO131127:HRO131129 IBK131127:IBK131129 ILG131127:ILG131129 IVC131127:IVC131129 JEY131127:JEY131129 JOU131127:JOU131129 JYQ131127:JYQ131129 KIM131127:KIM131129 KSI131127:KSI131129 LCE131127:LCE131129 LMA131127:LMA131129 LVW131127:LVW131129 MFS131127:MFS131129 MPO131127:MPO131129 MZK131127:MZK131129 NJG131127:NJG131129 NTC131127:NTC131129 OCY131127:OCY131129 OMU131127:OMU131129 OWQ131127:OWQ131129 PGM131127:PGM131129 PQI131127:PQI131129 QAE131127:QAE131129 QKA131127:QKA131129 QTW131127:QTW131129 RDS131127:RDS131129 RNO131127:RNO131129 RXK131127:RXK131129 SHG131127:SHG131129 SRC131127:SRC131129 TAY131127:TAY131129 TKU131127:TKU131129 TUQ131127:TUQ131129 UEM131127:UEM131129 UOI131127:UOI131129 UYE131127:UYE131129 VIA131127:VIA131129 VRW131127:VRW131129 WBS131127:WBS131129 WLO131127:WLO131129 WVK131127:WVK131129 C196663:C196665 IY196663:IY196665 SU196663:SU196665 ACQ196663:ACQ196665 AMM196663:AMM196665 AWI196663:AWI196665 BGE196663:BGE196665 BQA196663:BQA196665 BZW196663:BZW196665 CJS196663:CJS196665 CTO196663:CTO196665 DDK196663:DDK196665 DNG196663:DNG196665 DXC196663:DXC196665 EGY196663:EGY196665 EQU196663:EQU196665 FAQ196663:FAQ196665 FKM196663:FKM196665 FUI196663:FUI196665 GEE196663:GEE196665 GOA196663:GOA196665 GXW196663:GXW196665 HHS196663:HHS196665 HRO196663:HRO196665 IBK196663:IBK196665 ILG196663:ILG196665 IVC196663:IVC196665 JEY196663:JEY196665 JOU196663:JOU196665 JYQ196663:JYQ196665 KIM196663:KIM196665 KSI196663:KSI196665 LCE196663:LCE196665 LMA196663:LMA196665 LVW196663:LVW196665 MFS196663:MFS196665 MPO196663:MPO196665 MZK196663:MZK196665 NJG196663:NJG196665 NTC196663:NTC196665 OCY196663:OCY196665 OMU196663:OMU196665 OWQ196663:OWQ196665 PGM196663:PGM196665 PQI196663:PQI196665 QAE196663:QAE196665 QKA196663:QKA196665 QTW196663:QTW196665 RDS196663:RDS196665 RNO196663:RNO196665 RXK196663:RXK196665 SHG196663:SHG196665 SRC196663:SRC196665 TAY196663:TAY196665 TKU196663:TKU196665 TUQ196663:TUQ196665 UEM196663:UEM196665 UOI196663:UOI196665 UYE196663:UYE196665 VIA196663:VIA196665 VRW196663:VRW196665 WBS196663:WBS196665 WLO196663:WLO196665 WVK196663:WVK196665 C262199:C262201 IY262199:IY262201 SU262199:SU262201 ACQ262199:ACQ262201 AMM262199:AMM262201 AWI262199:AWI262201 BGE262199:BGE262201 BQA262199:BQA262201 BZW262199:BZW262201 CJS262199:CJS262201 CTO262199:CTO262201 DDK262199:DDK262201 DNG262199:DNG262201 DXC262199:DXC262201 EGY262199:EGY262201 EQU262199:EQU262201 FAQ262199:FAQ262201 FKM262199:FKM262201 FUI262199:FUI262201 GEE262199:GEE262201 GOA262199:GOA262201 GXW262199:GXW262201 HHS262199:HHS262201 HRO262199:HRO262201 IBK262199:IBK262201 ILG262199:ILG262201 IVC262199:IVC262201 JEY262199:JEY262201 JOU262199:JOU262201 JYQ262199:JYQ262201 KIM262199:KIM262201 KSI262199:KSI262201 LCE262199:LCE262201 LMA262199:LMA262201 LVW262199:LVW262201 MFS262199:MFS262201 MPO262199:MPO262201 MZK262199:MZK262201 NJG262199:NJG262201 NTC262199:NTC262201 OCY262199:OCY262201 OMU262199:OMU262201 OWQ262199:OWQ262201 PGM262199:PGM262201 PQI262199:PQI262201 QAE262199:QAE262201 QKA262199:QKA262201 QTW262199:QTW262201 RDS262199:RDS262201 RNO262199:RNO262201 RXK262199:RXK262201 SHG262199:SHG262201 SRC262199:SRC262201 TAY262199:TAY262201 TKU262199:TKU262201 TUQ262199:TUQ262201 UEM262199:UEM262201 UOI262199:UOI262201 UYE262199:UYE262201 VIA262199:VIA262201 VRW262199:VRW262201 WBS262199:WBS262201 WLO262199:WLO262201 WVK262199:WVK262201 C327735:C327737 IY327735:IY327737 SU327735:SU327737 ACQ327735:ACQ327737 AMM327735:AMM327737 AWI327735:AWI327737 BGE327735:BGE327737 BQA327735:BQA327737 BZW327735:BZW327737 CJS327735:CJS327737 CTO327735:CTO327737 DDK327735:DDK327737 DNG327735:DNG327737 DXC327735:DXC327737 EGY327735:EGY327737 EQU327735:EQU327737 FAQ327735:FAQ327737 FKM327735:FKM327737 FUI327735:FUI327737 GEE327735:GEE327737 GOA327735:GOA327737 GXW327735:GXW327737 HHS327735:HHS327737 HRO327735:HRO327737 IBK327735:IBK327737 ILG327735:ILG327737 IVC327735:IVC327737 JEY327735:JEY327737 JOU327735:JOU327737 JYQ327735:JYQ327737 KIM327735:KIM327737 KSI327735:KSI327737 LCE327735:LCE327737 LMA327735:LMA327737 LVW327735:LVW327737 MFS327735:MFS327737 MPO327735:MPO327737 MZK327735:MZK327737 NJG327735:NJG327737 NTC327735:NTC327737 OCY327735:OCY327737 OMU327735:OMU327737 OWQ327735:OWQ327737 PGM327735:PGM327737 PQI327735:PQI327737 QAE327735:QAE327737 QKA327735:QKA327737 QTW327735:QTW327737 RDS327735:RDS327737 RNO327735:RNO327737 RXK327735:RXK327737 SHG327735:SHG327737 SRC327735:SRC327737 TAY327735:TAY327737 TKU327735:TKU327737 TUQ327735:TUQ327737 UEM327735:UEM327737 UOI327735:UOI327737 UYE327735:UYE327737 VIA327735:VIA327737 VRW327735:VRW327737 WBS327735:WBS327737 WLO327735:WLO327737 WVK327735:WVK327737 C393271:C393273 IY393271:IY393273 SU393271:SU393273 ACQ393271:ACQ393273 AMM393271:AMM393273 AWI393271:AWI393273 BGE393271:BGE393273 BQA393271:BQA393273 BZW393271:BZW393273 CJS393271:CJS393273 CTO393271:CTO393273 DDK393271:DDK393273 DNG393271:DNG393273 DXC393271:DXC393273 EGY393271:EGY393273 EQU393271:EQU393273 FAQ393271:FAQ393273 FKM393271:FKM393273 FUI393271:FUI393273 GEE393271:GEE393273 GOA393271:GOA393273 GXW393271:GXW393273 HHS393271:HHS393273 HRO393271:HRO393273 IBK393271:IBK393273 ILG393271:ILG393273 IVC393271:IVC393273 JEY393271:JEY393273 JOU393271:JOU393273 JYQ393271:JYQ393273 KIM393271:KIM393273 KSI393271:KSI393273 LCE393271:LCE393273 LMA393271:LMA393273 LVW393271:LVW393273 MFS393271:MFS393273 MPO393271:MPO393273 MZK393271:MZK393273 NJG393271:NJG393273 NTC393271:NTC393273 OCY393271:OCY393273 OMU393271:OMU393273 OWQ393271:OWQ393273 PGM393271:PGM393273 PQI393271:PQI393273 QAE393271:QAE393273 QKA393271:QKA393273 QTW393271:QTW393273 RDS393271:RDS393273 RNO393271:RNO393273 RXK393271:RXK393273 SHG393271:SHG393273 SRC393271:SRC393273 TAY393271:TAY393273 TKU393271:TKU393273 TUQ393271:TUQ393273 UEM393271:UEM393273 UOI393271:UOI393273 UYE393271:UYE393273 VIA393271:VIA393273 VRW393271:VRW393273 WBS393271:WBS393273 WLO393271:WLO393273 WVK393271:WVK393273 C458807:C458809 IY458807:IY458809 SU458807:SU458809 ACQ458807:ACQ458809 AMM458807:AMM458809 AWI458807:AWI458809 BGE458807:BGE458809 BQA458807:BQA458809 BZW458807:BZW458809 CJS458807:CJS458809 CTO458807:CTO458809 DDK458807:DDK458809 DNG458807:DNG458809 DXC458807:DXC458809 EGY458807:EGY458809 EQU458807:EQU458809 FAQ458807:FAQ458809 FKM458807:FKM458809 FUI458807:FUI458809 GEE458807:GEE458809 GOA458807:GOA458809 GXW458807:GXW458809 HHS458807:HHS458809 HRO458807:HRO458809 IBK458807:IBK458809 ILG458807:ILG458809 IVC458807:IVC458809 JEY458807:JEY458809 JOU458807:JOU458809 JYQ458807:JYQ458809 KIM458807:KIM458809 KSI458807:KSI458809 LCE458807:LCE458809 LMA458807:LMA458809 LVW458807:LVW458809 MFS458807:MFS458809 MPO458807:MPO458809 MZK458807:MZK458809 NJG458807:NJG458809 NTC458807:NTC458809 OCY458807:OCY458809 OMU458807:OMU458809 OWQ458807:OWQ458809 PGM458807:PGM458809 PQI458807:PQI458809 QAE458807:QAE458809 QKA458807:QKA458809 QTW458807:QTW458809 RDS458807:RDS458809 RNO458807:RNO458809 RXK458807:RXK458809 SHG458807:SHG458809 SRC458807:SRC458809 TAY458807:TAY458809 TKU458807:TKU458809 TUQ458807:TUQ458809 UEM458807:UEM458809 UOI458807:UOI458809 UYE458807:UYE458809 VIA458807:VIA458809 VRW458807:VRW458809 WBS458807:WBS458809 WLO458807:WLO458809 WVK458807:WVK458809 C524343:C524345 IY524343:IY524345 SU524343:SU524345 ACQ524343:ACQ524345 AMM524343:AMM524345 AWI524343:AWI524345 BGE524343:BGE524345 BQA524343:BQA524345 BZW524343:BZW524345 CJS524343:CJS524345 CTO524343:CTO524345 DDK524343:DDK524345 DNG524343:DNG524345 DXC524343:DXC524345 EGY524343:EGY524345 EQU524343:EQU524345 FAQ524343:FAQ524345 FKM524343:FKM524345 FUI524343:FUI524345 GEE524343:GEE524345 GOA524343:GOA524345 GXW524343:GXW524345 HHS524343:HHS524345 HRO524343:HRO524345 IBK524343:IBK524345 ILG524343:ILG524345 IVC524343:IVC524345 JEY524343:JEY524345 JOU524343:JOU524345 JYQ524343:JYQ524345 KIM524343:KIM524345 KSI524343:KSI524345 LCE524343:LCE524345 LMA524343:LMA524345 LVW524343:LVW524345 MFS524343:MFS524345 MPO524343:MPO524345 MZK524343:MZK524345 NJG524343:NJG524345 NTC524343:NTC524345 OCY524343:OCY524345 OMU524343:OMU524345 OWQ524343:OWQ524345 PGM524343:PGM524345 PQI524343:PQI524345 QAE524343:QAE524345 QKA524343:QKA524345 QTW524343:QTW524345 RDS524343:RDS524345 RNO524343:RNO524345 RXK524343:RXK524345 SHG524343:SHG524345 SRC524343:SRC524345 TAY524343:TAY524345 TKU524343:TKU524345 TUQ524343:TUQ524345 UEM524343:UEM524345 UOI524343:UOI524345 UYE524343:UYE524345 VIA524343:VIA524345 VRW524343:VRW524345 WBS524343:WBS524345 WLO524343:WLO524345 WVK524343:WVK524345 C589879:C589881 IY589879:IY589881 SU589879:SU589881 ACQ589879:ACQ589881 AMM589879:AMM589881 AWI589879:AWI589881 BGE589879:BGE589881 BQA589879:BQA589881 BZW589879:BZW589881 CJS589879:CJS589881 CTO589879:CTO589881 DDK589879:DDK589881 DNG589879:DNG589881 DXC589879:DXC589881 EGY589879:EGY589881 EQU589879:EQU589881 FAQ589879:FAQ589881 FKM589879:FKM589881 FUI589879:FUI589881 GEE589879:GEE589881 GOA589879:GOA589881 GXW589879:GXW589881 HHS589879:HHS589881 HRO589879:HRO589881 IBK589879:IBK589881 ILG589879:ILG589881 IVC589879:IVC589881 JEY589879:JEY589881 JOU589879:JOU589881 JYQ589879:JYQ589881 KIM589879:KIM589881 KSI589879:KSI589881 LCE589879:LCE589881 LMA589879:LMA589881 LVW589879:LVW589881 MFS589879:MFS589881 MPO589879:MPO589881 MZK589879:MZK589881 NJG589879:NJG589881 NTC589879:NTC589881 OCY589879:OCY589881 OMU589879:OMU589881 OWQ589879:OWQ589881 PGM589879:PGM589881 PQI589879:PQI589881 QAE589879:QAE589881 QKA589879:QKA589881 QTW589879:QTW589881 RDS589879:RDS589881 RNO589879:RNO589881 RXK589879:RXK589881 SHG589879:SHG589881 SRC589879:SRC589881 TAY589879:TAY589881 TKU589879:TKU589881 TUQ589879:TUQ589881 UEM589879:UEM589881 UOI589879:UOI589881 UYE589879:UYE589881 VIA589879:VIA589881 VRW589879:VRW589881 WBS589879:WBS589881 WLO589879:WLO589881 WVK589879:WVK589881 C655415:C655417 IY655415:IY655417 SU655415:SU655417 ACQ655415:ACQ655417 AMM655415:AMM655417 AWI655415:AWI655417 BGE655415:BGE655417 BQA655415:BQA655417 BZW655415:BZW655417 CJS655415:CJS655417 CTO655415:CTO655417 DDK655415:DDK655417 DNG655415:DNG655417 DXC655415:DXC655417 EGY655415:EGY655417 EQU655415:EQU655417 FAQ655415:FAQ655417 FKM655415:FKM655417 FUI655415:FUI655417 GEE655415:GEE655417 GOA655415:GOA655417 GXW655415:GXW655417 HHS655415:HHS655417 HRO655415:HRO655417 IBK655415:IBK655417 ILG655415:ILG655417 IVC655415:IVC655417 JEY655415:JEY655417 JOU655415:JOU655417 JYQ655415:JYQ655417 KIM655415:KIM655417 KSI655415:KSI655417 LCE655415:LCE655417 LMA655415:LMA655417 LVW655415:LVW655417 MFS655415:MFS655417 MPO655415:MPO655417 MZK655415:MZK655417 NJG655415:NJG655417 NTC655415:NTC655417 OCY655415:OCY655417 OMU655415:OMU655417 OWQ655415:OWQ655417 PGM655415:PGM655417 PQI655415:PQI655417 QAE655415:QAE655417 QKA655415:QKA655417 QTW655415:QTW655417 RDS655415:RDS655417 RNO655415:RNO655417 RXK655415:RXK655417 SHG655415:SHG655417 SRC655415:SRC655417 TAY655415:TAY655417 TKU655415:TKU655417 TUQ655415:TUQ655417 UEM655415:UEM655417 UOI655415:UOI655417 UYE655415:UYE655417 VIA655415:VIA655417 VRW655415:VRW655417 WBS655415:WBS655417 WLO655415:WLO655417 WVK655415:WVK655417 C720951:C720953 IY720951:IY720953 SU720951:SU720953 ACQ720951:ACQ720953 AMM720951:AMM720953 AWI720951:AWI720953 BGE720951:BGE720953 BQA720951:BQA720953 BZW720951:BZW720953 CJS720951:CJS720953 CTO720951:CTO720953 DDK720951:DDK720953 DNG720951:DNG720953 DXC720951:DXC720953 EGY720951:EGY720953 EQU720951:EQU720953 FAQ720951:FAQ720953 FKM720951:FKM720953 FUI720951:FUI720953 GEE720951:GEE720953 GOA720951:GOA720953 GXW720951:GXW720953 HHS720951:HHS720953 HRO720951:HRO720953 IBK720951:IBK720953 ILG720951:ILG720953 IVC720951:IVC720953 JEY720951:JEY720953 JOU720951:JOU720953 JYQ720951:JYQ720953 KIM720951:KIM720953 KSI720951:KSI720953 LCE720951:LCE720953 LMA720951:LMA720953 LVW720951:LVW720953 MFS720951:MFS720953 MPO720951:MPO720953 MZK720951:MZK720953 NJG720951:NJG720953 NTC720951:NTC720953 OCY720951:OCY720953 OMU720951:OMU720953 OWQ720951:OWQ720953 PGM720951:PGM720953 PQI720951:PQI720953 QAE720951:QAE720953 QKA720951:QKA720953 QTW720951:QTW720953 RDS720951:RDS720953 RNO720951:RNO720953 RXK720951:RXK720953 SHG720951:SHG720953 SRC720951:SRC720953 TAY720951:TAY720953 TKU720951:TKU720953 TUQ720951:TUQ720953 UEM720951:UEM720953 UOI720951:UOI720953 UYE720951:UYE720953 VIA720951:VIA720953 VRW720951:VRW720953 WBS720951:WBS720953 WLO720951:WLO720953 WVK720951:WVK720953 C786487:C786489 IY786487:IY786489 SU786487:SU786489 ACQ786487:ACQ786489 AMM786487:AMM786489 AWI786487:AWI786489 BGE786487:BGE786489 BQA786487:BQA786489 BZW786487:BZW786489 CJS786487:CJS786489 CTO786487:CTO786489 DDK786487:DDK786489 DNG786487:DNG786489 DXC786487:DXC786489 EGY786487:EGY786489 EQU786487:EQU786489 FAQ786487:FAQ786489 FKM786487:FKM786489 FUI786487:FUI786489 GEE786487:GEE786489 GOA786487:GOA786489 GXW786487:GXW786489 HHS786487:HHS786489 HRO786487:HRO786489 IBK786487:IBK786489 ILG786487:ILG786489 IVC786487:IVC786489 JEY786487:JEY786489 JOU786487:JOU786489 JYQ786487:JYQ786489 KIM786487:KIM786489 KSI786487:KSI786489 LCE786487:LCE786489 LMA786487:LMA786489 LVW786487:LVW786489 MFS786487:MFS786489 MPO786487:MPO786489 MZK786487:MZK786489 NJG786487:NJG786489 NTC786487:NTC786489 OCY786487:OCY786489 OMU786487:OMU786489 OWQ786487:OWQ786489 PGM786487:PGM786489 PQI786487:PQI786489 QAE786487:QAE786489 QKA786487:QKA786489 QTW786487:QTW786489 RDS786487:RDS786489 RNO786487:RNO786489 RXK786487:RXK786489 SHG786487:SHG786489 SRC786487:SRC786489 TAY786487:TAY786489 TKU786487:TKU786489 TUQ786487:TUQ786489 UEM786487:UEM786489 UOI786487:UOI786489 UYE786487:UYE786489 VIA786487:VIA786489 VRW786487:VRW786489 WBS786487:WBS786489 WLO786487:WLO786489 WVK786487:WVK786489 C852023:C852025 IY852023:IY852025 SU852023:SU852025 ACQ852023:ACQ852025 AMM852023:AMM852025 AWI852023:AWI852025 BGE852023:BGE852025 BQA852023:BQA852025 BZW852023:BZW852025 CJS852023:CJS852025 CTO852023:CTO852025 DDK852023:DDK852025 DNG852023:DNG852025 DXC852023:DXC852025 EGY852023:EGY852025 EQU852023:EQU852025 FAQ852023:FAQ852025 FKM852023:FKM852025 FUI852023:FUI852025 GEE852023:GEE852025 GOA852023:GOA852025 GXW852023:GXW852025 HHS852023:HHS852025 HRO852023:HRO852025 IBK852023:IBK852025 ILG852023:ILG852025 IVC852023:IVC852025 JEY852023:JEY852025 JOU852023:JOU852025 JYQ852023:JYQ852025 KIM852023:KIM852025 KSI852023:KSI852025 LCE852023:LCE852025 LMA852023:LMA852025 LVW852023:LVW852025 MFS852023:MFS852025 MPO852023:MPO852025 MZK852023:MZK852025 NJG852023:NJG852025 NTC852023:NTC852025 OCY852023:OCY852025 OMU852023:OMU852025 OWQ852023:OWQ852025 PGM852023:PGM852025 PQI852023:PQI852025 QAE852023:QAE852025 QKA852023:QKA852025 QTW852023:QTW852025 RDS852023:RDS852025 RNO852023:RNO852025 RXK852023:RXK852025 SHG852023:SHG852025 SRC852023:SRC852025 TAY852023:TAY852025 TKU852023:TKU852025 TUQ852023:TUQ852025 UEM852023:UEM852025 UOI852023:UOI852025 UYE852023:UYE852025 VIA852023:VIA852025 VRW852023:VRW852025 WBS852023:WBS852025 WLO852023:WLO852025 WVK852023:WVK852025 C917559:C917561 IY917559:IY917561 SU917559:SU917561 ACQ917559:ACQ917561 AMM917559:AMM917561 AWI917559:AWI917561 BGE917559:BGE917561 BQA917559:BQA917561 BZW917559:BZW917561 CJS917559:CJS917561 CTO917559:CTO917561 DDK917559:DDK917561 DNG917559:DNG917561 DXC917559:DXC917561 EGY917559:EGY917561 EQU917559:EQU917561 FAQ917559:FAQ917561 FKM917559:FKM917561 FUI917559:FUI917561 GEE917559:GEE917561 GOA917559:GOA917561 GXW917559:GXW917561 HHS917559:HHS917561 HRO917559:HRO917561 IBK917559:IBK917561 ILG917559:ILG917561 IVC917559:IVC917561 JEY917559:JEY917561 JOU917559:JOU917561 JYQ917559:JYQ917561 KIM917559:KIM917561 KSI917559:KSI917561 LCE917559:LCE917561 LMA917559:LMA917561 LVW917559:LVW917561 MFS917559:MFS917561 MPO917559:MPO917561 MZK917559:MZK917561 NJG917559:NJG917561 NTC917559:NTC917561 OCY917559:OCY917561 OMU917559:OMU917561 OWQ917559:OWQ917561 PGM917559:PGM917561 PQI917559:PQI917561 QAE917559:QAE917561 QKA917559:QKA917561 QTW917559:QTW917561 RDS917559:RDS917561 RNO917559:RNO917561 RXK917559:RXK917561 SHG917559:SHG917561 SRC917559:SRC917561 TAY917559:TAY917561 TKU917559:TKU917561 TUQ917559:TUQ917561 UEM917559:UEM917561 UOI917559:UOI917561 UYE917559:UYE917561 VIA917559:VIA917561 VRW917559:VRW917561 WBS917559:WBS917561 WLO917559:WLO917561 WVK917559:WVK917561 C983095:C983097 IY983095:IY983097 SU983095:SU983097 ACQ983095:ACQ983097 AMM983095:AMM983097 AWI983095:AWI983097 BGE983095:BGE983097 BQA983095:BQA983097 BZW983095:BZW983097 CJS983095:CJS983097 CTO983095:CTO983097 DDK983095:DDK983097 DNG983095:DNG983097 DXC983095:DXC983097 EGY983095:EGY983097 EQU983095:EQU983097 FAQ983095:FAQ983097 FKM983095:FKM983097 FUI983095:FUI983097 GEE983095:GEE983097 GOA983095:GOA983097 GXW983095:GXW983097 HHS983095:HHS983097 HRO983095:HRO983097 IBK983095:IBK983097 ILG983095:ILG983097 IVC983095:IVC983097 JEY983095:JEY983097 JOU983095:JOU983097 JYQ983095:JYQ983097 KIM983095:KIM983097 KSI983095:KSI983097 LCE983095:LCE983097 LMA983095:LMA983097 LVW983095:LVW983097 MFS983095:MFS983097 MPO983095:MPO983097 MZK983095:MZK983097 NJG983095:NJG983097 NTC983095:NTC983097 OCY983095:OCY983097 OMU983095:OMU983097 OWQ983095:OWQ983097 PGM983095:PGM983097 PQI983095:PQI983097 QAE983095:QAE983097 QKA983095:QKA983097 QTW983095:QTW983097 RDS983095:RDS983097 RNO983095:RNO983097 RXK983095:RXK983097 SHG983095:SHG983097 SRC983095:SRC983097 TAY983095:TAY983097 TKU983095:TKU983097 TUQ983095:TUQ983097 UEM983095:UEM983097 UOI983095:UOI983097 UYE983095:UYE983097 VIA983095:VIA983097 VRW983095:VRW983097 WBS983095:WBS983097 WLO983095:WLO983097 WVK983095:WVK983097">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s>
  <hyperlinks>
    <hyperlink ref="B1:D1" location="'Schéma d''enseignement'!G43" display="Schéma d'enseignement"/>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00B050"/>
  </sheetPr>
  <dimension ref="A1:AMK82"/>
  <sheetViews>
    <sheetView view="pageBreakPreview" zoomScale="80" zoomScaleNormal="130" zoomScaleSheetLayoutView="80" zoomScalePageLayoutView="130" workbookViewId="0">
      <selection activeCell="B1" sqref="B1:D1"/>
    </sheetView>
  </sheetViews>
  <sheetFormatPr baseColWidth="10" defaultColWidth="9.140625" defaultRowHeight="15.75" x14ac:dyDescent="0.25"/>
  <cols>
    <col min="1" max="1" width="2.28515625" style="213" customWidth="1"/>
    <col min="2" max="6" width="15.7109375" style="213" customWidth="1"/>
    <col min="7" max="7" width="0.85546875" style="213" customWidth="1"/>
    <col min="8" max="1025" width="9.140625" style="213"/>
    <col min="1026" max="16384" width="9.140625" style="212"/>
  </cols>
  <sheetData>
    <row r="1" spans="1:1024" x14ac:dyDescent="0.25">
      <c r="A1" s="212"/>
      <c r="B1" s="628" t="s">
        <v>1267</v>
      </c>
      <c r="C1" s="628"/>
      <c r="D1" s="628"/>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CJ1" s="212"/>
      <c r="CK1" s="212"/>
      <c r="CL1" s="212"/>
      <c r="CM1" s="212"/>
      <c r="CN1" s="212"/>
      <c r="CO1" s="212"/>
      <c r="CP1" s="212"/>
      <c r="CQ1" s="212"/>
      <c r="CR1" s="212"/>
      <c r="CS1" s="212"/>
      <c r="CT1" s="212"/>
      <c r="CU1" s="212"/>
      <c r="CV1" s="212"/>
      <c r="CW1" s="212"/>
      <c r="CX1" s="212"/>
      <c r="CY1" s="212"/>
      <c r="CZ1" s="212"/>
      <c r="DA1" s="212"/>
      <c r="DB1" s="212"/>
      <c r="DC1" s="212"/>
      <c r="DD1" s="212"/>
      <c r="DE1" s="212"/>
      <c r="DF1" s="212"/>
      <c r="DG1" s="212"/>
      <c r="DH1" s="212"/>
      <c r="DI1" s="212"/>
      <c r="DJ1" s="212"/>
      <c r="DK1" s="212"/>
      <c r="DL1" s="212"/>
      <c r="DM1" s="212"/>
      <c r="DN1" s="212"/>
      <c r="DO1" s="212"/>
      <c r="DP1" s="212"/>
      <c r="DQ1" s="212"/>
      <c r="DR1" s="212"/>
      <c r="DS1" s="212"/>
      <c r="DT1" s="212"/>
      <c r="DU1" s="212"/>
      <c r="DV1" s="212"/>
      <c r="DW1" s="212"/>
      <c r="DX1" s="212"/>
      <c r="DY1" s="212"/>
      <c r="DZ1" s="212"/>
      <c r="EA1" s="212"/>
      <c r="EB1" s="212"/>
      <c r="EC1" s="212"/>
      <c r="ED1" s="212"/>
      <c r="EE1" s="212"/>
      <c r="EF1" s="212"/>
      <c r="EG1" s="212"/>
      <c r="EH1" s="212"/>
      <c r="EI1" s="212"/>
      <c r="EJ1" s="212"/>
      <c r="EK1" s="212"/>
      <c r="EL1" s="212"/>
      <c r="EM1" s="212"/>
      <c r="EN1" s="212"/>
      <c r="EO1" s="212"/>
      <c r="EP1" s="212"/>
      <c r="EQ1" s="212"/>
      <c r="ER1" s="212"/>
      <c r="ES1" s="212"/>
      <c r="ET1" s="212"/>
      <c r="EU1" s="212"/>
      <c r="EV1" s="212"/>
      <c r="EW1" s="212"/>
      <c r="EX1" s="212"/>
      <c r="EY1" s="212"/>
      <c r="EZ1" s="212"/>
      <c r="FA1" s="212"/>
      <c r="FB1" s="212"/>
      <c r="FC1" s="212"/>
      <c r="FD1" s="212"/>
      <c r="FE1" s="212"/>
      <c r="FF1" s="212"/>
      <c r="FG1" s="212"/>
      <c r="FH1" s="212"/>
      <c r="FI1" s="212"/>
      <c r="FJ1" s="212"/>
      <c r="FK1" s="212"/>
      <c r="FL1" s="212"/>
      <c r="FM1" s="212"/>
      <c r="FN1" s="212"/>
      <c r="FO1" s="212"/>
      <c r="FP1" s="212"/>
      <c r="FQ1" s="212"/>
      <c r="FR1" s="212"/>
      <c r="FS1" s="212"/>
      <c r="FT1" s="212"/>
      <c r="FU1" s="212"/>
      <c r="FV1" s="212"/>
      <c r="FW1" s="212"/>
      <c r="FX1" s="212"/>
      <c r="FY1" s="212"/>
      <c r="FZ1" s="212"/>
      <c r="GA1" s="212"/>
      <c r="GB1" s="212"/>
      <c r="GC1" s="212"/>
      <c r="GD1" s="212"/>
      <c r="GE1" s="212"/>
      <c r="GF1" s="212"/>
      <c r="GG1" s="212"/>
      <c r="GH1" s="212"/>
      <c r="GI1" s="212"/>
      <c r="GJ1" s="212"/>
      <c r="GK1" s="212"/>
      <c r="GL1" s="212"/>
      <c r="GM1" s="212"/>
      <c r="GN1" s="212"/>
      <c r="GO1" s="212"/>
      <c r="GP1" s="212"/>
      <c r="GQ1" s="212"/>
      <c r="GR1" s="212"/>
      <c r="GS1" s="212"/>
      <c r="GT1" s="212"/>
      <c r="GU1" s="212"/>
      <c r="GV1" s="212"/>
      <c r="GW1" s="212"/>
      <c r="GX1" s="212"/>
      <c r="GY1" s="212"/>
      <c r="GZ1" s="212"/>
      <c r="HA1" s="212"/>
      <c r="HB1" s="212"/>
      <c r="HC1" s="212"/>
      <c r="HD1" s="212"/>
      <c r="HE1" s="212"/>
      <c r="HF1" s="212"/>
      <c r="HG1" s="212"/>
      <c r="HH1" s="212"/>
      <c r="HI1" s="212"/>
      <c r="HJ1" s="212"/>
      <c r="HK1" s="212"/>
      <c r="HL1" s="212"/>
      <c r="HM1" s="212"/>
      <c r="HN1" s="212"/>
      <c r="HO1" s="212"/>
      <c r="HP1" s="212"/>
      <c r="HQ1" s="212"/>
      <c r="HR1" s="212"/>
      <c r="HS1" s="212"/>
      <c r="HT1" s="212"/>
      <c r="HU1" s="212"/>
      <c r="HV1" s="212"/>
      <c r="HW1" s="212"/>
      <c r="HX1" s="212"/>
      <c r="HY1" s="212"/>
      <c r="HZ1" s="212"/>
      <c r="IA1" s="212"/>
      <c r="IB1" s="212"/>
      <c r="IC1" s="212"/>
      <c r="ID1" s="212"/>
      <c r="IE1" s="212"/>
      <c r="IF1" s="212"/>
      <c r="IG1" s="212"/>
      <c r="IH1" s="212"/>
      <c r="II1" s="212"/>
      <c r="IJ1" s="212"/>
      <c r="IK1" s="212"/>
      <c r="IL1" s="212"/>
      <c r="IM1" s="212"/>
      <c r="IN1" s="212"/>
      <c r="IO1" s="212"/>
      <c r="IP1" s="212"/>
      <c r="IQ1" s="212"/>
      <c r="IR1" s="212"/>
      <c r="IS1" s="212"/>
      <c r="IT1" s="212"/>
      <c r="IU1" s="212"/>
      <c r="IV1" s="212"/>
      <c r="IW1" s="212"/>
      <c r="IX1" s="212"/>
      <c r="IY1" s="212"/>
      <c r="IZ1" s="212"/>
      <c r="JA1" s="212"/>
      <c r="JB1" s="212"/>
      <c r="JC1" s="212"/>
      <c r="JD1" s="212"/>
      <c r="JE1" s="212"/>
      <c r="JF1" s="212"/>
      <c r="JG1" s="212"/>
      <c r="JH1" s="212"/>
      <c r="JI1" s="212"/>
      <c r="JJ1" s="212"/>
      <c r="JK1" s="212"/>
      <c r="JL1" s="212"/>
      <c r="JM1" s="212"/>
      <c r="JN1" s="212"/>
      <c r="JO1" s="212"/>
      <c r="JP1" s="212"/>
      <c r="JQ1" s="212"/>
      <c r="JR1" s="212"/>
      <c r="JS1" s="212"/>
      <c r="JT1" s="212"/>
      <c r="JU1" s="212"/>
      <c r="JV1" s="212"/>
      <c r="JW1" s="212"/>
      <c r="JX1" s="212"/>
      <c r="JY1" s="212"/>
      <c r="JZ1" s="212"/>
      <c r="KA1" s="212"/>
      <c r="KB1" s="212"/>
      <c r="KC1" s="212"/>
      <c r="KD1" s="212"/>
      <c r="KE1" s="212"/>
      <c r="KF1" s="212"/>
      <c r="KG1" s="212"/>
      <c r="KH1" s="212"/>
      <c r="KI1" s="212"/>
      <c r="KJ1" s="212"/>
      <c r="KK1" s="212"/>
      <c r="KL1" s="212"/>
      <c r="KM1" s="212"/>
      <c r="KN1" s="212"/>
      <c r="KO1" s="212"/>
      <c r="KP1" s="212"/>
      <c r="KQ1" s="212"/>
      <c r="KR1" s="212"/>
      <c r="KS1" s="212"/>
      <c r="KT1" s="212"/>
      <c r="KU1" s="212"/>
      <c r="KV1" s="212"/>
      <c r="KW1" s="212"/>
      <c r="KX1" s="212"/>
      <c r="KY1" s="212"/>
      <c r="KZ1" s="212"/>
      <c r="LA1" s="212"/>
      <c r="LB1" s="212"/>
      <c r="LC1" s="212"/>
      <c r="LD1" s="212"/>
      <c r="LE1" s="212"/>
      <c r="LF1" s="212"/>
      <c r="LG1" s="212"/>
      <c r="LH1" s="212"/>
      <c r="LI1" s="212"/>
      <c r="LJ1" s="212"/>
      <c r="LK1" s="212"/>
      <c r="LL1" s="212"/>
      <c r="LM1" s="212"/>
      <c r="LN1" s="212"/>
      <c r="LO1" s="212"/>
      <c r="LP1" s="212"/>
      <c r="LQ1" s="212"/>
      <c r="LR1" s="212"/>
      <c r="LS1" s="212"/>
      <c r="LT1" s="212"/>
      <c r="LU1" s="212"/>
      <c r="LV1" s="212"/>
      <c r="LW1" s="212"/>
      <c r="LX1" s="212"/>
      <c r="LY1" s="212"/>
      <c r="LZ1" s="212"/>
      <c r="MA1" s="212"/>
      <c r="MB1" s="212"/>
      <c r="MC1" s="212"/>
      <c r="MD1" s="212"/>
      <c r="ME1" s="212"/>
      <c r="MF1" s="212"/>
      <c r="MG1" s="212"/>
      <c r="MH1" s="212"/>
      <c r="MI1" s="212"/>
      <c r="MJ1" s="212"/>
      <c r="MK1" s="212"/>
      <c r="ML1" s="212"/>
      <c r="MM1" s="212"/>
      <c r="MN1" s="212"/>
      <c r="MO1" s="212"/>
      <c r="MP1" s="212"/>
      <c r="MQ1" s="212"/>
      <c r="MR1" s="212"/>
      <c r="MS1" s="212"/>
      <c r="MT1" s="212"/>
      <c r="MU1" s="212"/>
      <c r="MV1" s="212"/>
      <c r="MW1" s="212"/>
      <c r="MX1" s="212"/>
      <c r="MY1" s="212"/>
      <c r="MZ1" s="212"/>
      <c r="NA1" s="212"/>
      <c r="NB1" s="212"/>
      <c r="NC1" s="212"/>
      <c r="ND1" s="212"/>
      <c r="NE1" s="212"/>
      <c r="NF1" s="212"/>
      <c r="NG1" s="212"/>
      <c r="NH1" s="212"/>
      <c r="NI1" s="212"/>
      <c r="NJ1" s="212"/>
      <c r="NK1" s="212"/>
      <c r="NL1" s="212"/>
      <c r="NM1" s="212"/>
      <c r="NN1" s="212"/>
      <c r="NO1" s="212"/>
      <c r="NP1" s="212"/>
      <c r="NQ1" s="212"/>
      <c r="NR1" s="212"/>
      <c r="NS1" s="212"/>
      <c r="NT1" s="212"/>
      <c r="NU1" s="212"/>
      <c r="NV1" s="212"/>
      <c r="NW1" s="212"/>
      <c r="NX1" s="212"/>
      <c r="NY1" s="212"/>
      <c r="NZ1" s="212"/>
      <c r="OA1" s="212"/>
      <c r="OB1" s="212"/>
      <c r="OC1" s="212"/>
      <c r="OD1" s="212"/>
      <c r="OE1" s="212"/>
      <c r="OF1" s="212"/>
      <c r="OG1" s="212"/>
      <c r="OH1" s="212"/>
      <c r="OI1" s="212"/>
      <c r="OJ1" s="212"/>
      <c r="OK1" s="212"/>
      <c r="OL1" s="212"/>
      <c r="OM1" s="212"/>
      <c r="ON1" s="212"/>
      <c r="OO1" s="212"/>
      <c r="OP1" s="212"/>
      <c r="OQ1" s="212"/>
      <c r="OR1" s="212"/>
      <c r="OS1" s="212"/>
      <c r="OT1" s="212"/>
      <c r="OU1" s="212"/>
      <c r="OV1" s="212"/>
      <c r="OW1" s="212"/>
      <c r="OX1" s="212"/>
      <c r="OY1" s="212"/>
      <c r="OZ1" s="212"/>
      <c r="PA1" s="212"/>
      <c r="PB1" s="212"/>
      <c r="PC1" s="212"/>
      <c r="PD1" s="212"/>
      <c r="PE1" s="212"/>
      <c r="PF1" s="212"/>
      <c r="PG1" s="212"/>
      <c r="PH1" s="212"/>
      <c r="PI1" s="212"/>
      <c r="PJ1" s="212"/>
      <c r="PK1" s="212"/>
      <c r="PL1" s="212"/>
      <c r="PM1" s="212"/>
      <c r="PN1" s="212"/>
      <c r="PO1" s="212"/>
      <c r="PP1" s="212"/>
      <c r="PQ1" s="212"/>
      <c r="PR1" s="212"/>
      <c r="PS1" s="212"/>
      <c r="PT1" s="212"/>
      <c r="PU1" s="212"/>
      <c r="PV1" s="212"/>
      <c r="PW1" s="212"/>
      <c r="PX1" s="212"/>
      <c r="PY1" s="212"/>
      <c r="PZ1" s="212"/>
      <c r="QA1" s="212"/>
      <c r="QB1" s="212"/>
      <c r="QC1" s="212"/>
      <c r="QD1" s="212"/>
      <c r="QE1" s="212"/>
      <c r="QF1" s="212"/>
      <c r="QG1" s="212"/>
      <c r="QH1" s="212"/>
      <c r="QI1" s="212"/>
      <c r="QJ1" s="212"/>
      <c r="QK1" s="212"/>
      <c r="QL1" s="212"/>
      <c r="QM1" s="212"/>
      <c r="QN1" s="212"/>
      <c r="QO1" s="212"/>
      <c r="QP1" s="212"/>
      <c r="QQ1" s="212"/>
      <c r="QR1" s="212"/>
      <c r="QS1" s="212"/>
      <c r="QT1" s="212"/>
      <c r="QU1" s="212"/>
      <c r="QV1" s="212"/>
      <c r="QW1" s="212"/>
      <c r="QX1" s="212"/>
      <c r="QY1" s="212"/>
      <c r="QZ1" s="212"/>
      <c r="RA1" s="212"/>
      <c r="RB1" s="212"/>
      <c r="RC1" s="212"/>
      <c r="RD1" s="212"/>
      <c r="RE1" s="212"/>
      <c r="RF1" s="212"/>
      <c r="RG1" s="212"/>
      <c r="RH1" s="212"/>
      <c r="RI1" s="212"/>
      <c r="RJ1" s="212"/>
      <c r="RK1" s="212"/>
      <c r="RL1" s="212"/>
      <c r="RM1" s="212"/>
      <c r="RN1" s="212"/>
      <c r="RO1" s="212"/>
      <c r="RP1" s="212"/>
      <c r="RQ1" s="212"/>
      <c r="RR1" s="212"/>
      <c r="RS1" s="212"/>
      <c r="RT1" s="212"/>
      <c r="RU1" s="212"/>
      <c r="RV1" s="212"/>
      <c r="RW1" s="212"/>
      <c r="RX1" s="212"/>
      <c r="RY1" s="212"/>
      <c r="RZ1" s="212"/>
      <c r="SA1" s="212"/>
      <c r="SB1" s="212"/>
      <c r="SC1" s="212"/>
      <c r="SD1" s="212"/>
      <c r="SE1" s="212"/>
      <c r="SF1" s="212"/>
      <c r="SG1" s="212"/>
      <c r="SH1" s="212"/>
      <c r="SI1" s="212"/>
      <c r="SJ1" s="212"/>
      <c r="SK1" s="212"/>
      <c r="SL1" s="212"/>
      <c r="SM1" s="212"/>
      <c r="SN1" s="212"/>
      <c r="SO1" s="212"/>
      <c r="SP1" s="212"/>
      <c r="SQ1" s="212"/>
      <c r="SR1" s="212"/>
      <c r="SS1" s="212"/>
      <c r="ST1" s="212"/>
      <c r="SU1" s="212"/>
      <c r="SV1" s="212"/>
      <c r="SW1" s="212"/>
      <c r="SX1" s="212"/>
      <c r="SY1" s="212"/>
      <c r="SZ1" s="212"/>
      <c r="TA1" s="212"/>
      <c r="TB1" s="212"/>
      <c r="TC1" s="212"/>
      <c r="TD1" s="212"/>
      <c r="TE1" s="212"/>
      <c r="TF1" s="212"/>
      <c r="TG1" s="212"/>
      <c r="TH1" s="212"/>
      <c r="TI1" s="212"/>
      <c r="TJ1" s="212"/>
      <c r="TK1" s="212"/>
      <c r="TL1" s="212"/>
      <c r="TM1" s="212"/>
      <c r="TN1" s="212"/>
      <c r="TO1" s="212"/>
      <c r="TP1" s="212"/>
      <c r="TQ1" s="212"/>
      <c r="TR1" s="212"/>
      <c r="TS1" s="212"/>
      <c r="TT1" s="212"/>
      <c r="TU1" s="212"/>
      <c r="TV1" s="212"/>
      <c r="TW1" s="212"/>
      <c r="TX1" s="212"/>
      <c r="TY1" s="212"/>
      <c r="TZ1" s="212"/>
      <c r="UA1" s="212"/>
      <c r="UB1" s="212"/>
      <c r="UC1" s="212"/>
      <c r="UD1" s="212"/>
      <c r="UE1" s="212"/>
      <c r="UF1" s="212"/>
      <c r="UG1" s="212"/>
      <c r="UH1" s="212"/>
      <c r="UI1" s="212"/>
      <c r="UJ1" s="212"/>
      <c r="UK1" s="212"/>
      <c r="UL1" s="212"/>
      <c r="UM1" s="212"/>
      <c r="UN1" s="212"/>
      <c r="UO1" s="212"/>
      <c r="UP1" s="212"/>
      <c r="UQ1" s="212"/>
      <c r="UR1" s="212"/>
      <c r="US1" s="212"/>
      <c r="UT1" s="212"/>
      <c r="UU1" s="212"/>
      <c r="UV1" s="212"/>
      <c r="UW1" s="212"/>
      <c r="UX1" s="212"/>
      <c r="UY1" s="212"/>
      <c r="UZ1" s="212"/>
      <c r="VA1" s="212"/>
      <c r="VB1" s="212"/>
      <c r="VC1" s="212"/>
      <c r="VD1" s="212"/>
      <c r="VE1" s="212"/>
      <c r="VF1" s="212"/>
      <c r="VG1" s="212"/>
      <c r="VH1" s="212"/>
      <c r="VI1" s="212"/>
      <c r="VJ1" s="212"/>
      <c r="VK1" s="212"/>
      <c r="VL1" s="212"/>
      <c r="VM1" s="212"/>
      <c r="VN1" s="212"/>
      <c r="VO1" s="212"/>
      <c r="VP1" s="212"/>
      <c r="VQ1" s="212"/>
      <c r="VR1" s="212"/>
      <c r="VS1" s="212"/>
      <c r="VT1" s="212"/>
      <c r="VU1" s="212"/>
      <c r="VV1" s="212"/>
      <c r="VW1" s="212"/>
      <c r="VX1" s="212"/>
      <c r="VY1" s="212"/>
      <c r="VZ1" s="212"/>
      <c r="WA1" s="212"/>
      <c r="WB1" s="212"/>
      <c r="WC1" s="212"/>
      <c r="WD1" s="212"/>
      <c r="WE1" s="212"/>
      <c r="WF1" s="212"/>
      <c r="WG1" s="212"/>
      <c r="WH1" s="212"/>
      <c r="WI1" s="212"/>
      <c r="WJ1" s="212"/>
      <c r="WK1" s="212"/>
      <c r="WL1" s="212"/>
      <c r="WM1" s="212"/>
      <c r="WN1" s="212"/>
      <c r="WO1" s="212"/>
      <c r="WP1" s="212"/>
      <c r="WQ1" s="212"/>
      <c r="WR1" s="212"/>
      <c r="WS1" s="212"/>
      <c r="WT1" s="212"/>
      <c r="WU1" s="212"/>
      <c r="WV1" s="212"/>
      <c r="WW1" s="212"/>
      <c r="WX1" s="212"/>
      <c r="WY1" s="212"/>
      <c r="WZ1" s="212"/>
      <c r="XA1" s="212"/>
      <c r="XB1" s="212"/>
      <c r="XC1" s="212"/>
      <c r="XD1" s="212"/>
      <c r="XE1" s="212"/>
      <c r="XF1" s="212"/>
      <c r="XG1" s="212"/>
      <c r="XH1" s="212"/>
      <c r="XI1" s="212"/>
      <c r="XJ1" s="212"/>
      <c r="XK1" s="212"/>
      <c r="XL1" s="212"/>
      <c r="XM1" s="212"/>
      <c r="XN1" s="212"/>
      <c r="XO1" s="212"/>
      <c r="XP1" s="212"/>
      <c r="XQ1" s="212"/>
      <c r="XR1" s="212"/>
      <c r="XS1" s="212"/>
      <c r="XT1" s="212"/>
      <c r="XU1" s="212"/>
      <c r="XV1" s="212"/>
      <c r="XW1" s="212"/>
      <c r="XX1" s="212"/>
      <c r="XY1" s="212"/>
      <c r="XZ1" s="212"/>
      <c r="YA1" s="212"/>
      <c r="YB1" s="212"/>
      <c r="YC1" s="212"/>
      <c r="YD1" s="212"/>
      <c r="YE1" s="212"/>
      <c r="YF1" s="212"/>
      <c r="YG1" s="212"/>
      <c r="YH1" s="212"/>
      <c r="YI1" s="212"/>
      <c r="YJ1" s="212"/>
      <c r="YK1" s="212"/>
      <c r="YL1" s="212"/>
      <c r="YM1" s="212"/>
      <c r="YN1" s="212"/>
      <c r="YO1" s="212"/>
      <c r="YP1" s="212"/>
      <c r="YQ1" s="212"/>
      <c r="YR1" s="212"/>
      <c r="YS1" s="212"/>
      <c r="YT1" s="212"/>
      <c r="YU1" s="212"/>
      <c r="YV1" s="212"/>
      <c r="YW1" s="212"/>
      <c r="YX1" s="212"/>
      <c r="YY1" s="212"/>
      <c r="YZ1" s="212"/>
      <c r="ZA1" s="212"/>
      <c r="ZB1" s="212"/>
      <c r="ZC1" s="212"/>
      <c r="ZD1" s="212"/>
      <c r="ZE1" s="212"/>
      <c r="ZF1" s="212"/>
      <c r="ZG1" s="212"/>
      <c r="ZH1" s="212"/>
      <c r="ZI1" s="212"/>
      <c r="ZJ1" s="212"/>
      <c r="ZK1" s="212"/>
      <c r="ZL1" s="212"/>
      <c r="ZM1" s="212"/>
      <c r="ZN1" s="212"/>
      <c r="ZO1" s="212"/>
      <c r="ZP1" s="212"/>
      <c r="ZQ1" s="212"/>
      <c r="ZR1" s="212"/>
      <c r="ZS1" s="212"/>
      <c r="ZT1" s="212"/>
      <c r="ZU1" s="212"/>
      <c r="ZV1" s="212"/>
      <c r="ZW1" s="212"/>
      <c r="ZX1" s="212"/>
      <c r="ZY1" s="212"/>
      <c r="ZZ1" s="212"/>
      <c r="AAA1" s="212"/>
      <c r="AAB1" s="212"/>
      <c r="AAC1" s="212"/>
      <c r="AAD1" s="212"/>
      <c r="AAE1" s="212"/>
      <c r="AAF1" s="212"/>
      <c r="AAG1" s="212"/>
      <c r="AAH1" s="212"/>
      <c r="AAI1" s="212"/>
      <c r="AAJ1" s="212"/>
      <c r="AAK1" s="212"/>
      <c r="AAL1" s="212"/>
      <c r="AAM1" s="212"/>
      <c r="AAN1" s="212"/>
      <c r="AAO1" s="212"/>
      <c r="AAP1" s="212"/>
      <c r="AAQ1" s="212"/>
      <c r="AAR1" s="212"/>
      <c r="AAS1" s="212"/>
      <c r="AAT1" s="212"/>
      <c r="AAU1" s="212"/>
      <c r="AAV1" s="212"/>
      <c r="AAW1" s="212"/>
      <c r="AAX1" s="212"/>
      <c r="AAY1" s="212"/>
      <c r="AAZ1" s="212"/>
      <c r="ABA1" s="212"/>
      <c r="ABB1" s="212"/>
      <c r="ABC1" s="212"/>
      <c r="ABD1" s="212"/>
      <c r="ABE1" s="212"/>
      <c r="ABF1" s="212"/>
      <c r="ABG1" s="212"/>
      <c r="ABH1" s="212"/>
      <c r="ABI1" s="212"/>
      <c r="ABJ1" s="212"/>
      <c r="ABK1" s="212"/>
      <c r="ABL1" s="212"/>
      <c r="ABM1" s="212"/>
      <c r="ABN1" s="212"/>
      <c r="ABO1" s="212"/>
      <c r="ABP1" s="212"/>
      <c r="ABQ1" s="212"/>
      <c r="ABR1" s="212"/>
      <c r="ABS1" s="212"/>
      <c r="ABT1" s="212"/>
      <c r="ABU1" s="212"/>
      <c r="ABV1" s="212"/>
      <c r="ABW1" s="212"/>
      <c r="ABX1" s="212"/>
      <c r="ABY1" s="212"/>
      <c r="ABZ1" s="212"/>
      <c r="ACA1" s="212"/>
      <c r="ACB1" s="212"/>
      <c r="ACC1" s="212"/>
      <c r="ACD1" s="212"/>
      <c r="ACE1" s="212"/>
      <c r="ACF1" s="212"/>
      <c r="ACG1" s="212"/>
      <c r="ACH1" s="212"/>
      <c r="ACI1" s="212"/>
      <c r="ACJ1" s="212"/>
      <c r="ACK1" s="212"/>
      <c r="ACL1" s="212"/>
      <c r="ACM1" s="212"/>
      <c r="ACN1" s="212"/>
      <c r="ACO1" s="212"/>
      <c r="ACP1" s="212"/>
      <c r="ACQ1" s="212"/>
      <c r="ACR1" s="212"/>
      <c r="ACS1" s="212"/>
      <c r="ACT1" s="212"/>
      <c r="ACU1" s="212"/>
      <c r="ACV1" s="212"/>
      <c r="ACW1" s="212"/>
      <c r="ACX1" s="212"/>
      <c r="ACY1" s="212"/>
      <c r="ACZ1" s="212"/>
      <c r="ADA1" s="212"/>
      <c r="ADB1" s="212"/>
      <c r="ADC1" s="212"/>
      <c r="ADD1" s="212"/>
      <c r="ADE1" s="212"/>
      <c r="ADF1" s="212"/>
      <c r="ADG1" s="212"/>
      <c r="ADH1" s="212"/>
      <c r="ADI1" s="212"/>
      <c r="ADJ1" s="212"/>
      <c r="ADK1" s="212"/>
      <c r="ADL1" s="212"/>
      <c r="ADM1" s="212"/>
      <c r="ADN1" s="212"/>
      <c r="ADO1" s="212"/>
      <c r="ADP1" s="212"/>
      <c r="ADQ1" s="212"/>
      <c r="ADR1" s="212"/>
      <c r="ADS1" s="212"/>
      <c r="ADT1" s="212"/>
      <c r="ADU1" s="212"/>
      <c r="ADV1" s="212"/>
      <c r="ADW1" s="212"/>
      <c r="ADX1" s="212"/>
      <c r="ADY1" s="212"/>
      <c r="ADZ1" s="212"/>
      <c r="AEA1" s="212"/>
      <c r="AEB1" s="212"/>
      <c r="AEC1" s="212"/>
      <c r="AED1" s="212"/>
      <c r="AEE1" s="212"/>
      <c r="AEF1" s="212"/>
      <c r="AEG1" s="212"/>
      <c r="AEH1" s="212"/>
      <c r="AEI1" s="212"/>
      <c r="AEJ1" s="212"/>
      <c r="AEK1" s="212"/>
      <c r="AEL1" s="212"/>
      <c r="AEM1" s="212"/>
      <c r="AEN1" s="212"/>
      <c r="AEO1" s="212"/>
      <c r="AEP1" s="212"/>
      <c r="AEQ1" s="212"/>
      <c r="AER1" s="212"/>
      <c r="AES1" s="212"/>
      <c r="AET1" s="212"/>
      <c r="AEU1" s="212"/>
      <c r="AEV1" s="212"/>
      <c r="AEW1" s="212"/>
      <c r="AEX1" s="212"/>
      <c r="AEY1" s="212"/>
      <c r="AEZ1" s="212"/>
      <c r="AFA1" s="212"/>
      <c r="AFB1" s="212"/>
      <c r="AFC1" s="212"/>
      <c r="AFD1" s="212"/>
      <c r="AFE1" s="212"/>
      <c r="AFF1" s="212"/>
      <c r="AFG1" s="212"/>
      <c r="AFH1" s="212"/>
      <c r="AFI1" s="212"/>
      <c r="AFJ1" s="212"/>
      <c r="AFK1" s="212"/>
      <c r="AFL1" s="212"/>
      <c r="AFM1" s="212"/>
      <c r="AFN1" s="212"/>
      <c r="AFO1" s="212"/>
      <c r="AFP1" s="212"/>
      <c r="AFQ1" s="212"/>
      <c r="AFR1" s="212"/>
      <c r="AFS1" s="212"/>
      <c r="AFT1" s="212"/>
      <c r="AFU1" s="212"/>
      <c r="AFV1" s="212"/>
      <c r="AFW1" s="212"/>
      <c r="AFX1" s="212"/>
      <c r="AFY1" s="212"/>
      <c r="AFZ1" s="212"/>
      <c r="AGA1" s="212"/>
      <c r="AGB1" s="212"/>
      <c r="AGC1" s="212"/>
      <c r="AGD1" s="212"/>
      <c r="AGE1" s="212"/>
      <c r="AGF1" s="212"/>
      <c r="AGG1" s="212"/>
      <c r="AGH1" s="212"/>
      <c r="AGI1" s="212"/>
      <c r="AGJ1" s="212"/>
      <c r="AGK1" s="212"/>
      <c r="AGL1" s="212"/>
      <c r="AGM1" s="212"/>
      <c r="AGN1" s="212"/>
      <c r="AGO1" s="212"/>
      <c r="AGP1" s="212"/>
      <c r="AGQ1" s="212"/>
      <c r="AGR1" s="212"/>
      <c r="AGS1" s="212"/>
      <c r="AGT1" s="212"/>
      <c r="AGU1" s="212"/>
      <c r="AGV1" s="212"/>
      <c r="AGW1" s="212"/>
      <c r="AGX1" s="212"/>
      <c r="AGY1" s="212"/>
      <c r="AGZ1" s="212"/>
      <c r="AHA1" s="212"/>
      <c r="AHB1" s="212"/>
      <c r="AHC1" s="212"/>
      <c r="AHD1" s="212"/>
      <c r="AHE1" s="212"/>
      <c r="AHF1" s="212"/>
      <c r="AHG1" s="212"/>
      <c r="AHH1" s="212"/>
      <c r="AHI1" s="212"/>
      <c r="AHJ1" s="212"/>
      <c r="AHK1" s="212"/>
      <c r="AHL1" s="212"/>
      <c r="AHM1" s="212"/>
      <c r="AHN1" s="212"/>
      <c r="AHO1" s="212"/>
      <c r="AHP1" s="212"/>
      <c r="AHQ1" s="212"/>
      <c r="AHR1" s="212"/>
      <c r="AHS1" s="212"/>
      <c r="AHT1" s="212"/>
      <c r="AHU1" s="212"/>
      <c r="AHV1" s="212"/>
      <c r="AHW1" s="212"/>
      <c r="AHX1" s="212"/>
      <c r="AHY1" s="212"/>
      <c r="AHZ1" s="212"/>
      <c r="AIA1" s="212"/>
      <c r="AIB1" s="212"/>
      <c r="AIC1" s="212"/>
      <c r="AID1" s="212"/>
      <c r="AIE1" s="212"/>
      <c r="AIF1" s="212"/>
      <c r="AIG1" s="212"/>
      <c r="AIH1" s="212"/>
      <c r="AII1" s="212"/>
      <c r="AIJ1" s="212"/>
      <c r="AIK1" s="212"/>
      <c r="AIL1" s="212"/>
      <c r="AIM1" s="212"/>
      <c r="AIN1" s="212"/>
      <c r="AIO1" s="212"/>
      <c r="AIP1" s="212"/>
      <c r="AIQ1" s="212"/>
      <c r="AIR1" s="212"/>
      <c r="AIS1" s="212"/>
      <c r="AIT1" s="212"/>
      <c r="AIU1" s="212"/>
      <c r="AIV1" s="212"/>
      <c r="AIW1" s="212"/>
      <c r="AIX1" s="212"/>
      <c r="AIY1" s="212"/>
      <c r="AIZ1" s="212"/>
      <c r="AJA1" s="212"/>
      <c r="AJB1" s="212"/>
      <c r="AJC1" s="212"/>
      <c r="AJD1" s="212"/>
      <c r="AJE1" s="212"/>
      <c r="AJF1" s="212"/>
      <c r="AJG1" s="212"/>
      <c r="AJH1" s="212"/>
      <c r="AJI1" s="212"/>
      <c r="AJJ1" s="212"/>
      <c r="AJK1" s="212"/>
      <c r="AJL1" s="212"/>
      <c r="AJM1" s="212"/>
      <c r="AJN1" s="212"/>
      <c r="AJO1" s="212"/>
      <c r="AJP1" s="212"/>
      <c r="AJQ1" s="212"/>
      <c r="AJR1" s="212"/>
      <c r="AJS1" s="212"/>
      <c r="AJT1" s="212"/>
      <c r="AJU1" s="212"/>
      <c r="AJV1" s="212"/>
      <c r="AJW1" s="212"/>
      <c r="AJX1" s="212"/>
      <c r="AJY1" s="212"/>
      <c r="AJZ1" s="212"/>
      <c r="AKA1" s="212"/>
      <c r="AKB1" s="212"/>
      <c r="AKC1" s="212"/>
      <c r="AKD1" s="212"/>
      <c r="AKE1" s="212"/>
      <c r="AKF1" s="212"/>
      <c r="AKG1" s="212"/>
      <c r="AKH1" s="212"/>
      <c r="AKI1" s="212"/>
      <c r="AKJ1" s="212"/>
      <c r="AKK1" s="212"/>
      <c r="AKL1" s="212"/>
      <c r="AKM1" s="212"/>
      <c r="AKN1" s="212"/>
      <c r="AKO1" s="212"/>
      <c r="AKP1" s="212"/>
      <c r="AKQ1" s="212"/>
      <c r="AKR1" s="212"/>
      <c r="AKS1" s="212"/>
      <c r="AKT1" s="212"/>
      <c r="AKU1" s="212"/>
      <c r="AKV1" s="212"/>
      <c r="AKW1" s="212"/>
      <c r="AKX1" s="212"/>
      <c r="AKY1" s="212"/>
      <c r="AKZ1" s="212"/>
      <c r="ALA1" s="212"/>
      <c r="ALB1" s="212"/>
      <c r="ALC1" s="212"/>
      <c r="ALD1" s="212"/>
      <c r="ALE1" s="212"/>
      <c r="ALF1" s="212"/>
      <c r="ALG1" s="212"/>
      <c r="ALH1" s="212"/>
      <c r="ALI1" s="212"/>
      <c r="ALJ1" s="212"/>
      <c r="ALK1" s="212"/>
      <c r="ALL1" s="212"/>
      <c r="ALM1" s="212"/>
      <c r="ALN1" s="212"/>
      <c r="ALO1" s="212"/>
      <c r="ALP1" s="212"/>
      <c r="ALQ1" s="212"/>
      <c r="ALR1" s="212"/>
      <c r="ALS1" s="212"/>
      <c r="ALT1" s="212"/>
      <c r="ALU1" s="212"/>
      <c r="ALV1" s="212"/>
      <c r="ALW1" s="212"/>
      <c r="ALX1" s="212"/>
      <c r="ALY1" s="212"/>
      <c r="ALZ1" s="212"/>
      <c r="AMA1" s="212"/>
      <c r="AMB1" s="212"/>
      <c r="AMC1" s="212"/>
      <c r="AMD1" s="212"/>
      <c r="AME1" s="212"/>
      <c r="AMF1" s="212"/>
      <c r="AMG1" s="212"/>
      <c r="AMH1" s="212"/>
      <c r="AMI1" s="212"/>
      <c r="AMJ1" s="212"/>
    </row>
    <row r="2" spans="1:1024" ht="41.25" customHeight="1" x14ac:dyDescent="0.25">
      <c r="A2" s="212"/>
      <c r="B2" s="1034" t="s">
        <v>1129</v>
      </c>
      <c r="C2" s="1034"/>
      <c r="D2" s="1034"/>
      <c r="E2" s="1034"/>
      <c r="F2" s="1034"/>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2"/>
      <c r="FK2" s="212"/>
      <c r="FL2" s="212"/>
      <c r="FM2" s="212"/>
      <c r="FN2" s="212"/>
      <c r="FO2" s="212"/>
      <c r="FP2" s="212"/>
      <c r="FQ2" s="212"/>
      <c r="FR2" s="212"/>
      <c r="FS2" s="212"/>
      <c r="FT2" s="212"/>
      <c r="FU2" s="212"/>
      <c r="FV2" s="212"/>
      <c r="FW2" s="212"/>
      <c r="FX2" s="212"/>
      <c r="FY2" s="212"/>
      <c r="FZ2" s="212"/>
      <c r="GA2" s="212"/>
      <c r="GB2" s="212"/>
      <c r="GC2" s="212"/>
      <c r="GD2" s="212"/>
      <c r="GE2" s="212"/>
      <c r="GF2" s="212"/>
      <c r="GG2" s="212"/>
      <c r="GH2" s="212"/>
      <c r="GI2" s="212"/>
      <c r="GJ2" s="212"/>
      <c r="GK2" s="212"/>
      <c r="GL2" s="212"/>
      <c r="GM2" s="212"/>
      <c r="GN2" s="212"/>
      <c r="GO2" s="212"/>
      <c r="GP2" s="212"/>
      <c r="GQ2" s="212"/>
      <c r="GR2" s="212"/>
      <c r="GS2" s="212"/>
      <c r="GT2" s="212"/>
      <c r="GU2" s="212"/>
      <c r="GV2" s="212"/>
      <c r="GW2" s="212"/>
      <c r="GX2" s="212"/>
      <c r="GY2" s="212"/>
      <c r="GZ2" s="212"/>
      <c r="HA2" s="212"/>
      <c r="HB2" s="212"/>
      <c r="HC2" s="212"/>
      <c r="HD2" s="212"/>
      <c r="HE2" s="212"/>
      <c r="HF2" s="212"/>
      <c r="HG2" s="212"/>
      <c r="HH2" s="212"/>
      <c r="HI2" s="212"/>
      <c r="HJ2" s="212"/>
      <c r="HK2" s="212"/>
      <c r="HL2" s="212"/>
      <c r="HM2" s="212"/>
      <c r="HN2" s="212"/>
      <c r="HO2" s="212"/>
      <c r="HP2" s="212"/>
      <c r="HQ2" s="212"/>
      <c r="HR2" s="212"/>
      <c r="HS2" s="212"/>
      <c r="HT2" s="212"/>
      <c r="HU2" s="212"/>
      <c r="HV2" s="212"/>
      <c r="HW2" s="212"/>
      <c r="HX2" s="212"/>
      <c r="HY2" s="212"/>
      <c r="HZ2" s="212"/>
      <c r="IA2" s="212"/>
      <c r="IB2" s="212"/>
      <c r="IC2" s="212"/>
      <c r="ID2" s="212"/>
      <c r="IE2" s="212"/>
      <c r="IF2" s="212"/>
      <c r="IG2" s="212"/>
      <c r="IH2" s="212"/>
      <c r="II2" s="212"/>
      <c r="IJ2" s="212"/>
      <c r="IK2" s="212"/>
      <c r="IL2" s="212"/>
      <c r="IM2" s="212"/>
      <c r="IN2" s="212"/>
      <c r="IO2" s="212"/>
      <c r="IP2" s="212"/>
      <c r="IQ2" s="212"/>
      <c r="IR2" s="212"/>
      <c r="IS2" s="212"/>
      <c r="IT2" s="212"/>
      <c r="IU2" s="212"/>
      <c r="IV2" s="212"/>
      <c r="IW2" s="212"/>
      <c r="IX2" s="212"/>
      <c r="IY2" s="212"/>
      <c r="IZ2" s="212"/>
      <c r="JA2" s="212"/>
      <c r="JB2" s="212"/>
      <c r="JC2" s="212"/>
      <c r="JD2" s="212"/>
      <c r="JE2" s="212"/>
      <c r="JF2" s="212"/>
      <c r="JG2" s="212"/>
      <c r="JH2" s="212"/>
      <c r="JI2" s="212"/>
      <c r="JJ2" s="212"/>
      <c r="JK2" s="212"/>
      <c r="JL2" s="212"/>
      <c r="JM2" s="212"/>
      <c r="JN2" s="212"/>
      <c r="JO2" s="212"/>
      <c r="JP2" s="212"/>
      <c r="JQ2" s="212"/>
      <c r="JR2" s="212"/>
      <c r="JS2" s="212"/>
      <c r="JT2" s="212"/>
      <c r="JU2" s="212"/>
      <c r="JV2" s="212"/>
      <c r="JW2" s="212"/>
      <c r="JX2" s="212"/>
      <c r="JY2" s="212"/>
      <c r="JZ2" s="212"/>
      <c r="KA2" s="212"/>
      <c r="KB2" s="212"/>
      <c r="KC2" s="212"/>
      <c r="KD2" s="212"/>
      <c r="KE2" s="212"/>
      <c r="KF2" s="212"/>
      <c r="KG2" s="212"/>
      <c r="KH2" s="212"/>
      <c r="KI2" s="212"/>
      <c r="KJ2" s="212"/>
      <c r="KK2" s="212"/>
      <c r="KL2" s="212"/>
      <c r="KM2" s="212"/>
      <c r="KN2" s="212"/>
      <c r="KO2" s="212"/>
      <c r="KP2" s="212"/>
      <c r="KQ2" s="212"/>
      <c r="KR2" s="212"/>
      <c r="KS2" s="212"/>
      <c r="KT2" s="212"/>
      <c r="KU2" s="212"/>
      <c r="KV2" s="212"/>
      <c r="KW2" s="212"/>
      <c r="KX2" s="212"/>
      <c r="KY2" s="212"/>
      <c r="KZ2" s="212"/>
      <c r="LA2" s="212"/>
      <c r="LB2" s="212"/>
      <c r="LC2" s="212"/>
      <c r="LD2" s="212"/>
      <c r="LE2" s="212"/>
      <c r="LF2" s="212"/>
      <c r="LG2" s="212"/>
      <c r="LH2" s="212"/>
      <c r="LI2" s="212"/>
      <c r="LJ2" s="212"/>
      <c r="LK2" s="212"/>
      <c r="LL2" s="212"/>
      <c r="LM2" s="212"/>
      <c r="LN2" s="212"/>
      <c r="LO2" s="212"/>
      <c r="LP2" s="212"/>
      <c r="LQ2" s="212"/>
      <c r="LR2" s="212"/>
      <c r="LS2" s="212"/>
      <c r="LT2" s="212"/>
      <c r="LU2" s="212"/>
      <c r="LV2" s="212"/>
      <c r="LW2" s="212"/>
      <c r="LX2" s="212"/>
      <c r="LY2" s="212"/>
      <c r="LZ2" s="212"/>
      <c r="MA2" s="212"/>
      <c r="MB2" s="212"/>
      <c r="MC2" s="212"/>
      <c r="MD2" s="212"/>
      <c r="ME2" s="212"/>
      <c r="MF2" s="212"/>
      <c r="MG2" s="212"/>
      <c r="MH2" s="212"/>
      <c r="MI2" s="212"/>
      <c r="MJ2" s="212"/>
      <c r="MK2" s="212"/>
      <c r="ML2" s="212"/>
      <c r="MM2" s="212"/>
      <c r="MN2" s="212"/>
      <c r="MO2" s="212"/>
      <c r="MP2" s="212"/>
      <c r="MQ2" s="212"/>
      <c r="MR2" s="212"/>
      <c r="MS2" s="212"/>
      <c r="MT2" s="212"/>
      <c r="MU2" s="212"/>
      <c r="MV2" s="212"/>
      <c r="MW2" s="212"/>
      <c r="MX2" s="212"/>
      <c r="MY2" s="212"/>
      <c r="MZ2" s="212"/>
      <c r="NA2" s="212"/>
      <c r="NB2" s="212"/>
      <c r="NC2" s="212"/>
      <c r="ND2" s="212"/>
      <c r="NE2" s="212"/>
      <c r="NF2" s="212"/>
      <c r="NG2" s="212"/>
      <c r="NH2" s="212"/>
      <c r="NI2" s="212"/>
      <c r="NJ2" s="212"/>
      <c r="NK2" s="212"/>
      <c r="NL2" s="212"/>
      <c r="NM2" s="212"/>
      <c r="NN2" s="212"/>
      <c r="NO2" s="212"/>
      <c r="NP2" s="212"/>
      <c r="NQ2" s="212"/>
      <c r="NR2" s="212"/>
      <c r="NS2" s="212"/>
      <c r="NT2" s="212"/>
      <c r="NU2" s="212"/>
      <c r="NV2" s="212"/>
      <c r="NW2" s="212"/>
      <c r="NX2" s="212"/>
      <c r="NY2" s="212"/>
      <c r="NZ2" s="212"/>
      <c r="OA2" s="212"/>
      <c r="OB2" s="212"/>
      <c r="OC2" s="212"/>
      <c r="OD2" s="212"/>
      <c r="OE2" s="212"/>
      <c r="OF2" s="212"/>
      <c r="OG2" s="212"/>
      <c r="OH2" s="212"/>
      <c r="OI2" s="212"/>
      <c r="OJ2" s="212"/>
      <c r="OK2" s="212"/>
      <c r="OL2" s="212"/>
      <c r="OM2" s="212"/>
      <c r="ON2" s="212"/>
      <c r="OO2" s="212"/>
      <c r="OP2" s="212"/>
      <c r="OQ2" s="212"/>
      <c r="OR2" s="212"/>
      <c r="OS2" s="212"/>
      <c r="OT2" s="212"/>
      <c r="OU2" s="212"/>
      <c r="OV2" s="212"/>
      <c r="OW2" s="212"/>
      <c r="OX2" s="212"/>
      <c r="OY2" s="212"/>
      <c r="OZ2" s="212"/>
      <c r="PA2" s="212"/>
      <c r="PB2" s="212"/>
      <c r="PC2" s="212"/>
      <c r="PD2" s="212"/>
      <c r="PE2" s="212"/>
      <c r="PF2" s="212"/>
      <c r="PG2" s="212"/>
      <c r="PH2" s="212"/>
      <c r="PI2" s="212"/>
      <c r="PJ2" s="212"/>
      <c r="PK2" s="212"/>
      <c r="PL2" s="212"/>
      <c r="PM2" s="212"/>
      <c r="PN2" s="212"/>
      <c r="PO2" s="212"/>
      <c r="PP2" s="212"/>
      <c r="PQ2" s="212"/>
      <c r="PR2" s="212"/>
      <c r="PS2" s="212"/>
      <c r="PT2" s="212"/>
      <c r="PU2" s="212"/>
      <c r="PV2" s="212"/>
      <c r="PW2" s="212"/>
      <c r="PX2" s="212"/>
      <c r="PY2" s="212"/>
      <c r="PZ2" s="212"/>
      <c r="QA2" s="212"/>
      <c r="QB2" s="212"/>
      <c r="QC2" s="212"/>
      <c r="QD2" s="212"/>
      <c r="QE2" s="212"/>
      <c r="QF2" s="212"/>
      <c r="QG2" s="212"/>
      <c r="QH2" s="212"/>
      <c r="QI2" s="212"/>
      <c r="QJ2" s="212"/>
      <c r="QK2" s="212"/>
      <c r="QL2" s="212"/>
      <c r="QM2" s="212"/>
      <c r="QN2" s="212"/>
      <c r="QO2" s="212"/>
      <c r="QP2" s="212"/>
      <c r="QQ2" s="212"/>
      <c r="QR2" s="212"/>
      <c r="QS2" s="212"/>
      <c r="QT2" s="212"/>
      <c r="QU2" s="212"/>
      <c r="QV2" s="212"/>
      <c r="QW2" s="212"/>
      <c r="QX2" s="212"/>
      <c r="QY2" s="212"/>
      <c r="QZ2" s="212"/>
      <c r="RA2" s="212"/>
      <c r="RB2" s="212"/>
      <c r="RC2" s="212"/>
      <c r="RD2" s="212"/>
      <c r="RE2" s="212"/>
      <c r="RF2" s="212"/>
      <c r="RG2" s="212"/>
      <c r="RH2" s="212"/>
      <c r="RI2" s="212"/>
      <c r="RJ2" s="212"/>
      <c r="RK2" s="212"/>
      <c r="RL2" s="212"/>
      <c r="RM2" s="212"/>
      <c r="RN2" s="212"/>
      <c r="RO2" s="212"/>
      <c r="RP2" s="212"/>
      <c r="RQ2" s="212"/>
      <c r="RR2" s="212"/>
      <c r="RS2" s="212"/>
      <c r="RT2" s="212"/>
      <c r="RU2" s="212"/>
      <c r="RV2" s="212"/>
      <c r="RW2" s="212"/>
      <c r="RX2" s="212"/>
      <c r="RY2" s="212"/>
      <c r="RZ2" s="212"/>
      <c r="SA2" s="212"/>
      <c r="SB2" s="212"/>
      <c r="SC2" s="212"/>
      <c r="SD2" s="212"/>
      <c r="SE2" s="212"/>
      <c r="SF2" s="212"/>
      <c r="SG2" s="212"/>
      <c r="SH2" s="212"/>
      <c r="SI2" s="212"/>
      <c r="SJ2" s="212"/>
      <c r="SK2" s="212"/>
      <c r="SL2" s="212"/>
      <c r="SM2" s="212"/>
      <c r="SN2" s="212"/>
      <c r="SO2" s="212"/>
      <c r="SP2" s="212"/>
      <c r="SQ2" s="212"/>
      <c r="SR2" s="212"/>
      <c r="SS2" s="212"/>
      <c r="ST2" s="212"/>
      <c r="SU2" s="212"/>
      <c r="SV2" s="212"/>
      <c r="SW2" s="212"/>
      <c r="SX2" s="212"/>
      <c r="SY2" s="212"/>
      <c r="SZ2" s="212"/>
      <c r="TA2" s="212"/>
      <c r="TB2" s="212"/>
      <c r="TC2" s="212"/>
      <c r="TD2" s="212"/>
      <c r="TE2" s="212"/>
      <c r="TF2" s="212"/>
      <c r="TG2" s="212"/>
      <c r="TH2" s="212"/>
      <c r="TI2" s="212"/>
      <c r="TJ2" s="212"/>
      <c r="TK2" s="212"/>
      <c r="TL2" s="212"/>
      <c r="TM2" s="212"/>
      <c r="TN2" s="212"/>
      <c r="TO2" s="212"/>
      <c r="TP2" s="212"/>
      <c r="TQ2" s="212"/>
      <c r="TR2" s="212"/>
      <c r="TS2" s="212"/>
      <c r="TT2" s="212"/>
      <c r="TU2" s="212"/>
      <c r="TV2" s="212"/>
      <c r="TW2" s="212"/>
      <c r="TX2" s="212"/>
      <c r="TY2" s="212"/>
      <c r="TZ2" s="212"/>
      <c r="UA2" s="212"/>
      <c r="UB2" s="212"/>
      <c r="UC2" s="212"/>
      <c r="UD2" s="212"/>
      <c r="UE2" s="212"/>
      <c r="UF2" s="212"/>
      <c r="UG2" s="212"/>
      <c r="UH2" s="212"/>
      <c r="UI2" s="212"/>
      <c r="UJ2" s="212"/>
      <c r="UK2" s="212"/>
      <c r="UL2" s="212"/>
      <c r="UM2" s="212"/>
      <c r="UN2" s="212"/>
      <c r="UO2" s="212"/>
      <c r="UP2" s="212"/>
      <c r="UQ2" s="212"/>
      <c r="UR2" s="212"/>
      <c r="US2" s="212"/>
      <c r="UT2" s="212"/>
      <c r="UU2" s="212"/>
      <c r="UV2" s="212"/>
      <c r="UW2" s="212"/>
      <c r="UX2" s="212"/>
      <c r="UY2" s="212"/>
      <c r="UZ2" s="212"/>
      <c r="VA2" s="212"/>
      <c r="VB2" s="212"/>
      <c r="VC2" s="212"/>
      <c r="VD2" s="212"/>
      <c r="VE2" s="212"/>
      <c r="VF2" s="212"/>
      <c r="VG2" s="212"/>
      <c r="VH2" s="212"/>
      <c r="VI2" s="212"/>
      <c r="VJ2" s="212"/>
      <c r="VK2" s="212"/>
      <c r="VL2" s="212"/>
      <c r="VM2" s="212"/>
      <c r="VN2" s="212"/>
      <c r="VO2" s="212"/>
      <c r="VP2" s="212"/>
      <c r="VQ2" s="212"/>
      <c r="VR2" s="212"/>
      <c r="VS2" s="212"/>
      <c r="VT2" s="212"/>
      <c r="VU2" s="212"/>
      <c r="VV2" s="212"/>
      <c r="VW2" s="212"/>
      <c r="VX2" s="212"/>
      <c r="VY2" s="212"/>
      <c r="VZ2" s="212"/>
      <c r="WA2" s="212"/>
      <c r="WB2" s="212"/>
      <c r="WC2" s="212"/>
      <c r="WD2" s="212"/>
      <c r="WE2" s="212"/>
      <c r="WF2" s="212"/>
      <c r="WG2" s="212"/>
      <c r="WH2" s="212"/>
      <c r="WI2" s="212"/>
      <c r="WJ2" s="212"/>
      <c r="WK2" s="212"/>
      <c r="WL2" s="212"/>
      <c r="WM2" s="212"/>
      <c r="WN2" s="212"/>
      <c r="WO2" s="212"/>
      <c r="WP2" s="212"/>
      <c r="WQ2" s="212"/>
      <c r="WR2" s="212"/>
      <c r="WS2" s="212"/>
      <c r="WT2" s="212"/>
      <c r="WU2" s="212"/>
      <c r="WV2" s="212"/>
      <c r="WW2" s="212"/>
      <c r="WX2" s="212"/>
      <c r="WY2" s="212"/>
      <c r="WZ2" s="212"/>
      <c r="XA2" s="212"/>
      <c r="XB2" s="212"/>
      <c r="XC2" s="212"/>
      <c r="XD2" s="212"/>
      <c r="XE2" s="212"/>
      <c r="XF2" s="212"/>
      <c r="XG2" s="212"/>
      <c r="XH2" s="212"/>
      <c r="XI2" s="212"/>
      <c r="XJ2" s="212"/>
      <c r="XK2" s="212"/>
      <c r="XL2" s="212"/>
      <c r="XM2" s="212"/>
      <c r="XN2" s="212"/>
      <c r="XO2" s="212"/>
      <c r="XP2" s="212"/>
      <c r="XQ2" s="212"/>
      <c r="XR2" s="212"/>
      <c r="XS2" s="212"/>
      <c r="XT2" s="212"/>
      <c r="XU2" s="212"/>
      <c r="XV2" s="212"/>
      <c r="XW2" s="212"/>
      <c r="XX2" s="212"/>
      <c r="XY2" s="212"/>
      <c r="XZ2" s="212"/>
      <c r="YA2" s="212"/>
      <c r="YB2" s="212"/>
      <c r="YC2" s="212"/>
      <c r="YD2" s="212"/>
      <c r="YE2" s="212"/>
      <c r="YF2" s="212"/>
      <c r="YG2" s="212"/>
      <c r="YH2" s="212"/>
      <c r="YI2" s="212"/>
      <c r="YJ2" s="212"/>
      <c r="YK2" s="212"/>
      <c r="YL2" s="212"/>
      <c r="YM2" s="212"/>
      <c r="YN2" s="212"/>
      <c r="YO2" s="212"/>
      <c r="YP2" s="212"/>
      <c r="YQ2" s="212"/>
      <c r="YR2" s="212"/>
      <c r="YS2" s="212"/>
      <c r="YT2" s="212"/>
      <c r="YU2" s="212"/>
      <c r="YV2" s="212"/>
      <c r="YW2" s="212"/>
      <c r="YX2" s="212"/>
      <c r="YY2" s="212"/>
      <c r="YZ2" s="212"/>
      <c r="ZA2" s="212"/>
      <c r="ZB2" s="212"/>
      <c r="ZC2" s="212"/>
      <c r="ZD2" s="212"/>
      <c r="ZE2" s="212"/>
      <c r="ZF2" s="212"/>
      <c r="ZG2" s="212"/>
      <c r="ZH2" s="212"/>
      <c r="ZI2" s="212"/>
      <c r="ZJ2" s="212"/>
      <c r="ZK2" s="212"/>
      <c r="ZL2" s="212"/>
      <c r="ZM2" s="212"/>
      <c r="ZN2" s="212"/>
      <c r="ZO2" s="212"/>
      <c r="ZP2" s="212"/>
      <c r="ZQ2" s="212"/>
      <c r="ZR2" s="212"/>
      <c r="ZS2" s="212"/>
      <c r="ZT2" s="212"/>
      <c r="ZU2" s="212"/>
      <c r="ZV2" s="212"/>
      <c r="ZW2" s="212"/>
      <c r="ZX2" s="212"/>
      <c r="ZY2" s="212"/>
      <c r="ZZ2" s="212"/>
      <c r="AAA2" s="212"/>
      <c r="AAB2" s="212"/>
      <c r="AAC2" s="212"/>
      <c r="AAD2" s="212"/>
      <c r="AAE2" s="212"/>
      <c r="AAF2" s="212"/>
      <c r="AAG2" s="212"/>
      <c r="AAH2" s="212"/>
      <c r="AAI2" s="212"/>
      <c r="AAJ2" s="212"/>
      <c r="AAK2" s="212"/>
      <c r="AAL2" s="212"/>
      <c r="AAM2" s="212"/>
      <c r="AAN2" s="212"/>
      <c r="AAO2" s="212"/>
      <c r="AAP2" s="212"/>
      <c r="AAQ2" s="212"/>
      <c r="AAR2" s="212"/>
      <c r="AAS2" s="212"/>
      <c r="AAT2" s="212"/>
      <c r="AAU2" s="212"/>
      <c r="AAV2" s="212"/>
      <c r="AAW2" s="212"/>
      <c r="AAX2" s="212"/>
      <c r="AAY2" s="212"/>
      <c r="AAZ2" s="212"/>
      <c r="ABA2" s="212"/>
      <c r="ABB2" s="212"/>
      <c r="ABC2" s="212"/>
      <c r="ABD2" s="212"/>
      <c r="ABE2" s="212"/>
      <c r="ABF2" s="212"/>
      <c r="ABG2" s="212"/>
      <c r="ABH2" s="212"/>
      <c r="ABI2" s="212"/>
      <c r="ABJ2" s="212"/>
      <c r="ABK2" s="212"/>
      <c r="ABL2" s="212"/>
      <c r="ABM2" s="212"/>
      <c r="ABN2" s="212"/>
      <c r="ABO2" s="212"/>
      <c r="ABP2" s="212"/>
      <c r="ABQ2" s="212"/>
      <c r="ABR2" s="212"/>
      <c r="ABS2" s="212"/>
      <c r="ABT2" s="212"/>
      <c r="ABU2" s="212"/>
      <c r="ABV2" s="212"/>
      <c r="ABW2" s="212"/>
      <c r="ABX2" s="212"/>
      <c r="ABY2" s="212"/>
      <c r="ABZ2" s="212"/>
      <c r="ACA2" s="212"/>
      <c r="ACB2" s="212"/>
      <c r="ACC2" s="212"/>
      <c r="ACD2" s="212"/>
      <c r="ACE2" s="212"/>
      <c r="ACF2" s="212"/>
      <c r="ACG2" s="212"/>
      <c r="ACH2" s="212"/>
      <c r="ACI2" s="212"/>
      <c r="ACJ2" s="212"/>
      <c r="ACK2" s="212"/>
      <c r="ACL2" s="212"/>
      <c r="ACM2" s="212"/>
      <c r="ACN2" s="212"/>
      <c r="ACO2" s="212"/>
      <c r="ACP2" s="212"/>
      <c r="ACQ2" s="212"/>
      <c r="ACR2" s="212"/>
      <c r="ACS2" s="212"/>
      <c r="ACT2" s="212"/>
      <c r="ACU2" s="212"/>
      <c r="ACV2" s="212"/>
      <c r="ACW2" s="212"/>
      <c r="ACX2" s="212"/>
      <c r="ACY2" s="212"/>
      <c r="ACZ2" s="212"/>
      <c r="ADA2" s="212"/>
      <c r="ADB2" s="212"/>
      <c r="ADC2" s="212"/>
      <c r="ADD2" s="212"/>
      <c r="ADE2" s="212"/>
      <c r="ADF2" s="212"/>
      <c r="ADG2" s="212"/>
      <c r="ADH2" s="212"/>
      <c r="ADI2" s="212"/>
      <c r="ADJ2" s="212"/>
      <c r="ADK2" s="212"/>
      <c r="ADL2" s="212"/>
      <c r="ADM2" s="212"/>
      <c r="ADN2" s="212"/>
      <c r="ADO2" s="212"/>
      <c r="ADP2" s="212"/>
      <c r="ADQ2" s="212"/>
      <c r="ADR2" s="212"/>
      <c r="ADS2" s="212"/>
      <c r="ADT2" s="212"/>
      <c r="ADU2" s="212"/>
      <c r="ADV2" s="212"/>
      <c r="ADW2" s="212"/>
      <c r="ADX2" s="212"/>
      <c r="ADY2" s="212"/>
      <c r="ADZ2" s="212"/>
      <c r="AEA2" s="212"/>
      <c r="AEB2" s="212"/>
      <c r="AEC2" s="212"/>
      <c r="AED2" s="212"/>
      <c r="AEE2" s="212"/>
      <c r="AEF2" s="212"/>
      <c r="AEG2" s="212"/>
      <c r="AEH2" s="212"/>
      <c r="AEI2" s="212"/>
      <c r="AEJ2" s="212"/>
      <c r="AEK2" s="212"/>
      <c r="AEL2" s="212"/>
      <c r="AEM2" s="212"/>
      <c r="AEN2" s="212"/>
      <c r="AEO2" s="212"/>
      <c r="AEP2" s="212"/>
      <c r="AEQ2" s="212"/>
      <c r="AER2" s="212"/>
      <c r="AES2" s="212"/>
      <c r="AET2" s="212"/>
      <c r="AEU2" s="212"/>
      <c r="AEV2" s="212"/>
      <c r="AEW2" s="212"/>
      <c r="AEX2" s="212"/>
      <c r="AEY2" s="212"/>
      <c r="AEZ2" s="212"/>
      <c r="AFA2" s="212"/>
      <c r="AFB2" s="212"/>
      <c r="AFC2" s="212"/>
      <c r="AFD2" s="212"/>
      <c r="AFE2" s="212"/>
      <c r="AFF2" s="212"/>
      <c r="AFG2" s="212"/>
      <c r="AFH2" s="212"/>
      <c r="AFI2" s="212"/>
      <c r="AFJ2" s="212"/>
      <c r="AFK2" s="212"/>
      <c r="AFL2" s="212"/>
      <c r="AFM2" s="212"/>
      <c r="AFN2" s="212"/>
      <c r="AFO2" s="212"/>
      <c r="AFP2" s="212"/>
      <c r="AFQ2" s="212"/>
      <c r="AFR2" s="212"/>
      <c r="AFS2" s="212"/>
      <c r="AFT2" s="212"/>
      <c r="AFU2" s="212"/>
      <c r="AFV2" s="212"/>
      <c r="AFW2" s="212"/>
      <c r="AFX2" s="212"/>
      <c r="AFY2" s="212"/>
      <c r="AFZ2" s="212"/>
      <c r="AGA2" s="212"/>
      <c r="AGB2" s="212"/>
      <c r="AGC2" s="212"/>
      <c r="AGD2" s="212"/>
      <c r="AGE2" s="212"/>
      <c r="AGF2" s="212"/>
      <c r="AGG2" s="212"/>
      <c r="AGH2" s="212"/>
      <c r="AGI2" s="212"/>
      <c r="AGJ2" s="212"/>
      <c r="AGK2" s="212"/>
      <c r="AGL2" s="212"/>
      <c r="AGM2" s="212"/>
      <c r="AGN2" s="212"/>
      <c r="AGO2" s="212"/>
      <c r="AGP2" s="212"/>
      <c r="AGQ2" s="212"/>
      <c r="AGR2" s="212"/>
      <c r="AGS2" s="212"/>
      <c r="AGT2" s="212"/>
      <c r="AGU2" s="212"/>
      <c r="AGV2" s="212"/>
      <c r="AGW2" s="212"/>
      <c r="AGX2" s="212"/>
      <c r="AGY2" s="212"/>
      <c r="AGZ2" s="212"/>
      <c r="AHA2" s="212"/>
      <c r="AHB2" s="212"/>
      <c r="AHC2" s="212"/>
      <c r="AHD2" s="212"/>
      <c r="AHE2" s="212"/>
      <c r="AHF2" s="212"/>
      <c r="AHG2" s="212"/>
      <c r="AHH2" s="212"/>
      <c r="AHI2" s="212"/>
      <c r="AHJ2" s="212"/>
      <c r="AHK2" s="212"/>
      <c r="AHL2" s="212"/>
      <c r="AHM2" s="212"/>
      <c r="AHN2" s="212"/>
      <c r="AHO2" s="212"/>
      <c r="AHP2" s="212"/>
      <c r="AHQ2" s="212"/>
      <c r="AHR2" s="212"/>
      <c r="AHS2" s="212"/>
      <c r="AHT2" s="212"/>
      <c r="AHU2" s="212"/>
      <c r="AHV2" s="212"/>
      <c r="AHW2" s="212"/>
      <c r="AHX2" s="212"/>
      <c r="AHY2" s="212"/>
      <c r="AHZ2" s="212"/>
      <c r="AIA2" s="212"/>
      <c r="AIB2" s="212"/>
      <c r="AIC2" s="212"/>
      <c r="AID2" s="212"/>
      <c r="AIE2" s="212"/>
      <c r="AIF2" s="212"/>
      <c r="AIG2" s="212"/>
      <c r="AIH2" s="212"/>
      <c r="AII2" s="212"/>
      <c r="AIJ2" s="212"/>
      <c r="AIK2" s="212"/>
      <c r="AIL2" s="212"/>
      <c r="AIM2" s="212"/>
      <c r="AIN2" s="212"/>
      <c r="AIO2" s="212"/>
      <c r="AIP2" s="212"/>
      <c r="AIQ2" s="212"/>
      <c r="AIR2" s="212"/>
      <c r="AIS2" s="212"/>
      <c r="AIT2" s="212"/>
      <c r="AIU2" s="212"/>
      <c r="AIV2" s="212"/>
      <c r="AIW2" s="212"/>
      <c r="AIX2" s="212"/>
      <c r="AIY2" s="212"/>
      <c r="AIZ2" s="212"/>
      <c r="AJA2" s="212"/>
      <c r="AJB2" s="212"/>
      <c r="AJC2" s="212"/>
      <c r="AJD2" s="212"/>
      <c r="AJE2" s="212"/>
      <c r="AJF2" s="212"/>
      <c r="AJG2" s="212"/>
      <c r="AJH2" s="212"/>
      <c r="AJI2" s="212"/>
      <c r="AJJ2" s="212"/>
      <c r="AJK2" s="212"/>
      <c r="AJL2" s="212"/>
      <c r="AJM2" s="212"/>
      <c r="AJN2" s="212"/>
      <c r="AJO2" s="212"/>
      <c r="AJP2" s="212"/>
      <c r="AJQ2" s="212"/>
      <c r="AJR2" s="212"/>
      <c r="AJS2" s="212"/>
      <c r="AJT2" s="212"/>
      <c r="AJU2" s="212"/>
      <c r="AJV2" s="212"/>
      <c r="AJW2" s="212"/>
      <c r="AJX2" s="212"/>
      <c r="AJY2" s="212"/>
      <c r="AJZ2" s="212"/>
      <c r="AKA2" s="212"/>
      <c r="AKB2" s="212"/>
      <c r="AKC2" s="212"/>
      <c r="AKD2" s="212"/>
      <c r="AKE2" s="212"/>
      <c r="AKF2" s="212"/>
      <c r="AKG2" s="212"/>
      <c r="AKH2" s="212"/>
      <c r="AKI2" s="212"/>
      <c r="AKJ2" s="212"/>
      <c r="AKK2" s="212"/>
      <c r="AKL2" s="212"/>
      <c r="AKM2" s="212"/>
      <c r="AKN2" s="212"/>
      <c r="AKO2" s="212"/>
      <c r="AKP2" s="212"/>
      <c r="AKQ2" s="212"/>
      <c r="AKR2" s="212"/>
      <c r="AKS2" s="212"/>
      <c r="AKT2" s="212"/>
      <c r="AKU2" s="212"/>
      <c r="AKV2" s="212"/>
      <c r="AKW2" s="212"/>
      <c r="AKX2" s="212"/>
      <c r="AKY2" s="212"/>
      <c r="AKZ2" s="212"/>
      <c r="ALA2" s="212"/>
      <c r="ALB2" s="212"/>
      <c r="ALC2" s="212"/>
      <c r="ALD2" s="212"/>
      <c r="ALE2" s="212"/>
      <c r="ALF2" s="212"/>
      <c r="ALG2" s="212"/>
      <c r="ALH2" s="212"/>
      <c r="ALI2" s="212"/>
      <c r="ALJ2" s="212"/>
      <c r="ALK2" s="212"/>
      <c r="ALL2" s="212"/>
      <c r="ALM2" s="212"/>
      <c r="ALN2" s="212"/>
      <c r="ALO2" s="212"/>
      <c r="ALP2" s="212"/>
      <c r="ALQ2" s="212"/>
      <c r="ALR2" s="212"/>
      <c r="ALS2" s="212"/>
      <c r="ALT2" s="212"/>
      <c r="ALU2" s="212"/>
      <c r="ALV2" s="212"/>
      <c r="ALW2" s="212"/>
      <c r="ALX2" s="212"/>
      <c r="ALY2" s="212"/>
      <c r="ALZ2" s="212"/>
      <c r="AMA2" s="212"/>
      <c r="AMB2" s="212"/>
      <c r="AMC2" s="212"/>
      <c r="AMD2" s="212"/>
      <c r="AME2" s="212"/>
      <c r="AMF2" s="212"/>
      <c r="AMG2" s="212"/>
      <c r="AMH2" s="212"/>
      <c r="AMI2" s="212"/>
      <c r="AMJ2" s="212"/>
    </row>
    <row r="3" spans="1:1024" s="214" customFormat="1" x14ac:dyDescent="0.25">
      <c r="A3" s="217"/>
      <c r="B3" s="217"/>
      <c r="C3" s="217"/>
      <c r="D3" s="217"/>
      <c r="E3" s="217"/>
      <c r="F3" s="217"/>
      <c r="G3" s="217"/>
    </row>
    <row r="4" spans="1:1024" s="214" customFormat="1" x14ac:dyDescent="0.25">
      <c r="A4" s="217"/>
      <c r="B4" s="218" t="s">
        <v>196</v>
      </c>
      <c r="C4" s="899" t="s">
        <v>602</v>
      </c>
      <c r="D4" s="899"/>
      <c r="E4" s="899"/>
      <c r="F4" s="899"/>
      <c r="G4" s="217"/>
    </row>
    <row r="5" spans="1:1024" s="214" customFormat="1" ht="31.5" x14ac:dyDescent="0.25">
      <c r="A5" s="217"/>
      <c r="B5" s="218" t="s">
        <v>197</v>
      </c>
      <c r="C5" s="899" t="s">
        <v>603</v>
      </c>
      <c r="D5" s="899"/>
      <c r="E5" s="899"/>
      <c r="F5" s="899"/>
      <c r="G5" s="217"/>
    </row>
    <row r="6" spans="1:1024" s="214" customFormat="1" x14ac:dyDescent="0.25">
      <c r="A6" s="217"/>
      <c r="B6" s="218" t="s">
        <v>199</v>
      </c>
      <c r="C6" s="899" t="s">
        <v>1109</v>
      </c>
      <c r="D6" s="899"/>
      <c r="E6" s="899"/>
      <c r="F6" s="899"/>
      <c r="G6" s="217"/>
    </row>
    <row r="7" spans="1:1024" s="214" customFormat="1" x14ac:dyDescent="0.25">
      <c r="A7" s="217"/>
      <c r="B7" s="218" t="s">
        <v>201</v>
      </c>
      <c r="C7" s="899" t="s">
        <v>1130</v>
      </c>
      <c r="D7" s="899"/>
      <c r="E7" s="899"/>
      <c r="F7" s="899"/>
      <c r="G7" s="217"/>
    </row>
    <row r="8" spans="1:1024" s="214" customFormat="1" ht="31.5" x14ac:dyDescent="0.25">
      <c r="A8" s="217"/>
      <c r="B8" s="218" t="s">
        <v>1110</v>
      </c>
      <c r="C8" s="899" t="s">
        <v>1131</v>
      </c>
      <c r="D8" s="899"/>
      <c r="E8" s="899"/>
      <c r="F8" s="899"/>
      <c r="G8" s="217"/>
    </row>
    <row r="9" spans="1:1024" s="214" customFormat="1" x14ac:dyDescent="0.25">
      <c r="A9" s="217"/>
      <c r="B9" s="218" t="s">
        <v>204</v>
      </c>
      <c r="C9" s="899">
        <v>5</v>
      </c>
      <c r="D9" s="899"/>
      <c r="E9" s="899"/>
      <c r="F9" s="899"/>
      <c r="G9" s="217"/>
    </row>
    <row r="10" spans="1:1024" s="214" customFormat="1" x14ac:dyDescent="0.25">
      <c r="A10" s="217"/>
      <c r="B10" s="219"/>
      <c r="C10" s="219"/>
      <c r="D10" s="219"/>
      <c r="E10" s="219"/>
      <c r="F10" s="219"/>
      <c r="G10" s="217"/>
    </row>
    <row r="11" spans="1:1024" s="214" customFormat="1" x14ac:dyDescent="0.25">
      <c r="A11" s="217"/>
      <c r="B11" s="900" t="s">
        <v>1111</v>
      </c>
      <c r="C11" s="900"/>
      <c r="D11" s="900"/>
      <c r="E11" s="900"/>
      <c r="F11" s="900"/>
      <c r="G11" s="217"/>
    </row>
    <row r="12" spans="1:1024" s="214" customFormat="1" x14ac:dyDescent="0.25">
      <c r="A12" s="217"/>
      <c r="B12" s="900" t="s">
        <v>207</v>
      </c>
      <c r="C12" s="900"/>
      <c r="D12" s="900" t="s">
        <v>208</v>
      </c>
      <c r="E12" s="900"/>
      <c r="F12" s="900"/>
      <c r="G12" s="217"/>
    </row>
    <row r="13" spans="1:1024" s="214" customFormat="1" ht="88.5" customHeight="1" x14ac:dyDescent="0.25">
      <c r="A13" s="217"/>
      <c r="B13" s="896" t="s">
        <v>1132</v>
      </c>
      <c r="C13" s="896"/>
      <c r="D13" s="897" t="s">
        <v>1133</v>
      </c>
      <c r="E13" s="897"/>
      <c r="F13" s="897"/>
      <c r="G13" s="217"/>
    </row>
    <row r="14" spans="1:1024" s="214" customFormat="1" x14ac:dyDescent="0.25">
      <c r="A14" s="217"/>
      <c r="B14" s="898" t="s">
        <v>1134</v>
      </c>
      <c r="C14" s="898"/>
      <c r="D14" s="898" t="s">
        <v>1135</v>
      </c>
      <c r="E14" s="898"/>
      <c r="F14" s="898"/>
      <c r="G14" s="217"/>
    </row>
    <row r="15" spans="1:1024" s="214" customFormat="1" x14ac:dyDescent="0.25">
      <c r="A15" s="217"/>
      <c r="B15" s="901" t="s">
        <v>1136</v>
      </c>
      <c r="C15" s="901"/>
      <c r="D15" s="901" t="s">
        <v>1137</v>
      </c>
      <c r="E15" s="901"/>
      <c r="F15" s="901"/>
      <c r="G15" s="217"/>
    </row>
    <row r="16" spans="1:1024" s="214" customFormat="1" x14ac:dyDescent="0.25">
      <c r="A16" s="217"/>
      <c r="B16" s="220"/>
      <c r="C16" s="220"/>
      <c r="D16" s="220"/>
      <c r="E16" s="220"/>
      <c r="F16" s="220"/>
      <c r="G16" s="217"/>
    </row>
    <row r="17" spans="1:7" s="214" customFormat="1" x14ac:dyDescent="0.25">
      <c r="A17" s="217"/>
      <c r="B17" s="902" t="s">
        <v>1112</v>
      </c>
      <c r="C17" s="902"/>
      <c r="D17" s="902"/>
      <c r="E17" s="902"/>
      <c r="F17" s="902"/>
      <c r="G17" s="217"/>
    </row>
    <row r="18" spans="1:7" s="214" customFormat="1" x14ac:dyDescent="0.25">
      <c r="A18" s="217"/>
      <c r="B18" s="903" t="s">
        <v>1113</v>
      </c>
      <c r="C18" s="903"/>
      <c r="D18" s="903"/>
      <c r="E18" s="903" t="s">
        <v>207</v>
      </c>
      <c r="F18" s="903"/>
      <c r="G18" s="217"/>
    </row>
    <row r="19" spans="1:7" s="214" customFormat="1" x14ac:dyDescent="0.25">
      <c r="A19" s="217"/>
      <c r="B19" s="905" t="s">
        <v>1138</v>
      </c>
      <c r="C19" s="905"/>
      <c r="D19" s="905"/>
      <c r="E19" s="906"/>
      <c r="F19" s="905"/>
      <c r="G19" s="217"/>
    </row>
    <row r="20" spans="1:7" s="214" customFormat="1" x14ac:dyDescent="0.25">
      <c r="A20" s="217"/>
      <c r="B20" s="905" t="s">
        <v>1139</v>
      </c>
      <c r="C20" s="905"/>
      <c r="D20" s="905"/>
      <c r="E20" s="906"/>
      <c r="F20" s="905"/>
      <c r="G20" s="217"/>
    </row>
    <row r="21" spans="1:7" s="214" customFormat="1" x14ac:dyDescent="0.25">
      <c r="A21" s="217"/>
      <c r="B21" s="905"/>
      <c r="C21" s="905"/>
      <c r="D21" s="905"/>
      <c r="E21" s="906"/>
      <c r="F21" s="905"/>
      <c r="G21" s="217"/>
    </row>
    <row r="22" spans="1:7" s="214" customFormat="1" x14ac:dyDescent="0.25">
      <c r="A22" s="217"/>
      <c r="B22" s="905"/>
      <c r="C22" s="905"/>
      <c r="D22" s="905"/>
      <c r="E22" s="906"/>
      <c r="F22" s="905"/>
      <c r="G22" s="217"/>
    </row>
    <row r="23" spans="1:7" s="214" customFormat="1" x14ac:dyDescent="0.25">
      <c r="A23" s="217"/>
      <c r="B23" s="221"/>
      <c r="C23" s="221"/>
      <c r="D23" s="221"/>
      <c r="E23" s="222"/>
      <c r="F23" s="221"/>
      <c r="G23" s="217"/>
    </row>
    <row r="24" spans="1:7" s="214" customFormat="1" ht="31.5" x14ac:dyDescent="0.25">
      <c r="A24" s="217"/>
      <c r="B24" s="229" t="s">
        <v>210</v>
      </c>
      <c r="C24" s="224" t="s">
        <v>211</v>
      </c>
      <c r="D24" s="224" t="s">
        <v>212</v>
      </c>
      <c r="E24" s="224" t="s">
        <v>213</v>
      </c>
      <c r="F24" s="229" t="s">
        <v>214</v>
      </c>
      <c r="G24" s="217"/>
    </row>
    <row r="25" spans="1:7" s="214" customFormat="1" ht="78.75" x14ac:dyDescent="0.25">
      <c r="A25" s="217"/>
      <c r="B25" s="225" t="s">
        <v>1127</v>
      </c>
      <c r="C25" s="226">
        <v>42</v>
      </c>
      <c r="D25" s="226">
        <v>4</v>
      </c>
      <c r="E25" s="226">
        <v>4</v>
      </c>
      <c r="F25" s="225" t="s">
        <v>608</v>
      </c>
      <c r="G25" s="217"/>
    </row>
    <row r="26" spans="1:7" s="214" customFormat="1" ht="15.6" customHeight="1" x14ac:dyDescent="0.25">
      <c r="A26" s="217"/>
      <c r="B26" s="220"/>
      <c r="C26" s="220"/>
      <c r="D26" s="220"/>
      <c r="E26" s="220"/>
      <c r="F26" s="220"/>
      <c r="G26" s="217"/>
    </row>
    <row r="27" spans="1:7" s="214" customFormat="1" x14ac:dyDescent="0.25">
      <c r="A27" s="217"/>
      <c r="B27" s="910" t="s">
        <v>219</v>
      </c>
      <c r="C27" s="910"/>
      <c r="D27" s="910"/>
      <c r="E27" s="910"/>
      <c r="F27" s="910"/>
      <c r="G27" s="217"/>
    </row>
    <row r="28" spans="1:7" s="214" customFormat="1" ht="65.45" customHeight="1" x14ac:dyDescent="0.25">
      <c r="A28" s="217"/>
      <c r="B28" s="909" t="s">
        <v>472</v>
      </c>
      <c r="C28" s="909"/>
      <c r="D28" s="909"/>
      <c r="E28" s="909"/>
      <c r="F28" s="909"/>
      <c r="G28" s="217"/>
    </row>
    <row r="29" spans="1:7" s="214" customFormat="1" ht="25.9" customHeight="1" x14ac:dyDescent="0.25">
      <c r="A29" s="217"/>
      <c r="B29" s="227"/>
      <c r="C29" s="227"/>
      <c r="D29" s="227"/>
      <c r="E29" s="227"/>
      <c r="F29" s="227"/>
      <c r="G29" s="228"/>
    </row>
    <row r="30" spans="1:7" s="214" customFormat="1" ht="24.75" customHeight="1" x14ac:dyDescent="0.25">
      <c r="A30" s="217"/>
      <c r="B30" s="908" t="s">
        <v>220</v>
      </c>
      <c r="C30" s="908"/>
      <c r="D30" s="908"/>
      <c r="E30" s="908"/>
      <c r="F30" s="908"/>
      <c r="G30" s="217"/>
    </row>
    <row r="31" spans="1:7" s="214" customFormat="1" ht="159" customHeight="1" x14ac:dyDescent="0.25">
      <c r="A31" s="217"/>
      <c r="B31" s="909" t="s">
        <v>1140</v>
      </c>
      <c r="C31" s="909"/>
      <c r="D31" s="909"/>
      <c r="E31" s="909"/>
      <c r="F31" s="909"/>
      <c r="G31" s="217"/>
    </row>
    <row r="32" spans="1:7" s="214" customFormat="1" ht="15" customHeight="1" x14ac:dyDescent="0.25">
      <c r="A32" s="217"/>
      <c r="B32" s="219"/>
      <c r="C32" s="219"/>
      <c r="D32" s="219"/>
      <c r="E32" s="219"/>
      <c r="F32" s="219"/>
      <c r="G32" s="217"/>
    </row>
    <row r="33" spans="1:7" s="214" customFormat="1" ht="17.25" customHeight="1" x14ac:dyDescent="0.25">
      <c r="A33" s="217"/>
      <c r="B33" s="910" t="s">
        <v>1114</v>
      </c>
      <c r="C33" s="910"/>
      <c r="D33" s="910"/>
      <c r="E33" s="910"/>
      <c r="F33" s="910"/>
      <c r="G33" s="217"/>
    </row>
    <row r="34" spans="1:7" s="214" customFormat="1" ht="125.45" customHeight="1" x14ac:dyDescent="0.25">
      <c r="A34" s="217"/>
      <c r="B34" s="909" t="s">
        <v>1141</v>
      </c>
      <c r="C34" s="909"/>
      <c r="D34" s="909"/>
      <c r="E34" s="909"/>
      <c r="F34" s="909"/>
      <c r="G34" s="217"/>
    </row>
    <row r="35" spans="1:7" s="214" customFormat="1" ht="15.75" customHeight="1" x14ac:dyDescent="0.25">
      <c r="A35" s="217"/>
      <c r="B35" s="219"/>
      <c r="C35" s="219"/>
      <c r="D35" s="219"/>
      <c r="E35" s="219"/>
      <c r="F35" s="219"/>
      <c r="G35" s="217"/>
    </row>
    <row r="36" spans="1:7" s="214" customFormat="1" ht="20.25" customHeight="1" x14ac:dyDescent="0.25">
      <c r="A36" s="217"/>
      <c r="B36" s="910" t="s">
        <v>1115</v>
      </c>
      <c r="C36" s="910"/>
      <c r="D36" s="910"/>
      <c r="E36" s="910"/>
      <c r="F36" s="910"/>
      <c r="G36" s="217"/>
    </row>
    <row r="37" spans="1:7" s="214" customFormat="1" ht="15.75" customHeight="1" x14ac:dyDescent="0.25">
      <c r="A37" s="217"/>
      <c r="B37" s="914" t="s">
        <v>1142</v>
      </c>
      <c r="C37" s="914"/>
      <c r="D37" s="914"/>
      <c r="E37" s="914"/>
      <c r="F37" s="914"/>
      <c r="G37" s="217"/>
    </row>
    <row r="38" spans="1:7" s="214" customFormat="1" ht="15.75" customHeight="1" x14ac:dyDescent="0.25">
      <c r="A38" s="217"/>
      <c r="B38" s="219"/>
      <c r="C38" s="219"/>
      <c r="D38" s="219"/>
      <c r="E38" s="219"/>
      <c r="F38" s="219"/>
      <c r="G38" s="217"/>
    </row>
    <row r="39" spans="1:7" s="214" customFormat="1" ht="30.75" customHeight="1" x14ac:dyDescent="0.25">
      <c r="A39" s="217"/>
      <c r="B39" s="915" t="s">
        <v>1116</v>
      </c>
      <c r="C39" s="915"/>
      <c r="D39" s="915"/>
      <c r="E39" s="915"/>
      <c r="F39" s="915"/>
      <c r="G39" s="217"/>
    </row>
    <row r="40" spans="1:7" s="214" customFormat="1" ht="31.5" x14ac:dyDescent="0.25">
      <c r="A40" s="217"/>
      <c r="B40" s="230" t="s">
        <v>1117</v>
      </c>
      <c r="C40" s="910" t="s">
        <v>1118</v>
      </c>
      <c r="D40" s="910"/>
      <c r="E40" s="910"/>
      <c r="F40" s="910"/>
      <c r="G40" s="217"/>
    </row>
    <row r="41" spans="1:7" s="214" customFormat="1" ht="33" customHeight="1" x14ac:dyDescent="0.25">
      <c r="A41" s="217"/>
      <c r="B41" s="231" t="s">
        <v>1143</v>
      </c>
      <c r="C41" s="907" t="s">
        <v>1144</v>
      </c>
      <c r="D41" s="907"/>
      <c r="E41" s="907"/>
      <c r="F41" s="907"/>
      <c r="G41" s="217"/>
    </row>
    <row r="42" spans="1:7" s="214" customFormat="1" ht="64.900000000000006" customHeight="1" x14ac:dyDescent="0.25">
      <c r="A42" s="217"/>
      <c r="B42" s="231" t="s">
        <v>1145</v>
      </c>
      <c r="C42" s="907" t="s">
        <v>1146</v>
      </c>
      <c r="D42" s="907"/>
      <c r="E42" s="907"/>
      <c r="F42" s="907"/>
      <c r="G42" s="217"/>
    </row>
    <row r="43" spans="1:7" s="214" customFormat="1" ht="11.45" customHeight="1" x14ac:dyDescent="0.25">
      <c r="A43" s="217"/>
      <c r="B43" s="232"/>
      <c r="C43" s="233"/>
      <c r="D43" s="233"/>
      <c r="E43" s="233"/>
      <c r="F43" s="233"/>
      <c r="G43" s="217"/>
    </row>
    <row r="44" spans="1:7" s="214" customFormat="1" x14ac:dyDescent="0.25">
      <c r="A44" s="217"/>
      <c r="B44" s="910" t="s">
        <v>1119</v>
      </c>
      <c r="C44" s="910"/>
      <c r="D44" s="910"/>
      <c r="E44" s="910"/>
      <c r="F44" s="910"/>
      <c r="G44" s="217"/>
    </row>
    <row r="45" spans="1:7" s="214" customFormat="1" x14ac:dyDescent="0.25">
      <c r="A45" s="217"/>
      <c r="B45" s="234" t="s">
        <v>1120</v>
      </c>
      <c r="C45" s="910" t="s">
        <v>1121</v>
      </c>
      <c r="D45" s="910"/>
      <c r="E45" s="910"/>
      <c r="F45" s="910"/>
      <c r="G45" s="217"/>
    </row>
    <row r="46" spans="1:7" s="214" customFormat="1" x14ac:dyDescent="0.25">
      <c r="A46" s="217"/>
      <c r="B46" s="916" t="s">
        <v>1143</v>
      </c>
      <c r="C46" s="917" t="s">
        <v>1147</v>
      </c>
      <c r="D46" s="917"/>
      <c r="E46" s="917"/>
      <c r="F46" s="917"/>
      <c r="G46" s="217"/>
    </row>
    <row r="47" spans="1:7" s="214" customFormat="1" x14ac:dyDescent="0.25">
      <c r="A47" s="217"/>
      <c r="B47" s="916"/>
      <c r="C47" s="917" t="s">
        <v>293</v>
      </c>
      <c r="D47" s="917"/>
      <c r="E47" s="917"/>
      <c r="F47" s="917"/>
      <c r="G47" s="217"/>
    </row>
    <row r="48" spans="1:7" s="214" customFormat="1" x14ac:dyDescent="0.25">
      <c r="A48" s="217"/>
      <c r="B48" s="916"/>
      <c r="C48" s="917" t="s">
        <v>38</v>
      </c>
      <c r="D48" s="917"/>
      <c r="E48" s="917"/>
      <c r="F48" s="917"/>
      <c r="G48" s="217"/>
    </row>
    <row r="49" spans="1:7" s="214" customFormat="1" x14ac:dyDescent="0.25">
      <c r="A49" s="217"/>
      <c r="B49" s="916"/>
      <c r="C49" s="917" t="s">
        <v>1122</v>
      </c>
      <c r="D49" s="917"/>
      <c r="E49" s="917"/>
      <c r="F49" s="917"/>
      <c r="G49" s="217"/>
    </row>
    <row r="50" spans="1:7" s="214" customFormat="1" x14ac:dyDescent="0.25">
      <c r="A50" s="217"/>
      <c r="B50" s="916"/>
      <c r="C50" s="911" t="s">
        <v>1148</v>
      </c>
      <c r="D50" s="912"/>
      <c r="E50" s="912"/>
      <c r="F50" s="913"/>
      <c r="G50" s="217"/>
    </row>
    <row r="51" spans="1:7" s="214" customFormat="1" x14ac:dyDescent="0.25">
      <c r="A51" s="217"/>
      <c r="B51" s="916"/>
      <c r="C51" s="917" t="s">
        <v>40</v>
      </c>
      <c r="D51" s="917"/>
      <c r="E51" s="917"/>
      <c r="F51" s="917"/>
      <c r="G51" s="217"/>
    </row>
    <row r="52" spans="1:7" s="214" customFormat="1" x14ac:dyDescent="0.25">
      <c r="A52" s="217"/>
      <c r="B52" s="918" t="s">
        <v>1145</v>
      </c>
      <c r="C52" s="911" t="s">
        <v>1148</v>
      </c>
      <c r="D52" s="912"/>
      <c r="E52" s="912"/>
      <c r="F52" s="913"/>
      <c r="G52" s="217"/>
    </row>
    <row r="53" spans="1:7" s="214" customFormat="1" x14ac:dyDescent="0.25">
      <c r="A53" s="217"/>
      <c r="B53" s="919"/>
      <c r="C53" s="911" t="s">
        <v>256</v>
      </c>
      <c r="D53" s="912"/>
      <c r="E53" s="912"/>
      <c r="F53" s="913"/>
      <c r="G53" s="217"/>
    </row>
    <row r="54" spans="1:7" s="214" customFormat="1" x14ac:dyDescent="0.25">
      <c r="A54" s="217"/>
      <c r="B54" s="919"/>
      <c r="C54" s="911" t="s">
        <v>1149</v>
      </c>
      <c r="D54" s="912"/>
      <c r="E54" s="912"/>
      <c r="F54" s="913"/>
      <c r="G54" s="217"/>
    </row>
    <row r="55" spans="1:7" s="214" customFormat="1" x14ac:dyDescent="0.25">
      <c r="A55" s="217"/>
      <c r="B55" s="919"/>
      <c r="C55" s="911" t="s">
        <v>44</v>
      </c>
      <c r="D55" s="912"/>
      <c r="E55" s="912"/>
      <c r="F55" s="913"/>
      <c r="G55" s="217"/>
    </row>
    <row r="56" spans="1:7" s="214" customFormat="1" x14ac:dyDescent="0.25">
      <c r="A56" s="217"/>
      <c r="B56" s="920"/>
      <c r="C56" s="917" t="s">
        <v>34</v>
      </c>
      <c r="D56" s="917"/>
      <c r="E56" s="917"/>
      <c r="F56" s="917"/>
      <c r="G56" s="217"/>
    </row>
    <row r="57" spans="1:7" s="214" customFormat="1" ht="13.15" customHeight="1" x14ac:dyDescent="0.25">
      <c r="A57" s="217"/>
      <c r="B57" s="219"/>
      <c r="C57" s="219"/>
      <c r="D57" s="219"/>
      <c r="E57" s="219"/>
      <c r="F57" s="219"/>
      <c r="G57" s="217"/>
    </row>
    <row r="58" spans="1:7" s="214" customFormat="1" ht="18.75" customHeight="1" x14ac:dyDescent="0.25">
      <c r="A58" s="217"/>
      <c r="B58" s="910" t="s">
        <v>226</v>
      </c>
      <c r="C58" s="910"/>
      <c r="D58" s="910"/>
      <c r="E58" s="910"/>
      <c r="F58" s="910"/>
      <c r="G58" s="217"/>
    </row>
    <row r="59" spans="1:7" s="214" customFormat="1" ht="347.45" customHeight="1" x14ac:dyDescent="0.25">
      <c r="A59" s="217"/>
      <c r="B59" s="921" t="s">
        <v>1166</v>
      </c>
      <c r="C59" s="922"/>
      <c r="D59" s="922"/>
      <c r="E59" s="922"/>
      <c r="F59" s="923"/>
      <c r="G59" s="217"/>
    </row>
    <row r="60" spans="1:7" s="214" customFormat="1" ht="334.9" customHeight="1" x14ac:dyDescent="0.25">
      <c r="A60" s="217"/>
      <c r="B60" s="1031" t="s">
        <v>1167</v>
      </c>
      <c r="C60" s="1032"/>
      <c r="D60" s="1032"/>
      <c r="E60" s="1032"/>
      <c r="F60" s="1033"/>
      <c r="G60" s="217"/>
    </row>
    <row r="61" spans="1:7" s="214" customFormat="1" ht="17.25" customHeight="1" x14ac:dyDescent="0.25">
      <c r="A61" s="217"/>
      <c r="B61" s="235"/>
      <c r="C61" s="235"/>
      <c r="D61" s="235"/>
      <c r="E61" s="235"/>
      <c r="F61" s="235"/>
      <c r="G61" s="217"/>
    </row>
    <row r="62" spans="1:7" s="214" customFormat="1" x14ac:dyDescent="0.25">
      <c r="A62" s="217"/>
      <c r="B62" s="910" t="s">
        <v>227</v>
      </c>
      <c r="C62" s="910"/>
      <c r="D62" s="910"/>
      <c r="E62" s="910"/>
      <c r="F62" s="910"/>
      <c r="G62" s="217"/>
    </row>
    <row r="63" spans="1:7" s="214" customFormat="1" ht="205.9" customHeight="1" x14ac:dyDescent="0.25">
      <c r="A63" s="217"/>
      <c r="B63" s="927" t="s">
        <v>1168</v>
      </c>
      <c r="C63" s="912"/>
      <c r="D63" s="912"/>
      <c r="E63" s="912"/>
      <c r="F63" s="913"/>
      <c r="G63" s="217"/>
    </row>
    <row r="64" spans="1:7" s="214" customFormat="1" x14ac:dyDescent="0.25">
      <c r="A64" s="217"/>
      <c r="B64" s="219"/>
      <c r="C64" s="219"/>
      <c r="D64" s="219"/>
      <c r="E64" s="219"/>
      <c r="F64" s="219"/>
      <c r="G64" s="217"/>
    </row>
    <row r="65" spans="1:7" s="214" customFormat="1" x14ac:dyDescent="0.25">
      <c r="A65" s="217"/>
      <c r="B65" s="910" t="s">
        <v>232</v>
      </c>
      <c r="C65" s="910"/>
      <c r="D65" s="910"/>
      <c r="E65" s="910"/>
      <c r="F65" s="910"/>
      <c r="G65" s="217"/>
    </row>
    <row r="66" spans="1:7" s="214" customFormat="1" ht="48" customHeight="1" x14ac:dyDescent="0.25">
      <c r="A66" s="217"/>
      <c r="B66" s="909" t="s">
        <v>1150</v>
      </c>
      <c r="C66" s="928"/>
      <c r="D66" s="928"/>
      <c r="E66" s="928"/>
      <c r="F66" s="928"/>
      <c r="G66" s="217"/>
    </row>
    <row r="67" spans="1:7" s="214" customFormat="1" ht="12.6" customHeight="1" x14ac:dyDescent="0.25">
      <c r="A67" s="217"/>
      <c r="B67" s="219"/>
      <c r="C67" s="219"/>
      <c r="D67" s="219"/>
      <c r="E67" s="219"/>
      <c r="F67" s="219"/>
      <c r="G67" s="217"/>
    </row>
    <row r="68" spans="1:7" s="214" customFormat="1" ht="36.75" customHeight="1" x14ac:dyDescent="0.25">
      <c r="A68" s="217"/>
      <c r="B68" s="929" t="s">
        <v>614</v>
      </c>
      <c r="C68" s="929"/>
      <c r="D68" s="929"/>
      <c r="E68" s="929"/>
      <c r="F68" s="929"/>
      <c r="G68" s="217"/>
    </row>
    <row r="69" spans="1:7" s="214" customFormat="1" x14ac:dyDescent="0.25">
      <c r="A69" s="217"/>
      <c r="B69" s="234" t="s">
        <v>615</v>
      </c>
      <c r="C69" s="234" t="s">
        <v>616</v>
      </c>
      <c r="D69" s="910" t="s">
        <v>617</v>
      </c>
      <c r="E69" s="910"/>
      <c r="F69" s="910"/>
      <c r="G69" s="217"/>
    </row>
    <row r="70" spans="1:7" s="214" customFormat="1" x14ac:dyDescent="0.25">
      <c r="A70" s="217"/>
      <c r="B70" s="236"/>
      <c r="C70" s="237"/>
      <c r="D70" s="901"/>
      <c r="E70" s="901"/>
      <c r="F70" s="901"/>
      <c r="G70" s="217"/>
    </row>
    <row r="71" spans="1:7" s="214" customFormat="1" x14ac:dyDescent="0.25">
      <c r="A71" s="217"/>
      <c r="B71" s="237"/>
      <c r="C71" s="237"/>
      <c r="D71" s="901"/>
      <c r="E71" s="901"/>
      <c r="F71" s="901"/>
      <c r="G71" s="217"/>
    </row>
    <row r="72" spans="1:7" s="214" customFormat="1" x14ac:dyDescent="0.25">
      <c r="A72" s="217"/>
      <c r="B72" s="237"/>
      <c r="C72" s="237"/>
      <c r="D72" s="901"/>
      <c r="E72" s="901"/>
      <c r="F72" s="901"/>
      <c r="G72" s="217"/>
    </row>
    <row r="73" spans="1:7" s="214" customFormat="1" ht="19.149999999999999" customHeight="1" x14ac:dyDescent="0.25">
      <c r="A73" s="217"/>
      <c r="B73" s="219"/>
      <c r="C73" s="219"/>
      <c r="D73" s="219"/>
      <c r="E73" s="219"/>
      <c r="F73" s="219"/>
      <c r="G73" s="217"/>
    </row>
    <row r="74" spans="1:7" s="214" customFormat="1" ht="37.5" customHeight="1" x14ac:dyDescent="0.25">
      <c r="A74" s="217"/>
      <c r="B74" s="929" t="s">
        <v>1123</v>
      </c>
      <c r="C74" s="929"/>
      <c r="D74" s="929"/>
      <c r="E74" s="929"/>
      <c r="F74" s="929"/>
      <c r="G74" s="217"/>
    </row>
    <row r="75" spans="1:7" s="214" customFormat="1" x14ac:dyDescent="0.25">
      <c r="A75" s="217"/>
      <c r="B75" s="234" t="s">
        <v>1124</v>
      </c>
      <c r="C75" s="234" t="s">
        <v>1125</v>
      </c>
      <c r="D75" s="910" t="s">
        <v>1126</v>
      </c>
      <c r="E75" s="910"/>
      <c r="F75" s="910"/>
      <c r="G75" s="217"/>
    </row>
    <row r="76" spans="1:7" s="214" customFormat="1" x14ac:dyDescent="0.25">
      <c r="A76" s="217"/>
      <c r="B76" s="237"/>
      <c r="C76" s="237"/>
      <c r="D76" s="901"/>
      <c r="E76" s="901"/>
      <c r="F76" s="901"/>
      <c r="G76" s="217"/>
    </row>
    <row r="77" spans="1:7" s="214" customFormat="1" x14ac:dyDescent="0.25">
      <c r="A77" s="217"/>
      <c r="B77" s="237"/>
      <c r="C77" s="237"/>
      <c r="D77" s="901"/>
      <c r="E77" s="901"/>
      <c r="F77" s="901"/>
      <c r="G77" s="217"/>
    </row>
    <row r="78" spans="1:7" s="214" customFormat="1" x14ac:dyDescent="0.25">
      <c r="A78" s="217"/>
      <c r="B78" s="237"/>
      <c r="C78" s="237"/>
      <c r="D78" s="901"/>
      <c r="E78" s="901"/>
      <c r="F78" s="901"/>
      <c r="G78" s="217"/>
    </row>
    <row r="79" spans="1:7" s="214" customFormat="1" x14ac:dyDescent="0.25">
      <c r="A79" s="217"/>
      <c r="B79" s="219"/>
      <c r="C79" s="219"/>
      <c r="D79" s="219"/>
      <c r="E79" s="219"/>
      <c r="F79" s="219"/>
      <c r="G79" s="217"/>
    </row>
    <row r="80" spans="1:7" s="214" customFormat="1" x14ac:dyDescent="0.25">
      <c r="A80" s="217"/>
      <c r="B80" s="910" t="s">
        <v>234</v>
      </c>
      <c r="C80" s="910"/>
      <c r="D80" s="910"/>
      <c r="E80" s="910"/>
      <c r="F80" s="910"/>
      <c r="G80" s="217"/>
    </row>
    <row r="81" spans="1:7" s="214" customFormat="1" ht="142.5" customHeight="1" x14ac:dyDescent="0.25">
      <c r="A81" s="217"/>
      <c r="B81" s="907"/>
      <c r="C81" s="917"/>
      <c r="D81" s="917"/>
      <c r="E81" s="917"/>
      <c r="F81" s="917"/>
      <c r="G81" s="217"/>
    </row>
    <row r="82" spans="1:7" ht="48" customHeight="1" x14ac:dyDescent="0.25">
      <c r="A82" s="216"/>
      <c r="B82" s="216"/>
      <c r="C82" s="216"/>
      <c r="D82" s="216"/>
      <c r="E82" s="216"/>
      <c r="F82" s="216"/>
      <c r="G82" s="216"/>
    </row>
  </sheetData>
  <mergeCells count="74">
    <mergeCell ref="B1:D1"/>
    <mergeCell ref="C8:F8"/>
    <mergeCell ref="B2:F2"/>
    <mergeCell ref="C4:F4"/>
    <mergeCell ref="C5:F5"/>
    <mergeCell ref="C6:F6"/>
    <mergeCell ref="C7:F7"/>
    <mergeCell ref="B18:D18"/>
    <mergeCell ref="E18:F18"/>
    <mergeCell ref="C9:F9"/>
    <mergeCell ref="B11:F11"/>
    <mergeCell ref="B12:C12"/>
    <mergeCell ref="D12:F12"/>
    <mergeCell ref="B13:C13"/>
    <mergeCell ref="D13:F13"/>
    <mergeCell ref="B14:C14"/>
    <mergeCell ref="D14:F14"/>
    <mergeCell ref="B15:C15"/>
    <mergeCell ref="D15:F15"/>
    <mergeCell ref="B17:F17"/>
    <mergeCell ref="B19:D19"/>
    <mergeCell ref="E19:F19"/>
    <mergeCell ref="B20:D20"/>
    <mergeCell ref="E20:F20"/>
    <mergeCell ref="B21:D21"/>
    <mergeCell ref="E21:F21"/>
    <mergeCell ref="C40:F40"/>
    <mergeCell ref="B22:D22"/>
    <mergeCell ref="E22:F22"/>
    <mergeCell ref="B27:F27"/>
    <mergeCell ref="B28:F28"/>
    <mergeCell ref="B30:F30"/>
    <mergeCell ref="B31:F31"/>
    <mergeCell ref="B33:F33"/>
    <mergeCell ref="B34:F34"/>
    <mergeCell ref="B36:F36"/>
    <mergeCell ref="B37:F37"/>
    <mergeCell ref="B39:F39"/>
    <mergeCell ref="C41:F41"/>
    <mergeCell ref="C42:F42"/>
    <mergeCell ref="B44:F44"/>
    <mergeCell ref="C45:F45"/>
    <mergeCell ref="B46:B51"/>
    <mergeCell ref="C46:F46"/>
    <mergeCell ref="C47:F47"/>
    <mergeCell ref="C48:F48"/>
    <mergeCell ref="C49:F49"/>
    <mergeCell ref="C50:F50"/>
    <mergeCell ref="C51:F51"/>
    <mergeCell ref="B52:B56"/>
    <mergeCell ref="C52:F52"/>
    <mergeCell ref="C53:F53"/>
    <mergeCell ref="C54:F54"/>
    <mergeCell ref="C55:F55"/>
    <mergeCell ref="C56:F56"/>
    <mergeCell ref="D72:F72"/>
    <mergeCell ref="B58:F58"/>
    <mergeCell ref="B59:F59"/>
    <mergeCell ref="B60:F60"/>
    <mergeCell ref="B62:F62"/>
    <mergeCell ref="B63:F63"/>
    <mergeCell ref="B65:F65"/>
    <mergeCell ref="B66:F66"/>
    <mergeCell ref="B68:F68"/>
    <mergeCell ref="D69:F69"/>
    <mergeCell ref="D70:F70"/>
    <mergeCell ref="D71:F71"/>
    <mergeCell ref="B81:F81"/>
    <mergeCell ref="B74:F74"/>
    <mergeCell ref="D75:F75"/>
    <mergeCell ref="D76:F76"/>
    <mergeCell ref="D77:F77"/>
    <mergeCell ref="D78:F78"/>
    <mergeCell ref="B80:F80"/>
  </mergeCells>
  <dataValidations count="3">
    <dataValidation type="list" allowBlank="1" showInputMessage="1" showErrorMessage="1" sqref="C76:C78">
      <formula1>"Formation,Certification,Stage / projet,Autre"</formula1>
      <formula2>0</formula2>
    </dataValidation>
    <dataValidation type="list" allowBlank="1" showInputMessage="1" showErrorMessage="1" sqref="C70:C72">
      <formula1>"Académique,Professionnel,Associatif,Autre"</formula1>
      <formula2>0</formula2>
    </dataValidation>
    <dataValidation type="list" allowBlank="1" showInputMessage="1" showErrorMessage="1" sqref="C4">
      <formula1>"Mise à jour à partir du plan d'études,Nouvelle création"</formula1>
      <formula2>0</formula2>
    </dataValidation>
  </dataValidations>
  <hyperlinks>
    <hyperlink ref="B1:D1" location="'Schéma d''enseignement'!G20" display="Schéma d'enseignement"/>
  </hyperlink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44</vt:i4>
      </vt:variant>
      <vt:variant>
        <vt:lpstr>Plages nommées</vt:lpstr>
      </vt:variant>
      <vt:variant>
        <vt:i4>37</vt:i4>
      </vt:variant>
    </vt:vector>
  </HeadingPairs>
  <TitlesOfParts>
    <vt:vector size="81" baseType="lpstr">
      <vt:lpstr>Page de garde</vt:lpstr>
      <vt:lpstr>Contributeurs</vt:lpstr>
      <vt:lpstr>Métiers visés </vt:lpstr>
      <vt:lpstr>Comptétences adressées</vt:lpstr>
      <vt:lpstr>Schéma d'enseignement</vt:lpstr>
      <vt:lpstr>Cohérence</vt:lpstr>
      <vt:lpstr>Matières optionnelles</vt:lpstr>
      <vt:lpstr>Semestre 3</vt:lpstr>
      <vt:lpstr>Atelier Administration systèmes</vt:lpstr>
      <vt:lpstr>Réseaux locaux et TCP-IP</vt:lpstr>
      <vt:lpstr>Atelier réseaux et TCP-IP</vt:lpstr>
      <vt:lpstr>Base de données </vt:lpstr>
      <vt:lpstr>Atelier Base de données </vt:lpstr>
      <vt:lpstr>Programmation objet </vt:lpstr>
      <vt:lpstr>Atelier Programmation objet </vt:lpstr>
      <vt:lpstr>Communication en entreprise</vt:lpstr>
      <vt:lpstr>high tech english</vt:lpstr>
      <vt:lpstr>Semestre 4</vt:lpstr>
      <vt:lpstr>Routage IP</vt:lpstr>
      <vt:lpstr>Protocole IPV6</vt:lpstr>
      <vt:lpstr>Atelier interconnexion réseaux</vt:lpstr>
      <vt:lpstr>Administration des services rés</vt:lpstr>
      <vt:lpstr>Atelier Admi Services Réseaux</vt:lpstr>
      <vt:lpstr>Intro Virtualisation et cloud</vt:lpstr>
      <vt:lpstr>Atelier Virualisation et cloud </vt:lpstr>
      <vt:lpstr>Mini Projet</vt:lpstr>
      <vt:lpstr>Administration Base de données</vt:lpstr>
      <vt:lpstr>Atelier Administration BD</vt:lpstr>
      <vt:lpstr>Etude et management des proj</vt:lpstr>
      <vt:lpstr>busniess English</vt:lpstr>
      <vt:lpstr>Projet d'intégration (op)</vt:lpstr>
      <vt:lpstr>Semestre 5</vt:lpstr>
      <vt:lpstr>introduction to iot</vt:lpstr>
      <vt:lpstr>Technologies Wan </vt:lpstr>
      <vt:lpstr>Atelier technologies WAN</vt:lpstr>
      <vt:lpstr>Sécurité systèmes et réseaux </vt:lpstr>
      <vt:lpstr>Atelier sécurité syst et réseau</vt:lpstr>
      <vt:lpstr>Gestion d'un data center </vt:lpstr>
      <vt:lpstr>Atelier cloud computing</vt:lpstr>
      <vt:lpstr>Atelier conception et gestion</vt:lpstr>
      <vt:lpstr>Projet d'intégration</vt:lpstr>
      <vt:lpstr>TRE</vt:lpstr>
      <vt:lpstr>toeic</vt:lpstr>
      <vt:lpstr>PI Infra,Réseau et Système</vt:lpstr>
      <vt:lpstr>AdminBDonnées</vt:lpstr>
      <vt:lpstr>AdmServiceReseau</vt:lpstr>
      <vt:lpstr>AtAdminBD</vt:lpstr>
      <vt:lpstr>AtAdminSystem</vt:lpstr>
      <vt:lpstr>AtAdmServReseau</vt:lpstr>
      <vt:lpstr>AtBaseDonnées</vt:lpstr>
      <vt:lpstr>AtCloud</vt:lpstr>
      <vt:lpstr>AtConceptionGestion</vt:lpstr>
      <vt:lpstr>AtInterconnexion</vt:lpstr>
      <vt:lpstr>AtProgAobjet</vt:lpstr>
      <vt:lpstr>AtReseauTCPIP</vt:lpstr>
      <vt:lpstr>AtSecSystReseau</vt:lpstr>
      <vt:lpstr>AtTechWan</vt:lpstr>
      <vt:lpstr>AtVirtualisation</vt:lpstr>
      <vt:lpstr>BaseDonnées</vt:lpstr>
      <vt:lpstr>BusinessEnglish</vt:lpstr>
      <vt:lpstr>CommEntreprise</vt:lpstr>
      <vt:lpstr>EtudeMgProjetInnov</vt:lpstr>
      <vt:lpstr>GestDataCenter</vt:lpstr>
      <vt:lpstr>HigTechEnglish</vt:lpstr>
      <vt:lpstr>IntroIoT</vt:lpstr>
      <vt:lpstr>IntroVirtualisation</vt:lpstr>
      <vt:lpstr>MiniProjet</vt:lpstr>
      <vt:lpstr>PIInfra</vt:lpstr>
      <vt:lpstr>ProgObjet</vt:lpstr>
      <vt:lpstr>ProjetIntegration</vt:lpstr>
      <vt:lpstr>ProjetIntegS5</vt:lpstr>
      <vt:lpstr>ProtocolIPV6</vt:lpstr>
      <vt:lpstr>RLETCPIP</vt:lpstr>
      <vt:lpstr>RoutageIP</vt:lpstr>
      <vt:lpstr>SecSystReseau</vt:lpstr>
      <vt:lpstr>TechRechEmploi</vt:lpstr>
      <vt:lpstr>TechWan</vt:lpstr>
      <vt:lpstr>TOIEC</vt:lpstr>
      <vt:lpstr>'PI Infra,Réseau et Système'!Zone_d_impression</vt:lpstr>
      <vt:lpstr>'Projet d''intégration (op)'!Zone_d_impression</vt:lpstr>
      <vt:lpstr>TRE!Zone_d_impression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Khelil Belkhodja</dc:creator>
  <cp:lastModifiedBy>Utilisateur Windows</cp:lastModifiedBy>
  <dcterms:created xsi:type="dcterms:W3CDTF">2018-04-24T09:44:12Z</dcterms:created>
  <dcterms:modified xsi:type="dcterms:W3CDTF">2018-08-13T20:19:08Z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